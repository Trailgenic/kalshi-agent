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ycle_Toggle" sheetId="2" state="visible" r:id="rId2"/>
    <sheet xmlns:r="http://schemas.openxmlformats.org/officeDocument/2006/relationships" name="Allocator_DCF" sheetId="3" state="visible" r:id="rId3"/>
    <sheet xmlns:r="http://schemas.openxmlformats.org/officeDocument/2006/relationships" name="Comps_Engine" sheetId="4" state="visible" r:id="rId4"/>
    <sheet xmlns:r="http://schemas.openxmlformats.org/officeDocument/2006/relationships" name="sPEG_Eng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FE2F3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3" borderId="0" pivotButton="0" quotePrefix="0" xfId="0"/>
    <xf numFmtId="0" fontId="0" fillId="0" borderId="1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Capital Allocator Inputs</t>
        </is>
      </c>
    </row>
    <row r="3">
      <c r="A3" s="2" t="inlineStr">
        <is>
          <t>Shares Outstanding (mm)</t>
        </is>
      </c>
      <c r="B3" s="3" t="inlineStr"/>
    </row>
    <row r="4">
      <c r="A4" s="2" t="inlineStr">
        <is>
          <t>Current Price</t>
        </is>
      </c>
      <c r="B4" s="3" t="inlineStr"/>
    </row>
    <row r="5">
      <c r="A5" s="2" t="inlineStr">
        <is>
          <t>Net Debt (mm)</t>
        </is>
      </c>
      <c r="B5" s="3" t="inlineStr"/>
    </row>
    <row r="6">
      <c r="A6" s="2" t="inlineStr">
        <is>
          <t>Tax Rate</t>
        </is>
      </c>
      <c r="B6" s="3" t="n">
        <v>0.21</v>
      </c>
    </row>
    <row r="7">
      <c r="A7" s="2" t="inlineStr">
        <is>
          <t>WACC</t>
        </is>
      </c>
      <c r="B7" s="3" t="n">
        <v>0.1</v>
      </c>
    </row>
    <row r="8">
      <c r="A8" s="2" t="inlineStr">
        <is>
          <t>Terminal Growth</t>
        </is>
      </c>
      <c r="B8" s="3" t="n">
        <v>0.03</v>
      </c>
    </row>
    <row r="9">
      <c r="A9" s="2" t="inlineStr">
        <is>
          <t>Base Revenue (Annualized 6M)</t>
        </is>
      </c>
      <c r="B9" s="3" t="n">
        <v>10666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5"/>
  <sheetViews>
    <sheetView workbookViewId="0">
      <selection activeCell="A1" sqref="A1"/>
    </sheetView>
  </sheetViews>
  <sheetFormatPr baseColWidth="8" defaultRowHeight="15"/>
  <sheetData>
    <row r="2">
      <c r="A2" s="4" t="inlineStr">
        <is>
          <t>Scenario</t>
        </is>
      </c>
      <c r="B2" s="4" t="inlineStr">
        <is>
          <t>Growth</t>
        </is>
      </c>
      <c r="C2" s="4" t="inlineStr">
        <is>
          <t>EBIT Margin</t>
        </is>
      </c>
      <c r="E2" t="inlineStr">
        <is>
          <t>Selected Scenario Row (3-5)</t>
        </is>
      </c>
    </row>
    <row r="3">
      <c r="A3" s="5" t="inlineStr">
        <is>
          <t>Trough</t>
        </is>
      </c>
      <c r="B3" s="3" t="n">
        <v>0.02</v>
      </c>
      <c r="C3" s="3" t="n">
        <v>0.12</v>
      </c>
      <c r="E3" s="6" t="n">
        <v>4</v>
      </c>
    </row>
    <row r="4">
      <c r="A4" s="5" t="inlineStr">
        <is>
          <t>Mid-Cycle</t>
        </is>
      </c>
      <c r="B4" s="3" t="n">
        <v>0.05</v>
      </c>
      <c r="C4" s="3" t="n">
        <v>0.18</v>
      </c>
    </row>
    <row r="5">
      <c r="A5" s="5" t="inlineStr">
        <is>
          <t>Peak</t>
        </is>
      </c>
      <c r="B5" s="3" t="n">
        <v>0.08</v>
      </c>
      <c r="C5" s="3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7"/>
  <sheetViews>
    <sheetView workbookViewId="0">
      <selection activeCell="A1" sqref="A1"/>
    </sheetView>
  </sheetViews>
  <sheetFormatPr baseColWidth="8" defaultRowHeight="15"/>
  <sheetData>
    <row r="2">
      <c r="A2" s="4" t="inlineStr">
        <is>
          <t>Metric</t>
        </is>
      </c>
      <c r="B2" s="4" t="inlineStr">
        <is>
          <t>Y1</t>
        </is>
      </c>
      <c r="C2" s="4" t="inlineStr">
        <is>
          <t>Y2</t>
        </is>
      </c>
      <c r="D2" s="4" t="inlineStr">
        <is>
          <t>Y3</t>
        </is>
      </c>
      <c r="E2" s="4" t="inlineStr">
        <is>
          <t>Y4</t>
        </is>
      </c>
      <c r="F2" s="4" t="inlineStr">
        <is>
          <t>Y5</t>
        </is>
      </c>
    </row>
    <row r="3">
      <c r="A3" s="2" t="inlineStr">
        <is>
          <t>Revenue</t>
        </is>
      </c>
      <c r="B3">
        <f>Inputs!B9</f>
        <v/>
      </c>
      <c r="C3">
        <f>B3*(1+C4)</f>
        <v/>
      </c>
      <c r="D3">
        <f>C3*(1+D4)</f>
        <v/>
      </c>
      <c r="E3">
        <f>D3*(1+E4)</f>
        <v/>
      </c>
      <c r="F3">
        <f>E3*(1+F4)</f>
        <v/>
      </c>
    </row>
    <row r="4">
      <c r="A4" s="2" t="inlineStr">
        <is>
          <t>Growth</t>
        </is>
      </c>
      <c r="B4">
        <f>INDEX(Cycle_Toggle!B3:B5,Cycle_Toggle!E3-2)</f>
        <v/>
      </c>
      <c r="C4">
        <f>INDEX(Cycle_Toggle!B3:B5,Cycle_Toggle!E3-2)</f>
        <v/>
      </c>
      <c r="D4">
        <f>INDEX(Cycle_Toggle!B3:B5,Cycle_Toggle!E3-2)</f>
        <v/>
      </c>
      <c r="E4">
        <f>INDEX(Cycle_Toggle!B3:B5,Cycle_Toggle!E3-2)</f>
        <v/>
      </c>
      <c r="F4">
        <f>INDEX(Cycle_Toggle!B3:B5,Cycle_Toggle!E3-2)</f>
        <v/>
      </c>
    </row>
    <row r="5">
      <c r="A5" s="2" t="inlineStr">
        <is>
          <t>EBIT Margin</t>
        </is>
      </c>
      <c r="B5">
        <f>INDEX(Cycle_Toggle!C3:C5,Cycle_Toggle!E3-2)</f>
        <v/>
      </c>
      <c r="C5">
        <f>INDEX(Cycle_Toggle!C3:C5,Cycle_Toggle!E3-2)</f>
        <v/>
      </c>
      <c r="D5">
        <f>INDEX(Cycle_Toggle!C3:C5,Cycle_Toggle!E3-2)</f>
        <v/>
      </c>
      <c r="E5">
        <f>INDEX(Cycle_Toggle!C3:C5,Cycle_Toggle!E3-2)</f>
        <v/>
      </c>
      <c r="F5">
        <f>INDEX(Cycle_Toggle!C3:C5,Cycle_Toggle!E3-2)</f>
        <v/>
      </c>
    </row>
    <row r="6">
      <c r="A6" s="2" t="inlineStr">
        <is>
          <t>EBIT</t>
        </is>
      </c>
      <c r="B6">
        <f>B3*B5</f>
        <v/>
      </c>
      <c r="C6">
        <f>C3*C5</f>
        <v/>
      </c>
      <c r="D6">
        <f>D3*D5</f>
        <v/>
      </c>
      <c r="E6">
        <f>E3*E5</f>
        <v/>
      </c>
      <c r="F6">
        <f>F3*F5</f>
        <v/>
      </c>
    </row>
    <row r="7">
      <c r="A7" s="2" t="inlineStr">
        <is>
          <t>Tax</t>
        </is>
      </c>
      <c r="B7">
        <f>-B6*Inputs!B6</f>
        <v/>
      </c>
      <c r="C7">
        <f>-C6*Inputs!B6</f>
        <v/>
      </c>
      <c r="D7">
        <f>-D6*Inputs!B6</f>
        <v/>
      </c>
      <c r="E7">
        <f>-E6*Inputs!B6</f>
        <v/>
      </c>
      <c r="F7">
        <f>-F6*Inputs!B6</f>
        <v/>
      </c>
    </row>
    <row r="8">
      <c r="A8" s="2" t="inlineStr">
        <is>
          <t>NOPAT</t>
        </is>
      </c>
      <c r="B8">
        <f>B6+B7</f>
        <v/>
      </c>
      <c r="C8">
        <f>C6+C7</f>
        <v/>
      </c>
      <c r="D8">
        <f>D6+D7</f>
        <v/>
      </c>
      <c r="E8">
        <f>E6+E7</f>
        <v/>
      </c>
      <c r="F8">
        <f>F6+F7</f>
        <v/>
      </c>
    </row>
    <row r="9">
      <c r="A9" s="2" t="inlineStr">
        <is>
          <t>FCF</t>
        </is>
      </c>
      <c r="B9">
        <f>B8</f>
        <v/>
      </c>
      <c r="C9">
        <f>C8</f>
        <v/>
      </c>
      <c r="D9">
        <f>D8</f>
        <v/>
      </c>
      <c r="E9">
        <f>E8</f>
        <v/>
      </c>
      <c r="F9">
        <f>F8</f>
        <v/>
      </c>
    </row>
    <row r="10">
      <c r="A10" s="2" t="inlineStr">
        <is>
          <t>Discount Factor</t>
        </is>
      </c>
      <c r="B10">
        <f>1/(1+Inputs!B7)^1</f>
        <v/>
      </c>
      <c r="C10">
        <f>1/(1+Inputs!B7)^2</f>
        <v/>
      </c>
      <c r="D10">
        <f>1/(1+Inputs!B7)^3</f>
        <v/>
      </c>
      <c r="E10">
        <f>1/(1+Inputs!B7)^4</f>
        <v/>
      </c>
      <c r="F10">
        <f>1/(1+Inputs!B7)^5</f>
        <v/>
      </c>
    </row>
    <row r="11">
      <c r="A11" s="2" t="inlineStr">
        <is>
          <t>PV FCF</t>
        </is>
      </c>
      <c r="B11">
        <f>B9*B10</f>
        <v/>
      </c>
      <c r="C11">
        <f>C9*C10</f>
        <v/>
      </c>
      <c r="D11">
        <f>D9*D10</f>
        <v/>
      </c>
      <c r="E11">
        <f>E9*E10</f>
        <v/>
      </c>
      <c r="F11">
        <f>F9*F10</f>
        <v/>
      </c>
    </row>
    <row r="13">
      <c r="A13" t="inlineStr">
        <is>
          <t>Terminal Value</t>
        </is>
      </c>
      <c r="B13">
        <f>(F9*(1+Inputs!B8))/(Inputs!B7-Inputs!B8)</f>
        <v/>
      </c>
    </row>
    <row r="14">
      <c r="A14" t="inlineStr">
        <is>
          <t>PV Terminal</t>
        </is>
      </c>
      <c r="B14">
        <f>B13*F10</f>
        <v/>
      </c>
    </row>
    <row r="15">
      <c r="A15" t="inlineStr">
        <is>
          <t>Enterprise Value</t>
        </is>
      </c>
      <c r="B15">
        <f>SUM(B11:F11)+B14</f>
        <v/>
      </c>
    </row>
    <row r="16">
      <c r="A16" t="inlineStr">
        <is>
          <t>Equity Value</t>
        </is>
      </c>
      <c r="B16">
        <f>B15-Inputs!B5</f>
        <v/>
      </c>
    </row>
    <row r="17">
      <c r="A17" t="inlineStr">
        <is>
          <t>Value Per Share</t>
        </is>
      </c>
      <c r="B17">
        <f>IFERROR(B16/Inputs!B3,"")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5"/>
  <sheetViews>
    <sheetView workbookViewId="0">
      <selection activeCell="A1" sqref="A1"/>
    </sheetView>
  </sheetViews>
  <sheetFormatPr baseColWidth="8" defaultRowHeight="15"/>
  <sheetData>
    <row r="2">
      <c r="A2" s="4" t="inlineStr">
        <is>
          <t>Company</t>
        </is>
      </c>
      <c r="B2" s="4" t="inlineStr">
        <is>
          <t>EBITDA</t>
        </is>
      </c>
      <c r="C2" s="4" t="inlineStr">
        <is>
          <t>EV</t>
        </is>
      </c>
      <c r="D2" s="4" t="inlineStr">
        <is>
          <t>EV/EBITDA</t>
        </is>
      </c>
      <c r="E2" s="4" t="inlineStr">
        <is>
          <t>Implied EV</t>
        </is>
      </c>
      <c r="F2" s="4" t="inlineStr">
        <is>
          <t>Implied Price</t>
        </is>
      </c>
    </row>
    <row r="3">
      <c r="A3" t="inlineStr">
        <is>
          <t>Micron</t>
        </is>
      </c>
      <c r="D3">
        <f>IFERROR(C3/B3,"")</f>
        <v/>
      </c>
      <c r="E3">
        <f>D3*Allocator_DCF!F6</f>
        <v/>
      </c>
      <c r="F3">
        <f>IFERROR((E3-Inputs!B5)/Inputs!B3,"")</f>
        <v/>
      </c>
    </row>
    <row r="4">
      <c r="A4" t="inlineStr">
        <is>
          <t>SK Hynix</t>
        </is>
      </c>
      <c r="D4">
        <f>IFERROR(C4/B4,"")</f>
        <v/>
      </c>
      <c r="E4">
        <f>D4*Allocator_DCF!F6</f>
        <v/>
      </c>
      <c r="F4">
        <f>IFERROR((E4-Inputs!B5)/Inputs!B3,"")</f>
        <v/>
      </c>
    </row>
    <row r="5">
      <c r="A5" t="inlineStr">
        <is>
          <t>Samsung Memory</t>
        </is>
      </c>
      <c r="D5">
        <f>IFERROR(C5/B5,"")</f>
        <v/>
      </c>
      <c r="E5">
        <f>D5*Allocator_DCF!F6</f>
        <v/>
      </c>
      <c r="F5">
        <f>IFERROR((E5-Inputs!B5)/Inputs!B3,"")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7"/>
  <sheetViews>
    <sheetView workbookViewId="0">
      <selection activeCell="A1" sqref="A1"/>
    </sheetView>
  </sheetViews>
  <sheetFormatPr baseColWidth="8" defaultRowHeight="15"/>
  <sheetData>
    <row r="2">
      <c r="A2" s="4" t="inlineStr">
        <is>
          <t>Metric</t>
        </is>
      </c>
      <c r="B2" s="4" t="inlineStr">
        <is>
          <t>Value</t>
        </is>
      </c>
    </row>
    <row r="3">
      <c r="A3" s="2" t="inlineStr">
        <is>
          <t>Forward P/E</t>
        </is>
      </c>
      <c r="B3" s="3" t="inlineStr"/>
    </row>
    <row r="4">
      <c r="A4" s="2" t="inlineStr">
        <is>
          <t>Forward EPS Growth</t>
        </is>
      </c>
      <c r="B4" s="3" t="inlineStr"/>
    </row>
    <row r="5">
      <c r="A5" s="2" t="inlineStr">
        <is>
          <t>Scarcity Multiplier (1-3)</t>
        </is>
      </c>
      <c r="B5" s="3" t="inlineStr"/>
    </row>
    <row r="6">
      <c r="A6" s="2" t="inlineStr">
        <is>
          <t>sPEG Ratio</t>
        </is>
      </c>
      <c r="B6" s="5">
        <f>IFERROR(B3/B4*B5,"")</f>
        <v/>
      </c>
    </row>
    <row r="7">
      <c r="A7" s="2" t="inlineStr">
        <is>
          <t>Implied Fair P/E</t>
        </is>
      </c>
      <c r="B7" s="5">
        <f>B4*B6/B5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2026-02-27T23:31:58Z</dcterms:created>
  <dcterms:modified xmlns:dcterms="http://purl.org/dc/terms/" xmlns:xsi="http://www.w3.org/2001/XMLSchema-instance" xsi:type="dcterms:W3CDTF">2026-02-27T23:31:58Z</dcterms:modified>
</cp:coreProperties>
</file>
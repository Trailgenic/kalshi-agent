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Historical" sheetId="2" state="visible" r:id="rId2"/>
    <sheet xmlns:r="http://schemas.openxmlformats.org/officeDocument/2006/relationships" name="DCF_Model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sPEG_Valuation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ycle_Normalization" sheetId="7" state="visible" r:id="rId7"/>
    <sheet xmlns:r="http://schemas.openxmlformats.org/officeDocument/2006/relationships" name="Return_Waterf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 Inputs</t>
        </is>
      </c>
    </row>
    <row r="3">
      <c r="A3" s="2" t="inlineStr">
        <is>
          <t>Ticker</t>
        </is>
      </c>
      <c r="B3" s="3" t="inlineStr">
        <is>
          <t>SNDK</t>
        </is>
      </c>
    </row>
    <row r="4">
      <c r="A4" s="2" t="inlineStr">
        <is>
          <t>Shares Outstanding (mm)</t>
        </is>
      </c>
      <c r="B4" s="3" t="inlineStr"/>
    </row>
    <row r="5">
      <c r="A5" s="2" t="inlineStr">
        <is>
          <t>Current Price</t>
        </is>
      </c>
      <c r="B5" s="3" t="inlineStr"/>
    </row>
    <row r="6">
      <c r="A6" s="2" t="inlineStr">
        <is>
          <t>Net Debt (mm)</t>
        </is>
      </c>
      <c r="B6" s="3" t="inlineStr"/>
    </row>
    <row r="7">
      <c r="A7" s="2" t="inlineStr">
        <is>
          <t>Tax Rate</t>
        </is>
      </c>
      <c r="B7" s="3" t="n">
        <v>0.21</v>
      </c>
    </row>
    <row r="8">
      <c r="A8" s="2" t="inlineStr">
        <is>
          <t>WACC</t>
        </is>
      </c>
      <c r="B8" s="3" t="n">
        <v>0.1</v>
      </c>
    </row>
    <row r="9">
      <c r="A9" s="2" t="inlineStr">
        <is>
          <t>Terminal Growth</t>
        </is>
      </c>
      <c r="B9" s="3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6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Line Item</t>
        </is>
      </c>
      <c r="B2" s="4" t="inlineStr">
        <is>
          <t>FY2025</t>
        </is>
      </c>
      <c r="C2" s="4" t="inlineStr">
        <is>
          <t>FY2024</t>
        </is>
      </c>
      <c r="D2" s="4" t="inlineStr">
        <is>
          <t>FY2023</t>
        </is>
      </c>
    </row>
    <row r="3">
      <c r="A3" s="5" t="inlineStr">
        <is>
          <t>Revenue</t>
        </is>
      </c>
      <c r="B3" s="6" t="n">
        <v>7355</v>
      </c>
      <c r="C3" s="6" t="n">
        <v>6663</v>
      </c>
      <c r="D3" s="6" t="n">
        <v>6086</v>
      </c>
    </row>
    <row r="4">
      <c r="A4" s="5" t="inlineStr">
        <is>
          <t>Gross Profit</t>
        </is>
      </c>
      <c r="B4" s="6" t="n">
        <v>2212</v>
      </c>
      <c r="C4" s="6" t="n">
        <v>1072</v>
      </c>
      <c r="D4" s="6" t="n">
        <v>430</v>
      </c>
    </row>
    <row r="5">
      <c r="A5" s="5" t="inlineStr">
        <is>
          <t>Operating Income</t>
        </is>
      </c>
      <c r="B5" s="6" t="n">
        <v>-1377</v>
      </c>
      <c r="C5" s="6" t="n">
        <v>-468</v>
      </c>
      <c r="D5" s="6" t="n">
        <v>-2035</v>
      </c>
    </row>
    <row r="6">
      <c r="A6" s="5" t="inlineStr">
        <is>
          <t>Net Income</t>
        </is>
      </c>
      <c r="B6" s="6" t="n">
        <v>-1641</v>
      </c>
      <c r="C6" s="6" t="n">
        <v>-672</v>
      </c>
      <c r="D6" s="6" t="n">
        <v>-2143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9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Metric</t>
        </is>
      </c>
      <c r="B2" s="4" t="inlineStr">
        <is>
          <t>2026E</t>
        </is>
      </c>
      <c r="C2" s="4" t="inlineStr">
        <is>
          <t>2027E</t>
        </is>
      </c>
      <c r="D2" s="4" t="inlineStr">
        <is>
          <t>2028E</t>
        </is>
      </c>
      <c r="E2" s="4" t="inlineStr">
        <is>
          <t>2029E</t>
        </is>
      </c>
      <c r="F2" s="4" t="inlineStr">
        <is>
          <t>2030E</t>
        </is>
      </c>
    </row>
    <row r="3">
      <c r="A3" s="5" t="inlineStr">
        <is>
          <t>Revenue</t>
        </is>
      </c>
      <c r="B3" s="3" t="n">
        <v>10666</v>
      </c>
      <c r="C3" s="3">
        <f>B3*(1+C4)</f>
        <v/>
      </c>
      <c r="D3" s="3">
        <f>C3*(1+D4)</f>
        <v/>
      </c>
      <c r="E3" s="3">
        <f>D3*(1+E4)</f>
        <v/>
      </c>
      <c r="F3" s="3">
        <f>E3*(1+F4)</f>
        <v/>
      </c>
    </row>
    <row r="4">
      <c r="A4" s="5" t="inlineStr">
        <is>
          <t>Revenue Growth</t>
        </is>
      </c>
      <c r="B4" s="3" t="n">
        <v>0.05</v>
      </c>
      <c r="C4" s="3" t="n">
        <v>0.05</v>
      </c>
      <c r="D4" s="3" t="n">
        <v>0.05</v>
      </c>
      <c r="E4" s="3" t="n">
        <v>0.05</v>
      </c>
      <c r="F4" s="3" t="n">
        <v>0.05</v>
      </c>
    </row>
    <row r="5">
      <c r="A5" s="5" t="inlineStr">
        <is>
          <t>EBIT Margin</t>
        </is>
      </c>
      <c r="B5" s="3" t="n">
        <v>0.18</v>
      </c>
      <c r="C5" s="3" t="n">
        <v>0.18</v>
      </c>
      <c r="D5" s="3" t="n">
        <v>0.18</v>
      </c>
      <c r="E5" s="3" t="n">
        <v>0.18</v>
      </c>
      <c r="F5" s="3" t="n">
        <v>0.18</v>
      </c>
    </row>
    <row r="6">
      <c r="A6" s="5" t="inlineStr">
        <is>
          <t>EBIT</t>
        </is>
      </c>
      <c r="B6" s="6">
        <f>B3*B5</f>
        <v/>
      </c>
      <c r="C6" s="6">
        <f>C3*C5</f>
        <v/>
      </c>
      <c r="D6" s="6">
        <f>D3*D5</f>
        <v/>
      </c>
      <c r="E6" s="6">
        <f>E3*E5</f>
        <v/>
      </c>
      <c r="F6" s="6">
        <f>F3*F5</f>
        <v/>
      </c>
    </row>
    <row r="7">
      <c r="A7" s="5" t="inlineStr">
        <is>
          <t>Tax</t>
        </is>
      </c>
      <c r="B7" s="6">
        <f>-B6*Inputs!B7</f>
        <v/>
      </c>
      <c r="C7" s="6">
        <f>-C6*Inputs!B7</f>
        <v/>
      </c>
      <c r="D7" s="6">
        <f>-D6*Inputs!B7</f>
        <v/>
      </c>
      <c r="E7" s="6">
        <f>-E6*Inputs!B7</f>
        <v/>
      </c>
      <c r="F7" s="6">
        <f>-F6*Inputs!B7</f>
        <v/>
      </c>
    </row>
    <row r="8">
      <c r="A8" s="5" t="inlineStr">
        <is>
          <t>NOPAT</t>
        </is>
      </c>
      <c r="B8" s="3">
        <f>B6+B7</f>
        <v/>
      </c>
      <c r="C8" s="3">
        <f>C6+C7</f>
        <v/>
      </c>
      <c r="D8" s="3">
        <f>D6+D7</f>
        <v/>
      </c>
      <c r="E8" s="3">
        <f>E6+E7</f>
        <v/>
      </c>
      <c r="F8" s="3">
        <f>F6+F7</f>
        <v/>
      </c>
    </row>
    <row r="9">
      <c r="A9" s="5" t="inlineStr">
        <is>
          <t>Capex (% Rev)</t>
        </is>
      </c>
      <c r="B9" s="6">
        <f>-B3*B8</f>
        <v/>
      </c>
      <c r="C9" s="6">
        <f>-C3*C8</f>
        <v/>
      </c>
      <c r="D9" s="6">
        <f>-D3*D8</f>
        <v/>
      </c>
      <c r="E9" s="6">
        <f>-E3*E8</f>
        <v/>
      </c>
      <c r="F9" s="6">
        <f>-F3*F8</f>
        <v/>
      </c>
    </row>
    <row r="10">
      <c r="A10" s="5" t="inlineStr">
        <is>
          <t>Capex</t>
        </is>
      </c>
      <c r="B10" s="6">
        <f>B8+B9</f>
        <v/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</row>
    <row r="11">
      <c r="A11" s="5" t="inlineStr">
        <is>
          <t>FCF</t>
        </is>
      </c>
      <c r="B11" s="6">
        <f>1/(1+Inputs!B6)^1</f>
        <v/>
      </c>
      <c r="C11" s="6">
        <f>1/(1+Inputs!B6)^2</f>
        <v/>
      </c>
      <c r="D11" s="6">
        <f>1/(1+Inputs!B6)^3</f>
        <v/>
      </c>
      <c r="E11" s="6">
        <f>1/(1+Inputs!B6)^4</f>
        <v/>
      </c>
      <c r="F11" s="6">
        <f>1/(1+Inputs!B6)^5</f>
        <v/>
      </c>
    </row>
    <row r="12">
      <c r="A12" s="5" t="inlineStr">
        <is>
          <t>Discount Factor</t>
        </is>
      </c>
      <c r="B12" s="6">
        <f>B10*B11</f>
        <v/>
      </c>
      <c r="C12" s="6">
        <f>C10*C11</f>
        <v/>
      </c>
      <c r="D12" s="6">
        <f>D10*D11</f>
        <v/>
      </c>
      <c r="E12" s="6">
        <f>E10*E11</f>
        <v/>
      </c>
      <c r="F12" s="6">
        <f>F10*F11</f>
        <v/>
      </c>
    </row>
    <row r="13">
      <c r="A13" s="5" t="inlineStr">
        <is>
          <t>PV of FCF</t>
        </is>
      </c>
      <c r="B13" s="6" t="n"/>
      <c r="C13" s="6" t="n"/>
      <c r="D13" s="6" t="n"/>
      <c r="E13" s="6" t="n"/>
      <c r="F13" s="6" t="n"/>
    </row>
    <row r="14">
      <c r="A14" s="7" t="inlineStr">
        <is>
          <t>Terminal Value</t>
        </is>
      </c>
    </row>
    <row r="15">
      <c r="A15" t="inlineStr">
        <is>
          <t>TV</t>
        </is>
      </c>
      <c r="B15">
        <f>(F10*(1+Inputs!B8))/(Inputs!B6-Inputs!B8)</f>
        <v/>
      </c>
    </row>
    <row r="16">
      <c r="A16" t="inlineStr">
        <is>
          <t>PV of TV</t>
        </is>
      </c>
      <c r="B16">
        <f>B15*F11</f>
        <v/>
      </c>
    </row>
    <row r="17">
      <c r="A17" t="inlineStr">
        <is>
          <t>Enterprise Value</t>
        </is>
      </c>
      <c r="B17">
        <f>SUM(B12:F12)+B16</f>
        <v/>
      </c>
    </row>
    <row r="18">
      <c r="A18" t="inlineStr">
        <is>
          <t>Equity Value</t>
        </is>
      </c>
      <c r="B18">
        <f>B17-Inputs!B5</f>
        <v/>
      </c>
    </row>
    <row r="19">
      <c r="A19" t="inlineStr">
        <is>
          <t>Value Per Share</t>
        </is>
      </c>
      <c r="B19">
        <f>IFERROR(B18/Inputs!B3,"")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5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Company</t>
        </is>
      </c>
      <c r="B2" s="4" t="inlineStr">
        <is>
          <t>Revenue</t>
        </is>
      </c>
      <c r="C2" s="4" t="inlineStr">
        <is>
          <t>EBITDA</t>
        </is>
      </c>
      <c r="D2" s="4" t="inlineStr">
        <is>
          <t>EV</t>
        </is>
      </c>
      <c r="E2" s="4" t="inlineStr">
        <is>
          <t>EV/EBITDA</t>
        </is>
      </c>
      <c r="F2" s="4" t="inlineStr">
        <is>
          <t>EV/Revenue</t>
        </is>
      </c>
    </row>
    <row r="3">
      <c r="A3" s="6" t="inlineStr">
        <is>
          <t>Micron</t>
        </is>
      </c>
      <c r="B3" s="6" t="inlineStr"/>
      <c r="C3" s="6" t="inlineStr"/>
      <c r="D3" s="6" t="inlineStr"/>
      <c r="E3" s="6" t="inlineStr"/>
      <c r="F3" s="6" t="inlineStr"/>
    </row>
    <row r="4">
      <c r="A4" s="6" t="inlineStr">
        <is>
          <t>SK Hynix</t>
        </is>
      </c>
      <c r="B4" s="6" t="inlineStr"/>
      <c r="C4" s="6" t="inlineStr"/>
      <c r="D4" s="6" t="inlineStr"/>
      <c r="E4" s="6" t="inlineStr"/>
      <c r="F4" s="6" t="inlineStr"/>
    </row>
    <row r="5">
      <c r="A5" s="6" t="inlineStr">
        <is>
          <t>Samsung Memory</t>
        </is>
      </c>
      <c r="B5" s="6" t="inlineStr"/>
      <c r="C5" s="6" t="inlineStr"/>
      <c r="D5" s="6" t="inlineStr"/>
      <c r="E5" s="6" t="inlineStr"/>
      <c r="F5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s="4" t="inlineStr">
        <is>
          <t>Metric</t>
        </is>
      </c>
      <c r="B2" s="4" t="inlineStr">
        <is>
          <t>Value</t>
        </is>
      </c>
    </row>
    <row r="3">
      <c r="A3" s="2" t="inlineStr">
        <is>
          <t>Forward P/E</t>
        </is>
      </c>
      <c r="B3" s="3" t="inlineStr"/>
    </row>
    <row r="4">
      <c r="A4" s="2" t="inlineStr">
        <is>
          <t>Forward EPS Growth %</t>
        </is>
      </c>
      <c r="B4" s="3" t="inlineStr"/>
    </row>
    <row r="5">
      <c r="A5" s="2" t="inlineStr">
        <is>
          <t>Scarcity Multiplier (1-3)</t>
        </is>
      </c>
      <c r="B5" s="3" t="inlineStr"/>
    </row>
    <row r="6">
      <c r="A6" s="2" t="inlineStr">
        <is>
          <t>sPEG Ratio</t>
        </is>
      </c>
      <c r="B6" s="6">
        <f>IFERROR(B3/B4*B5,"")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5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Scenario</t>
        </is>
      </c>
      <c r="B2" s="5" t="inlineStr">
        <is>
          <t>Revenue Growth</t>
        </is>
      </c>
      <c r="C2" s="5" t="inlineStr">
        <is>
          <t>EBIT Margin</t>
        </is>
      </c>
      <c r="D2" s="5" t="inlineStr">
        <is>
          <t>WACC</t>
        </is>
      </c>
      <c r="E2" s="5" t="inlineStr">
        <is>
          <t>Implied Value/Share</t>
        </is>
      </c>
    </row>
    <row r="3">
      <c r="A3" s="6" t="inlineStr">
        <is>
          <t>Base</t>
        </is>
      </c>
      <c r="B3" s="3" t="n">
        <v>0.05</v>
      </c>
      <c r="C3" s="3" t="n">
        <v>0.18</v>
      </c>
      <c r="D3" s="3" t="n">
        <v>0.1</v>
      </c>
      <c r="E3" s="6">
        <f>DCF_Model!B19</f>
        <v/>
      </c>
    </row>
    <row r="4">
      <c r="A4" s="6" t="inlineStr">
        <is>
          <t>Bull</t>
        </is>
      </c>
      <c r="B4" s="3" t="n">
        <v>0.08</v>
      </c>
      <c r="C4" s="3" t="n">
        <v>0.24</v>
      </c>
      <c r="D4" s="3" t="n">
        <v>0.09</v>
      </c>
      <c r="E4" s="6">
        <f>DCF_Model!B19</f>
        <v/>
      </c>
    </row>
    <row r="5">
      <c r="A5" s="6" t="inlineStr">
        <is>
          <t>Bear</t>
        </is>
      </c>
      <c r="B5" s="3" t="n">
        <v>0.02</v>
      </c>
      <c r="C5" s="3" t="n">
        <v>0.12</v>
      </c>
      <c r="D5" s="3" t="n">
        <v>0.11</v>
      </c>
      <c r="E5" s="6">
        <f>DCF_Model!B19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Metric</t>
        </is>
      </c>
      <c r="B2" s="5" t="inlineStr">
        <is>
          <t>Value</t>
        </is>
      </c>
    </row>
    <row r="3">
      <c r="A3" s="5" t="inlineStr">
        <is>
          <t>Peak EBIT Margin</t>
        </is>
      </c>
      <c r="B3" s="3" t="inlineStr"/>
    </row>
    <row r="4">
      <c r="A4" s="5" t="inlineStr">
        <is>
          <t>Mid-Cycle EBIT Margin</t>
        </is>
      </c>
      <c r="B4" s="3" t="inlineStr"/>
    </row>
    <row r="5">
      <c r="A5" s="5" t="inlineStr">
        <is>
          <t>Trough EBIT Margin</t>
        </is>
      </c>
      <c r="B5" s="3" t="inlineStr"/>
    </row>
    <row r="6">
      <c r="A6" s="5" t="inlineStr">
        <is>
          <t>Normalized EBIT (Revenue × Mid-Cycle Margin)</t>
        </is>
      </c>
      <c r="B6" s="6">
        <f>DCF_Model!B3*B4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Component</t>
        </is>
      </c>
      <c r="B2" s="5" t="inlineStr">
        <is>
          <t>Value</t>
        </is>
      </c>
    </row>
    <row r="3">
      <c r="A3" s="5" t="inlineStr">
        <is>
          <t>Current Price</t>
        </is>
      </c>
      <c r="B3" s="6">
        <f>Inputs!B3</f>
        <v/>
      </c>
    </row>
    <row r="4">
      <c r="A4" s="5" t="inlineStr">
        <is>
          <t>Implied Value (Base)</t>
        </is>
      </c>
      <c r="B4" s="6">
        <f>DCF_Model!B19</f>
        <v/>
      </c>
    </row>
    <row r="5">
      <c r="A5" s="5" t="inlineStr">
        <is>
          <t>Upside / (Downside)</t>
        </is>
      </c>
      <c r="B5" s="6">
        <f>IFERROR(B4-B3,"")</f>
        <v/>
      </c>
    </row>
    <row r="6">
      <c r="A6" s="5" t="inlineStr">
        <is>
          <t>% Return</t>
        </is>
      </c>
      <c r="B6" s="6">
        <f>IFERROR((B4-B3)/B3,"")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2026-02-27T23:26:46Z</dcterms:created>
  <dcterms:modified xmlns:dcterms="http://purl.org/dc/terms/" xmlns:xsi="http://www.w3.org/2001/XMLSchema-instance" xsi:type="dcterms:W3CDTF">2026-02-27T23:29:08Z</dcterms:modified>
</cp:coreProperties>
</file>
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bd8160fc85f4c918/Documents/Cowork/Sleepgenic/"/>
    </mc:Choice>
  </mc:AlternateContent>
  <xr:revisionPtr revIDLastSave="10187" documentId="8_{EEE634A4-4227-4349-BC60-FFC354CE4067}" xr6:coauthVersionLast="47" xr6:coauthVersionMax="47" xr10:uidLastSave="{1919D36F-5DAF-40A9-9178-A33920E7CEDD}"/>
  <bookViews>
    <workbookView xWindow="-120" yWindow="-120" windowWidth="29040" windowHeight="15720" tabRatio="713" activeTab="5" xr2:uid="{04B2D093-6387-41A3-A90A-7666230AA16B}"/>
  </bookViews>
  <sheets>
    <sheet name="Pricing Comps" sheetId="8" r:id="rId1"/>
    <sheet name="Assumptions" sheetId="2" r:id="rId2"/>
    <sheet name="Patient Growth" sheetId="3" r:id="rId3"/>
    <sheet name="Revenue Model" sheetId="4" r:id="rId4"/>
    <sheet name="Cost Model" sheetId="5" r:id="rId5"/>
    <sheet name="Unit Economics" sheetId="9" r:id="rId6"/>
    <sheet name="P&amp;L Summary" sheetId="6" r:id="rId7"/>
    <sheet name="Scenarios"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6" l="1"/>
  <c r="E11" i="9"/>
  <c r="E12" i="9"/>
  <c r="E10" i="9"/>
  <c r="E9" i="9"/>
  <c r="E8" i="9"/>
  <c r="E7" i="9"/>
  <c r="E6" i="9"/>
  <c r="E5" i="9"/>
  <c r="B39" i="9"/>
  <c r="B37" i="9"/>
  <c r="B36" i="9"/>
  <c r="B35" i="9"/>
  <c r="B29" i="9"/>
  <c r="B25" i="9"/>
  <c r="B24" i="9"/>
  <c r="B23" i="9"/>
  <c r="B22" i="9"/>
  <c r="B12" i="9"/>
  <c r="B9" i="9"/>
  <c r="B7" i="9"/>
  <c r="B32" i="9" s="1"/>
  <c r="B5" i="9"/>
  <c r="B4" i="9"/>
  <c r="AC47" i="7"/>
  <c r="AC48" i="7" s="1"/>
  <c r="AC46" i="7"/>
  <c r="AC45" i="7"/>
  <c r="AC44" i="7"/>
  <c r="AC43" i="7"/>
  <c r="AC42" i="7"/>
  <c r="AC41" i="7"/>
  <c r="AC40" i="7"/>
  <c r="AC39" i="7"/>
  <c r="AC38" i="7"/>
  <c r="AC37" i="7"/>
  <c r="P47" i="7"/>
  <c r="P48" i="7" s="1"/>
  <c r="P46" i="7"/>
  <c r="P45" i="7"/>
  <c r="P44" i="7"/>
  <c r="P43" i="7"/>
  <c r="P42" i="7"/>
  <c r="P41" i="7"/>
  <c r="P40" i="7"/>
  <c r="P39" i="7"/>
  <c r="P38" i="7"/>
  <c r="P37" i="7"/>
  <c r="C47" i="7"/>
  <c r="C48" i="7" s="1"/>
  <c r="C46" i="7"/>
  <c r="C45" i="7"/>
  <c r="C44" i="7"/>
  <c r="C43" i="7"/>
  <c r="C42" i="7"/>
  <c r="C41" i="7"/>
  <c r="C40" i="7"/>
  <c r="C39" i="7"/>
  <c r="C38" i="7"/>
  <c r="C37" i="7"/>
  <c r="AC34" i="7"/>
  <c r="AD34" i="7" s="1"/>
  <c r="AC33" i="7"/>
  <c r="AD33" i="7" s="1"/>
  <c r="AE33" i="7" s="1"/>
  <c r="AC32" i="7"/>
  <c r="AD32" i="7" s="1"/>
  <c r="AE32" i="7" s="1"/>
  <c r="AF32" i="7" s="1"/>
  <c r="AM32" i="7" s="1"/>
  <c r="AD31" i="7"/>
  <c r="AC31" i="7"/>
  <c r="AC30" i="7"/>
  <c r="AD30" i="7" s="1"/>
  <c r="AC29" i="7"/>
  <c r="AD29" i="7" s="1"/>
  <c r="AC28" i="7"/>
  <c r="AD28" i="7" s="1"/>
  <c r="AC27" i="7"/>
  <c r="AD27" i="7" s="1"/>
  <c r="AD26" i="7"/>
  <c r="AE26" i="7" s="1"/>
  <c r="AC26" i="7"/>
  <c r="AC25" i="7"/>
  <c r="AD25" i="7" s="1"/>
  <c r="AC24" i="7"/>
  <c r="AD24" i="7" s="1"/>
  <c r="AC23" i="7"/>
  <c r="AD23" i="7" s="1"/>
  <c r="AC22" i="7"/>
  <c r="AD22" i="7" s="1"/>
  <c r="AF21" i="7"/>
  <c r="AM21" i="7" s="1"/>
  <c r="AC21" i="7"/>
  <c r="AD21" i="7" s="1"/>
  <c r="AE21" i="7" s="1"/>
  <c r="AC20" i="7"/>
  <c r="AD20" i="7" s="1"/>
  <c r="AE19" i="7"/>
  <c r="AD19" i="7"/>
  <c r="AC19" i="7"/>
  <c r="AC18" i="7"/>
  <c r="AD18" i="7" s="1"/>
  <c r="AC17" i="7"/>
  <c r="AD17" i="7" s="1"/>
  <c r="AC16" i="7"/>
  <c r="AD16" i="7" s="1"/>
  <c r="AC15" i="7"/>
  <c r="AD15" i="7" s="1"/>
  <c r="AD14" i="7"/>
  <c r="AE14" i="7" s="1"/>
  <c r="AC14" i="7"/>
  <c r="AC13" i="7"/>
  <c r="AD13" i="7" s="1"/>
  <c r="AC12" i="7"/>
  <c r="AD12" i="7" s="1"/>
  <c r="AC11" i="7"/>
  <c r="AD11" i="7" s="1"/>
  <c r="P34" i="7"/>
  <c r="Q34" i="7" s="1"/>
  <c r="R34" i="7" s="1"/>
  <c r="P33" i="7"/>
  <c r="Q33" i="7" s="1"/>
  <c r="Q32" i="7"/>
  <c r="R32" i="7" s="1"/>
  <c r="P32" i="7"/>
  <c r="P31" i="7"/>
  <c r="Q31" i="7" s="1"/>
  <c r="P30" i="7"/>
  <c r="Q30" i="7" s="1"/>
  <c r="P29" i="7"/>
  <c r="Q29" i="7" s="1"/>
  <c r="P28" i="7"/>
  <c r="Q28" i="7" s="1"/>
  <c r="Q27" i="7"/>
  <c r="R27" i="7" s="1"/>
  <c r="P27" i="7"/>
  <c r="P26" i="7"/>
  <c r="Q26" i="7" s="1"/>
  <c r="P25" i="7"/>
  <c r="Q25" i="7" s="1"/>
  <c r="P24" i="7"/>
  <c r="Q24" i="7" s="1"/>
  <c r="P23" i="7"/>
  <c r="Q23" i="7" s="1"/>
  <c r="P22" i="7"/>
  <c r="Q22" i="7" s="1"/>
  <c r="R22" i="7" s="1"/>
  <c r="S21" i="7"/>
  <c r="Z21" i="7" s="1"/>
  <c r="R21" i="7"/>
  <c r="Q21" i="7"/>
  <c r="P21" i="7"/>
  <c r="Q20" i="7"/>
  <c r="P20" i="7"/>
  <c r="Q19" i="7"/>
  <c r="P19" i="7"/>
  <c r="P18" i="7"/>
  <c r="Q18" i="7" s="1"/>
  <c r="P17" i="7"/>
  <c r="Q17" i="7" s="1"/>
  <c r="P16" i="7"/>
  <c r="Q16" i="7" s="1"/>
  <c r="Q15" i="7"/>
  <c r="R15" i="7" s="1"/>
  <c r="P15" i="7"/>
  <c r="P14" i="7"/>
  <c r="Q14" i="7" s="1"/>
  <c r="P13" i="7"/>
  <c r="Q13" i="7" s="1"/>
  <c r="P12" i="7"/>
  <c r="Q12" i="7" s="1"/>
  <c r="P11" i="7"/>
  <c r="Q11" i="7" s="1"/>
  <c r="R11" i="7" s="1"/>
  <c r="F34" i="7"/>
  <c r="M34" i="7" s="1"/>
  <c r="E34" i="7"/>
  <c r="D34" i="7"/>
  <c r="C34" i="7"/>
  <c r="D33" i="7"/>
  <c r="C33" i="7"/>
  <c r="C32" i="7"/>
  <c r="D32" i="7" s="1"/>
  <c r="C31" i="7"/>
  <c r="D31" i="7" s="1"/>
  <c r="C30" i="7"/>
  <c r="D30" i="7" s="1"/>
  <c r="C29" i="7"/>
  <c r="D29" i="7" s="1"/>
  <c r="D28" i="7"/>
  <c r="E28" i="7" s="1"/>
  <c r="C28" i="7"/>
  <c r="C27" i="7"/>
  <c r="D27" i="7" s="1"/>
  <c r="C26" i="7"/>
  <c r="D26" i="7" s="1"/>
  <c r="D25" i="7"/>
  <c r="C25" i="7"/>
  <c r="C24" i="7"/>
  <c r="D24" i="7" s="1"/>
  <c r="C23" i="7"/>
  <c r="D23" i="7" s="1"/>
  <c r="E23" i="7" s="1"/>
  <c r="F23" i="7" s="1"/>
  <c r="M23" i="7" s="1"/>
  <c r="E22" i="7"/>
  <c r="F22" i="7" s="1"/>
  <c r="M22" i="7" s="1"/>
  <c r="D22" i="7"/>
  <c r="C22" i="7"/>
  <c r="D21" i="7"/>
  <c r="C21" i="7"/>
  <c r="D20" i="7"/>
  <c r="C20" i="7"/>
  <c r="C19" i="7"/>
  <c r="D19" i="7" s="1"/>
  <c r="C18" i="7"/>
  <c r="D18" i="7" s="1"/>
  <c r="C17" i="7"/>
  <c r="D17" i="7" s="1"/>
  <c r="D16" i="7"/>
  <c r="E16" i="7" s="1"/>
  <c r="C16" i="7"/>
  <c r="C15" i="7"/>
  <c r="D15" i="7" s="1"/>
  <c r="C14" i="7"/>
  <c r="D14" i="7" s="1"/>
  <c r="D13" i="7"/>
  <c r="C13" i="7"/>
  <c r="C12" i="7"/>
  <c r="D12" i="7" s="1"/>
  <c r="E11" i="7"/>
  <c r="F11" i="7" s="1"/>
  <c r="D11" i="7"/>
  <c r="C11" i="7"/>
  <c r="B31" i="5"/>
  <c r="I25" i="5"/>
  <c r="F25" i="5"/>
  <c r="E25" i="5"/>
  <c r="G25" i="5" s="1"/>
  <c r="H25" i="5" s="1"/>
  <c r="B25" i="5"/>
  <c r="A25" i="5"/>
  <c r="I24" i="5"/>
  <c r="F24" i="5"/>
  <c r="E24" i="5"/>
  <c r="G24" i="5" s="1"/>
  <c r="H24" i="5" s="1"/>
  <c r="B24" i="5"/>
  <c r="A24" i="5"/>
  <c r="I23" i="5"/>
  <c r="F23" i="5"/>
  <c r="E23" i="5"/>
  <c r="G23" i="5" s="1"/>
  <c r="B23" i="5"/>
  <c r="A23" i="5"/>
  <c r="I22" i="5"/>
  <c r="H22" i="5"/>
  <c r="G22" i="5"/>
  <c r="F22" i="5"/>
  <c r="E22" i="5"/>
  <c r="B22" i="5"/>
  <c r="A22" i="5"/>
  <c r="I21" i="5"/>
  <c r="F21" i="5"/>
  <c r="G21" i="5" s="1"/>
  <c r="E21" i="5"/>
  <c r="B21" i="5"/>
  <c r="A21" i="5"/>
  <c r="I20" i="5"/>
  <c r="F20" i="5"/>
  <c r="E20" i="5"/>
  <c r="G20" i="5" s="1"/>
  <c r="H20" i="5" s="1"/>
  <c r="B20" i="5"/>
  <c r="A20" i="5"/>
  <c r="I19" i="5"/>
  <c r="F19" i="5"/>
  <c r="E19" i="5"/>
  <c r="G19" i="5" s="1"/>
  <c r="H19" i="5" s="1"/>
  <c r="B19" i="5"/>
  <c r="A19" i="5"/>
  <c r="I18" i="5"/>
  <c r="F18" i="5"/>
  <c r="E18" i="5"/>
  <c r="G18" i="5" s="1"/>
  <c r="H18" i="5" s="1"/>
  <c r="B18" i="5"/>
  <c r="A18" i="5"/>
  <c r="I17" i="5"/>
  <c r="F17" i="5"/>
  <c r="E17" i="5"/>
  <c r="G17" i="5" s="1"/>
  <c r="B17" i="5"/>
  <c r="A17" i="5"/>
  <c r="I16" i="5"/>
  <c r="H16" i="5"/>
  <c r="G16" i="5"/>
  <c r="F16" i="5"/>
  <c r="E16" i="5"/>
  <c r="B16" i="5"/>
  <c r="A16" i="5"/>
  <c r="I15" i="5"/>
  <c r="F15" i="5"/>
  <c r="G15" i="5" s="1"/>
  <c r="E15" i="5"/>
  <c r="B15" i="5"/>
  <c r="A15" i="5"/>
  <c r="I14" i="5"/>
  <c r="F14" i="5"/>
  <c r="E14" i="5"/>
  <c r="G14" i="5" s="1"/>
  <c r="H14" i="5" s="1"/>
  <c r="B14" i="5"/>
  <c r="A14" i="5"/>
  <c r="I13" i="5"/>
  <c r="F13" i="5"/>
  <c r="E13" i="5"/>
  <c r="G13" i="5" s="1"/>
  <c r="H13" i="5" s="1"/>
  <c r="B13" i="5"/>
  <c r="A13" i="5"/>
  <c r="I12" i="5"/>
  <c r="F12" i="5"/>
  <c r="E12" i="5"/>
  <c r="G12" i="5" s="1"/>
  <c r="H12" i="5" s="1"/>
  <c r="B12" i="5"/>
  <c r="A12" i="5"/>
  <c r="I11" i="5"/>
  <c r="F11" i="5"/>
  <c r="E11" i="5"/>
  <c r="G11" i="5" s="1"/>
  <c r="B11" i="5"/>
  <c r="A11" i="5"/>
  <c r="I10" i="5"/>
  <c r="H10" i="5"/>
  <c r="G10" i="5"/>
  <c r="F10" i="5"/>
  <c r="E10" i="5"/>
  <c r="B10" i="5"/>
  <c r="A10" i="5"/>
  <c r="I9" i="5"/>
  <c r="F9" i="5"/>
  <c r="G9" i="5" s="1"/>
  <c r="E9" i="5"/>
  <c r="B9" i="5"/>
  <c r="A9" i="5"/>
  <c r="I8" i="5"/>
  <c r="F8" i="5"/>
  <c r="E8" i="5"/>
  <c r="G8" i="5" s="1"/>
  <c r="H8" i="5" s="1"/>
  <c r="B8" i="5"/>
  <c r="A8" i="5"/>
  <c r="I7" i="5"/>
  <c r="F7" i="5"/>
  <c r="E7" i="5"/>
  <c r="G7" i="5" s="1"/>
  <c r="H7" i="5" s="1"/>
  <c r="B7" i="5"/>
  <c r="A7" i="5"/>
  <c r="I6" i="5"/>
  <c r="F6" i="5"/>
  <c r="E6" i="5"/>
  <c r="G6" i="5" s="1"/>
  <c r="H6" i="5" s="1"/>
  <c r="B6" i="5"/>
  <c r="A6" i="5"/>
  <c r="I5" i="5"/>
  <c r="F5" i="5"/>
  <c r="E5" i="5"/>
  <c r="G5" i="5" s="1"/>
  <c r="B5" i="5"/>
  <c r="A5" i="5"/>
  <c r="I4" i="5"/>
  <c r="H4" i="5"/>
  <c r="G4" i="5"/>
  <c r="F4" i="5"/>
  <c r="E4" i="5"/>
  <c r="B4" i="5"/>
  <c r="A4" i="5"/>
  <c r="I3" i="5"/>
  <c r="F3" i="5"/>
  <c r="G3" i="5" s="1"/>
  <c r="E3" i="5"/>
  <c r="B3" i="5"/>
  <c r="A3" i="5"/>
  <c r="I2" i="5"/>
  <c r="G2" i="5"/>
  <c r="F2" i="5"/>
  <c r="E2" i="5"/>
  <c r="B2" i="5"/>
  <c r="A2" i="5"/>
  <c r="C25" i="3"/>
  <c r="C24" i="3"/>
  <c r="C23" i="3"/>
  <c r="C22" i="3"/>
  <c r="C21" i="3"/>
  <c r="C20" i="3"/>
  <c r="D20" i="3" s="1"/>
  <c r="C19" i="3"/>
  <c r="C18" i="3"/>
  <c r="C17" i="3"/>
  <c r="C16" i="3"/>
  <c r="C15" i="3"/>
  <c r="C14" i="3"/>
  <c r="C13" i="3"/>
  <c r="C12" i="3"/>
  <c r="C11" i="3"/>
  <c r="C10" i="3"/>
  <c r="C9" i="3"/>
  <c r="C8" i="3"/>
  <c r="C7" i="3"/>
  <c r="C6" i="3"/>
  <c r="C5" i="3"/>
  <c r="C4" i="3"/>
  <c r="C3" i="3"/>
  <c r="C2" i="3"/>
  <c r="D25" i="3"/>
  <c r="D24" i="3"/>
  <c r="D23" i="3"/>
  <c r="D22" i="3"/>
  <c r="D21" i="3"/>
  <c r="D19" i="3"/>
  <c r="D18" i="3"/>
  <c r="D17" i="3"/>
  <c r="D16" i="3"/>
  <c r="D15" i="3"/>
  <c r="D14" i="3"/>
  <c r="D13" i="3"/>
  <c r="D12" i="3"/>
  <c r="D11" i="3"/>
  <c r="D10" i="3"/>
  <c r="D9" i="3"/>
  <c r="D8" i="3"/>
  <c r="D7" i="3"/>
  <c r="H6" i="3"/>
  <c r="D6" i="3"/>
  <c r="H5" i="3"/>
  <c r="D5" i="3"/>
  <c r="H4" i="3"/>
  <c r="B4" i="3"/>
  <c r="H3" i="3"/>
  <c r="B3" i="3"/>
  <c r="L2" i="3"/>
  <c r="D2" i="3"/>
  <c r="B2" i="3"/>
  <c r="B53" i="2"/>
  <c r="B54" i="2" s="1"/>
  <c r="B55" i="2" s="1"/>
  <c r="B50" i="2"/>
  <c r="B21" i="2"/>
  <c r="B20" i="2"/>
  <c r="A3" i="6"/>
  <c r="B3" i="6"/>
  <c r="A4" i="6"/>
  <c r="A5" i="6"/>
  <c r="A6" i="6"/>
  <c r="A7" i="6"/>
  <c r="A8" i="6"/>
  <c r="A9" i="6"/>
  <c r="A10" i="6"/>
  <c r="A11" i="6"/>
  <c r="A12" i="6"/>
  <c r="A13" i="6"/>
  <c r="A14" i="6"/>
  <c r="A15" i="6"/>
  <c r="A16" i="6"/>
  <c r="A17" i="6"/>
  <c r="A18" i="6"/>
  <c r="A19" i="6"/>
  <c r="A20" i="6"/>
  <c r="A21" i="6"/>
  <c r="A22" i="6"/>
  <c r="A23" i="6"/>
  <c r="A24" i="6"/>
  <c r="A25" i="6"/>
  <c r="B2" i="6"/>
  <c r="A2" i="6"/>
  <c r="A25" i="4"/>
  <c r="A24" i="4"/>
  <c r="A23" i="4"/>
  <c r="A22" i="4"/>
  <c r="A21" i="4"/>
  <c r="A20" i="4"/>
  <c r="A19" i="4"/>
  <c r="A18" i="4"/>
  <c r="A17" i="4"/>
  <c r="A16" i="4"/>
  <c r="A15" i="4"/>
  <c r="A14" i="4"/>
  <c r="A13" i="4"/>
  <c r="A12" i="4"/>
  <c r="A11" i="4"/>
  <c r="A10" i="4"/>
  <c r="A9" i="4"/>
  <c r="A8" i="4"/>
  <c r="A7" i="4"/>
  <c r="A6" i="4"/>
  <c r="A5" i="4"/>
  <c r="A4" i="4"/>
  <c r="B3" i="4"/>
  <c r="A3" i="4"/>
  <c r="B2" i="4"/>
  <c r="A2" i="4"/>
  <c r="B12" i="2"/>
  <c r="B13" i="2" s="1"/>
  <c r="B6" i="9" l="1"/>
  <c r="B10" i="9" s="1"/>
  <c r="B11" i="9"/>
  <c r="B13" i="9" s="1"/>
  <c r="B15" i="9" s="1"/>
  <c r="R31" i="7"/>
  <c r="S31" i="7"/>
  <c r="Z31" i="7" s="1"/>
  <c r="M11" i="7"/>
  <c r="H11" i="7"/>
  <c r="AE18" i="7"/>
  <c r="AF18" i="7" s="1"/>
  <c r="AM18" i="7" s="1"/>
  <c r="E32" i="7"/>
  <c r="F32" i="7" s="1"/>
  <c r="M32" i="7" s="1"/>
  <c r="S33" i="7"/>
  <c r="Z33" i="7" s="1"/>
  <c r="AE30" i="7"/>
  <c r="AF30" i="7" s="1"/>
  <c r="AM30" i="7" s="1"/>
  <c r="E19" i="7"/>
  <c r="F19" i="7" s="1"/>
  <c r="M19" i="7" s="1"/>
  <c r="E20" i="7"/>
  <c r="F20" i="7"/>
  <c r="M20" i="7" s="1"/>
  <c r="E30" i="7"/>
  <c r="F30" i="7"/>
  <c r="M30" i="7" s="1"/>
  <c r="E27" i="7"/>
  <c r="F27" i="7" s="1"/>
  <c r="M27" i="7" s="1"/>
  <c r="S11" i="7"/>
  <c r="S20" i="7"/>
  <c r="Z20" i="7" s="1"/>
  <c r="S24" i="7"/>
  <c r="Z24" i="7" s="1"/>
  <c r="R24" i="7"/>
  <c r="AE13" i="7"/>
  <c r="AF13" i="7" s="1"/>
  <c r="AM13" i="7" s="1"/>
  <c r="AE17" i="7"/>
  <c r="AF17" i="7" s="1"/>
  <c r="AM17" i="7" s="1"/>
  <c r="AE22" i="7"/>
  <c r="AF22" i="7" s="1"/>
  <c r="AM22" i="7" s="1"/>
  <c r="R19" i="7"/>
  <c r="S19" i="7" s="1"/>
  <c r="Z19" i="7" s="1"/>
  <c r="E14" i="7"/>
  <c r="F14" i="7" s="1"/>
  <c r="M14" i="7" s="1"/>
  <c r="E21" i="7"/>
  <c r="F21" i="7" s="1"/>
  <c r="M21" i="7" s="1"/>
  <c r="E31" i="7"/>
  <c r="F31" i="7" s="1"/>
  <c r="M31" i="7" s="1"/>
  <c r="R20" i="7"/>
  <c r="R28" i="7"/>
  <c r="S28" i="7" s="1"/>
  <c r="Z28" i="7" s="1"/>
  <c r="R33" i="7"/>
  <c r="E24" i="7"/>
  <c r="F24" i="7" s="1"/>
  <c r="M24" i="7" s="1"/>
  <c r="R12" i="7"/>
  <c r="S12" i="7" s="1"/>
  <c r="Z12" i="7" s="1"/>
  <c r="AE31" i="7"/>
  <c r="AF31" i="7" s="1"/>
  <c r="AM31" i="7" s="1"/>
  <c r="AE16" i="7"/>
  <c r="AF16" i="7" s="1"/>
  <c r="AM16" i="7" s="1"/>
  <c r="S16" i="7"/>
  <c r="Z16" i="7" s="1"/>
  <c r="R16" i="7"/>
  <c r="R25" i="7"/>
  <c r="S25" i="7" s="1"/>
  <c r="Z25" i="7" s="1"/>
  <c r="AF23" i="7"/>
  <c r="AM23" i="7" s="1"/>
  <c r="AE23" i="7"/>
  <c r="S32" i="7"/>
  <c r="Z32" i="7" s="1"/>
  <c r="E17" i="7"/>
  <c r="F17" i="7" s="1"/>
  <c r="M17" i="7" s="1"/>
  <c r="F12" i="7"/>
  <c r="M12" i="7" s="1"/>
  <c r="E12" i="7"/>
  <c r="S29" i="7"/>
  <c r="Z29" i="7" s="1"/>
  <c r="R29" i="7"/>
  <c r="S34" i="7"/>
  <c r="Z34" i="7" s="1"/>
  <c r="AF19" i="7"/>
  <c r="AM19" i="7" s="1"/>
  <c r="AF27" i="7"/>
  <c r="AM27" i="7" s="1"/>
  <c r="AE27" i="7"/>
  <c r="E18" i="7"/>
  <c r="F18" i="7"/>
  <c r="M18" i="7" s="1"/>
  <c r="F33" i="7"/>
  <c r="M33" i="7" s="1"/>
  <c r="S26" i="7"/>
  <c r="Z26" i="7" s="1"/>
  <c r="R26" i="7"/>
  <c r="AE11" i="7"/>
  <c r="AF11" i="7" s="1"/>
  <c r="AE15" i="7"/>
  <c r="AF15" i="7" s="1"/>
  <c r="AM15" i="7" s="1"/>
  <c r="AE20" i="7"/>
  <c r="AF20" i="7" s="1"/>
  <c r="AM20" i="7" s="1"/>
  <c r="AF28" i="7"/>
  <c r="AM28" i="7" s="1"/>
  <c r="AE28" i="7"/>
  <c r="E26" i="7"/>
  <c r="F26" i="7" s="1"/>
  <c r="M26" i="7" s="1"/>
  <c r="E29" i="7"/>
  <c r="F29" i="7" s="1"/>
  <c r="M29" i="7" s="1"/>
  <c r="R14" i="7"/>
  <c r="S14" i="7" s="1"/>
  <c r="Z14" i="7" s="1"/>
  <c r="S18" i="7"/>
  <c r="Z18" i="7" s="1"/>
  <c r="R18" i="7"/>
  <c r="E15" i="7"/>
  <c r="F15" i="7" s="1"/>
  <c r="M15" i="7" s="1"/>
  <c r="S13" i="7"/>
  <c r="Z13" i="7" s="1"/>
  <c r="R13" i="7"/>
  <c r="E33" i="7"/>
  <c r="R17" i="7"/>
  <c r="S17" i="7"/>
  <c r="Z17" i="7" s="1"/>
  <c r="S30" i="7"/>
  <c r="Z30" i="7" s="1"/>
  <c r="R30" i="7"/>
  <c r="AE24" i="7"/>
  <c r="AF24" i="7" s="1"/>
  <c r="AM24" i="7" s="1"/>
  <c r="S22" i="7"/>
  <c r="Z22" i="7" s="1"/>
  <c r="AF33" i="7"/>
  <c r="AM33" i="7" s="1"/>
  <c r="R23" i="7"/>
  <c r="S23" i="7" s="1"/>
  <c r="Z23" i="7" s="1"/>
  <c r="AE12" i="7"/>
  <c r="AF12" i="7" s="1"/>
  <c r="AM12" i="7" s="1"/>
  <c r="AE25" i="7"/>
  <c r="AF25" i="7" s="1"/>
  <c r="AM25" i="7" s="1"/>
  <c r="AE29" i="7"/>
  <c r="AF29" i="7" s="1"/>
  <c r="AM29" i="7" s="1"/>
  <c r="AF34" i="7"/>
  <c r="AM34" i="7" s="1"/>
  <c r="AE34" i="7"/>
  <c r="F16" i="7"/>
  <c r="M16" i="7" s="1"/>
  <c r="F28" i="7"/>
  <c r="M28" i="7" s="1"/>
  <c r="S15" i="7"/>
  <c r="Z15" i="7" s="1"/>
  <c r="S27" i="7"/>
  <c r="Z27" i="7" s="1"/>
  <c r="AF14" i="7"/>
  <c r="AM14" i="7" s="1"/>
  <c r="AF26" i="7"/>
  <c r="AM26" i="7" s="1"/>
  <c r="E13" i="7"/>
  <c r="F13" i="7" s="1"/>
  <c r="M13" i="7" s="1"/>
  <c r="E25" i="7"/>
  <c r="F25" i="7" s="1"/>
  <c r="M25" i="7" s="1"/>
  <c r="H3" i="5"/>
  <c r="H15" i="5"/>
  <c r="H17" i="5"/>
  <c r="H9" i="5"/>
  <c r="H11" i="5"/>
  <c r="H21" i="5"/>
  <c r="H5" i="5"/>
  <c r="H23" i="5"/>
  <c r="H2" i="5"/>
  <c r="F2" i="3"/>
  <c r="E2" i="3"/>
  <c r="F17" i="3"/>
  <c r="E17" i="3"/>
  <c r="G17" i="3" s="1"/>
  <c r="M17" i="3" s="1"/>
  <c r="E24" i="3"/>
  <c r="F24" i="3"/>
  <c r="E20" i="3"/>
  <c r="F20" i="3"/>
  <c r="F9" i="3"/>
  <c r="E9" i="3"/>
  <c r="F15" i="3"/>
  <c r="E15" i="3"/>
  <c r="E10" i="3"/>
  <c r="F10" i="3"/>
  <c r="E22" i="3"/>
  <c r="F22" i="3"/>
  <c r="F11" i="3"/>
  <c r="E11" i="3"/>
  <c r="E12" i="3"/>
  <c r="F12" i="3"/>
  <c r="E8" i="3"/>
  <c r="F8" i="3"/>
  <c r="E14" i="3"/>
  <c r="F14" i="3"/>
  <c r="F21" i="3"/>
  <c r="E21" i="3"/>
  <c r="E16" i="3"/>
  <c r="F16" i="3"/>
  <c r="F23" i="3"/>
  <c r="E23" i="3"/>
  <c r="E6" i="3"/>
  <c r="F6" i="3"/>
  <c r="F7" i="3"/>
  <c r="E7" i="3"/>
  <c r="F19" i="3"/>
  <c r="E19" i="3"/>
  <c r="F25" i="3"/>
  <c r="E25" i="3"/>
  <c r="F5" i="3"/>
  <c r="E5" i="3"/>
  <c r="G5" i="3" s="1"/>
  <c r="M5" i="3" s="1"/>
  <c r="E18" i="3"/>
  <c r="F18" i="3"/>
  <c r="F13" i="3"/>
  <c r="E13" i="3"/>
  <c r="D4" i="3"/>
  <c r="D3" i="3"/>
  <c r="B4" i="4"/>
  <c r="B5" i="3"/>
  <c r="B4" i="6"/>
  <c r="I25" i="6" l="1"/>
  <c r="I13" i="6"/>
  <c r="I24" i="6"/>
  <c r="I12" i="6"/>
  <c r="I22" i="6"/>
  <c r="I10" i="6"/>
  <c r="I23" i="6"/>
  <c r="I11" i="6"/>
  <c r="I15" i="6"/>
  <c r="I21" i="6"/>
  <c r="I9" i="6"/>
  <c r="I6" i="6"/>
  <c r="I3" i="6"/>
  <c r="I20" i="6"/>
  <c r="I8" i="6"/>
  <c r="I5" i="6"/>
  <c r="I14" i="6"/>
  <c r="B34" i="6" s="1"/>
  <c r="I19" i="6"/>
  <c r="I7" i="6"/>
  <c r="I18" i="6"/>
  <c r="I17" i="6"/>
  <c r="I16" i="6"/>
  <c r="I4" i="6"/>
  <c r="B30" i="9"/>
  <c r="B31" i="9"/>
  <c r="B28" i="9"/>
  <c r="G7" i="3"/>
  <c r="M7" i="3" s="1"/>
  <c r="G9" i="3"/>
  <c r="M9" i="3" s="1"/>
  <c r="G13" i="3"/>
  <c r="M13" i="3" s="1"/>
  <c r="B20" i="9" s="1"/>
  <c r="G6" i="3"/>
  <c r="M6" i="3" s="1"/>
  <c r="G20" i="3"/>
  <c r="M20" i="3" s="1"/>
  <c r="G22" i="3"/>
  <c r="M22" i="3" s="1"/>
  <c r="AM11" i="7"/>
  <c r="AH11" i="7"/>
  <c r="Z11" i="7"/>
  <c r="U11" i="7"/>
  <c r="I11" i="7"/>
  <c r="G12" i="7"/>
  <c r="H12" i="7" s="1"/>
  <c r="G18" i="3"/>
  <c r="M18" i="3" s="1"/>
  <c r="G23" i="3"/>
  <c r="M23" i="3" s="1"/>
  <c r="G24" i="3"/>
  <c r="M24" i="3" s="1"/>
  <c r="G10" i="3"/>
  <c r="M10" i="3" s="1"/>
  <c r="G19" i="3"/>
  <c r="M19" i="3" s="1"/>
  <c r="G14" i="3"/>
  <c r="M14" i="3" s="1"/>
  <c r="G15" i="3"/>
  <c r="M15" i="3" s="1"/>
  <c r="G2" i="3"/>
  <c r="J2" i="3" s="1"/>
  <c r="G16" i="3"/>
  <c r="M16" i="3" s="1"/>
  <c r="G8" i="3"/>
  <c r="M8" i="3" s="1"/>
  <c r="G12" i="3"/>
  <c r="M12" i="3" s="1"/>
  <c r="G25" i="3"/>
  <c r="M25" i="3" s="1"/>
  <c r="B21" i="9" s="1"/>
  <c r="G11" i="3"/>
  <c r="M11" i="3" s="1"/>
  <c r="G21" i="3"/>
  <c r="M21" i="3" s="1"/>
  <c r="F3" i="3"/>
  <c r="E3" i="3"/>
  <c r="E4" i="3"/>
  <c r="F4" i="3"/>
  <c r="B5" i="4"/>
  <c r="B5" i="6"/>
  <c r="B6" i="3"/>
  <c r="B35" i="6" l="1"/>
  <c r="G3" i="3"/>
  <c r="M2" i="3"/>
  <c r="B19" i="9" s="1"/>
  <c r="K2" i="3"/>
  <c r="K3" i="3" s="1"/>
  <c r="I3" i="3"/>
  <c r="L3" i="3" s="1"/>
  <c r="C2" i="4"/>
  <c r="C2" i="5"/>
  <c r="G13" i="7"/>
  <c r="H13" i="7" s="1"/>
  <c r="I12" i="7"/>
  <c r="AG12" i="7"/>
  <c r="AH12" i="7" s="1"/>
  <c r="AI11" i="7"/>
  <c r="J11" i="7"/>
  <c r="K11" i="7" s="1"/>
  <c r="L11" i="7" s="1"/>
  <c r="V11" i="7"/>
  <c r="W11" i="7"/>
  <c r="T12" i="7"/>
  <c r="U12" i="7"/>
  <c r="G4" i="3"/>
  <c r="M3" i="3"/>
  <c r="B6" i="4"/>
  <c r="B7" i="3"/>
  <c r="B6" i="6"/>
  <c r="J3" i="3" l="1"/>
  <c r="I4" i="3" s="1"/>
  <c r="L4" i="3" s="1"/>
  <c r="C3" i="4"/>
  <c r="G3" i="4" s="1"/>
  <c r="M4" i="3"/>
  <c r="AG13" i="7"/>
  <c r="AH13" i="7" s="1"/>
  <c r="AI12" i="7"/>
  <c r="AJ12" i="7"/>
  <c r="G14" i="7"/>
  <c r="H14" i="7" s="1"/>
  <c r="I13" i="7"/>
  <c r="J13" i="7"/>
  <c r="AK11" i="7"/>
  <c r="AL11" i="7" s="1"/>
  <c r="K12" i="7"/>
  <c r="L12" i="7" s="1"/>
  <c r="W12" i="7"/>
  <c r="T13" i="7"/>
  <c r="U13" i="7" s="1"/>
  <c r="V12" i="7"/>
  <c r="J12" i="7"/>
  <c r="X11" i="7"/>
  <c r="Y11" i="7" s="1"/>
  <c r="AJ11" i="7"/>
  <c r="K4" i="3"/>
  <c r="K5" i="3" s="1"/>
  <c r="K6" i="3" s="1"/>
  <c r="B7" i="4"/>
  <c r="B8" i="3"/>
  <c r="B7" i="6"/>
  <c r="D2" i="4"/>
  <c r="D2" i="5" s="1"/>
  <c r="J2" i="5" s="1"/>
  <c r="G2" i="4"/>
  <c r="C3" i="5" l="1"/>
  <c r="D2" i="6"/>
  <c r="AI13" i="7"/>
  <c r="AG14" i="7"/>
  <c r="AH14" i="7" s="1"/>
  <c r="AJ13" i="7"/>
  <c r="T14" i="7"/>
  <c r="U14" i="7" s="1"/>
  <c r="V13" i="7"/>
  <c r="W13" i="7" s="1"/>
  <c r="L13" i="7"/>
  <c r="G15" i="7"/>
  <c r="H15" i="7" s="1"/>
  <c r="J14" i="7"/>
  <c r="I14" i="7"/>
  <c r="K13" i="7"/>
  <c r="X12" i="7"/>
  <c r="Y12" i="7" s="1"/>
  <c r="AK12" i="7"/>
  <c r="AL12" i="7" s="1"/>
  <c r="J4" i="3"/>
  <c r="B8" i="6"/>
  <c r="B8" i="4"/>
  <c r="B9" i="3"/>
  <c r="C2" i="6"/>
  <c r="E2" i="4"/>
  <c r="F2" i="4" s="1"/>
  <c r="I5" i="3" l="1"/>
  <c r="J5" i="3" s="1"/>
  <c r="I6" i="3" s="1"/>
  <c r="J6" i="3" s="1"/>
  <c r="C4" i="5"/>
  <c r="C4" i="4"/>
  <c r="AL13" i="7"/>
  <c r="I15" i="7"/>
  <c r="H16" i="7"/>
  <c r="G16" i="7"/>
  <c r="V14" i="7"/>
  <c r="T15" i="7"/>
  <c r="U15" i="7" s="1"/>
  <c r="W14" i="7"/>
  <c r="AI14" i="7"/>
  <c r="AG15" i="7"/>
  <c r="AH15" i="7" s="1"/>
  <c r="X13" i="7"/>
  <c r="Y13" i="7" s="1"/>
  <c r="K14" i="7"/>
  <c r="L14" i="7" s="1"/>
  <c r="AK13" i="7"/>
  <c r="B9" i="6"/>
  <c r="B10" i="3"/>
  <c r="B9" i="4"/>
  <c r="E2" i="6"/>
  <c r="D3" i="4"/>
  <c r="D3" i="5" s="1"/>
  <c r="J3" i="5" s="1"/>
  <c r="L5" i="3" l="1"/>
  <c r="L6" i="3" s="1"/>
  <c r="H7" i="3" s="1"/>
  <c r="K7" i="3" s="1"/>
  <c r="D3" i="6"/>
  <c r="F2" i="6"/>
  <c r="H2" i="6"/>
  <c r="C6" i="4"/>
  <c r="C6" i="5"/>
  <c r="C5" i="5"/>
  <c r="C5" i="4"/>
  <c r="L15" i="7"/>
  <c r="Y14" i="7"/>
  <c r="AG16" i="7"/>
  <c r="AH16" i="7" s="1"/>
  <c r="AI15" i="7"/>
  <c r="V15" i="7"/>
  <c r="T16" i="7"/>
  <c r="U16" i="7" s="1"/>
  <c r="K15" i="7"/>
  <c r="AK14" i="7"/>
  <c r="AL14" i="7" s="1"/>
  <c r="I16" i="7"/>
  <c r="H17" i="7"/>
  <c r="G17" i="7"/>
  <c r="AJ14" i="7"/>
  <c r="X14" i="7"/>
  <c r="J15" i="7"/>
  <c r="I7" i="3"/>
  <c r="B11" i="3"/>
  <c r="B10" i="6"/>
  <c r="B10" i="4"/>
  <c r="G2" i="6"/>
  <c r="E3" i="4"/>
  <c r="F3" i="4" s="1"/>
  <c r="C3" i="6"/>
  <c r="J7" i="3" l="1"/>
  <c r="C7" i="5" s="1"/>
  <c r="T17" i="7"/>
  <c r="V16" i="7"/>
  <c r="U17" i="7"/>
  <c r="AG17" i="7"/>
  <c r="AH17" i="7" s="1"/>
  <c r="AI16" i="7"/>
  <c r="W15" i="7"/>
  <c r="X15" i="7" s="1"/>
  <c r="Y15" i="7" s="1"/>
  <c r="G18" i="7"/>
  <c r="I17" i="7"/>
  <c r="H18" i="7"/>
  <c r="J16" i="7"/>
  <c r="K16" i="7" s="1"/>
  <c r="L16" i="7" s="1"/>
  <c r="AJ15" i="7"/>
  <c r="AK15" i="7" s="1"/>
  <c r="AL15" i="7" s="1"/>
  <c r="B11" i="4"/>
  <c r="B12" i="3"/>
  <c r="B11" i="6"/>
  <c r="L7" i="3"/>
  <c r="E3" i="6"/>
  <c r="G5" i="4"/>
  <c r="D4" i="4"/>
  <c r="D4" i="5" s="1"/>
  <c r="J4" i="5" s="1"/>
  <c r="G4" i="4"/>
  <c r="C7" i="4" l="1"/>
  <c r="I8" i="3"/>
  <c r="L8" i="3" s="1"/>
  <c r="H9" i="3" s="1"/>
  <c r="G3" i="6"/>
  <c r="H3" i="6"/>
  <c r="F3" i="6"/>
  <c r="D4" i="6"/>
  <c r="AG18" i="7"/>
  <c r="AH18" i="7" s="1"/>
  <c r="AI17" i="7"/>
  <c r="AJ17" i="7" s="1"/>
  <c r="AJ16" i="7"/>
  <c r="AK16" i="7" s="1"/>
  <c r="AL16" i="7" s="1"/>
  <c r="G19" i="7"/>
  <c r="H19" i="7" s="1"/>
  <c r="J18" i="7"/>
  <c r="I18" i="7"/>
  <c r="T18" i="7"/>
  <c r="U18" i="7" s="1"/>
  <c r="V17" i="7"/>
  <c r="J17" i="7"/>
  <c r="K17" i="7" s="1"/>
  <c r="L17" i="7" s="1"/>
  <c r="W16" i="7"/>
  <c r="X16" i="7" s="1"/>
  <c r="Y16" i="7" s="1"/>
  <c r="H8" i="3"/>
  <c r="K8" i="3" s="1"/>
  <c r="B12" i="4"/>
  <c r="B13" i="3"/>
  <c r="B12" i="6"/>
  <c r="E4" i="4"/>
  <c r="F4" i="4" s="1"/>
  <c r="C4" i="6"/>
  <c r="D5" i="4"/>
  <c r="D5" i="5" s="1"/>
  <c r="J5" i="5" s="1"/>
  <c r="D5" i="6" s="1"/>
  <c r="AI18" i="7" l="1"/>
  <c r="AG19" i="7"/>
  <c r="AH19" i="7" s="1"/>
  <c r="AJ18" i="7"/>
  <c r="T19" i="7"/>
  <c r="U19" i="7"/>
  <c r="V18" i="7"/>
  <c r="G20" i="7"/>
  <c r="H20" i="7" s="1"/>
  <c r="I19" i="7"/>
  <c r="AK17" i="7"/>
  <c r="AL17" i="7" s="1"/>
  <c r="W17" i="7"/>
  <c r="X17" i="7" s="1"/>
  <c r="Y17" i="7" s="1"/>
  <c r="K18" i="7"/>
  <c r="L18" i="7" s="1"/>
  <c r="J8" i="3"/>
  <c r="K9" i="3"/>
  <c r="B13" i="4"/>
  <c r="B13" i="6"/>
  <c r="B14" i="3"/>
  <c r="E4" i="6"/>
  <c r="C5" i="6"/>
  <c r="E5" i="4"/>
  <c r="F5" i="4" s="1"/>
  <c r="F4" i="6" l="1"/>
  <c r="H4" i="6"/>
  <c r="I9" i="3"/>
  <c r="L9" i="3" s="1"/>
  <c r="H10" i="3" s="1"/>
  <c r="K10" i="3" s="1"/>
  <c r="C8" i="4"/>
  <c r="C8" i="5"/>
  <c r="I20" i="7"/>
  <c r="G21" i="7"/>
  <c r="H21" i="7" s="1"/>
  <c r="J20" i="7"/>
  <c r="AI19" i="7"/>
  <c r="AJ19" i="7" s="1"/>
  <c r="AG20" i="7"/>
  <c r="AH20" i="7" s="1"/>
  <c r="V19" i="7"/>
  <c r="W19" i="7" s="1"/>
  <c r="T20" i="7"/>
  <c r="U20" i="7" s="1"/>
  <c r="J19" i="7"/>
  <c r="K19" i="7" s="1"/>
  <c r="L19" i="7" s="1"/>
  <c r="W18" i="7"/>
  <c r="X18" i="7" s="1"/>
  <c r="Y18" i="7" s="1"/>
  <c r="AK18" i="7"/>
  <c r="AL18" i="7" s="1"/>
  <c r="B14" i="6"/>
  <c r="B15" i="3"/>
  <c r="B14" i="4"/>
  <c r="E5" i="6"/>
  <c r="H5" i="6" s="1"/>
  <c r="D6" i="4"/>
  <c r="D6" i="5" s="1"/>
  <c r="J6" i="5" s="1"/>
  <c r="G6" i="4"/>
  <c r="G4" i="6"/>
  <c r="B42" i="9" s="1"/>
  <c r="J9" i="3" l="1"/>
  <c r="I10" i="3" s="1"/>
  <c r="L10" i="3" s="1"/>
  <c r="H11" i="3" s="1"/>
  <c r="K11" i="3" s="1"/>
  <c r="D6" i="6"/>
  <c r="V20" i="7"/>
  <c r="W20" i="7" s="1"/>
  <c r="T21" i="7"/>
  <c r="U21" i="7"/>
  <c r="AI20" i="7"/>
  <c r="AJ20" i="7"/>
  <c r="AG21" i="7"/>
  <c r="AH21" i="7" s="1"/>
  <c r="J21" i="7"/>
  <c r="I21" i="7"/>
  <c r="G22" i="7"/>
  <c r="H22" i="7" s="1"/>
  <c r="K20" i="7"/>
  <c r="L20" i="7" s="1"/>
  <c r="X19" i="7"/>
  <c r="Y19" i="7" s="1"/>
  <c r="AK19" i="7"/>
  <c r="AL19" i="7" s="1"/>
  <c r="B15" i="6"/>
  <c r="B16" i="3"/>
  <c r="B15" i="4"/>
  <c r="F5" i="6"/>
  <c r="E6" i="4"/>
  <c r="F6" i="4" s="1"/>
  <c r="C6" i="6"/>
  <c r="G5" i="6"/>
  <c r="C9" i="5" l="1"/>
  <c r="C9" i="4"/>
  <c r="J10" i="3"/>
  <c r="C10" i="5" s="1"/>
  <c r="AL20" i="7"/>
  <c r="Y20" i="7"/>
  <c r="I22" i="7"/>
  <c r="G23" i="7"/>
  <c r="H23" i="7" s="1"/>
  <c r="AI21" i="7"/>
  <c r="AJ21" i="7" s="1"/>
  <c r="AG22" i="7"/>
  <c r="AH22" i="7" s="1"/>
  <c r="V21" i="7"/>
  <c r="W21" i="7"/>
  <c r="T22" i="7"/>
  <c r="U22" i="7" s="1"/>
  <c r="AK20" i="7"/>
  <c r="X20" i="7"/>
  <c r="K21" i="7"/>
  <c r="L21" i="7" s="1"/>
  <c r="B17" i="3"/>
  <c r="B16" i="6"/>
  <c r="B16" i="4"/>
  <c r="G8" i="4"/>
  <c r="D7" i="4"/>
  <c r="D7" i="5" s="1"/>
  <c r="J7" i="5" s="1"/>
  <c r="G7" i="4"/>
  <c r="E6" i="6"/>
  <c r="I11" i="3" l="1"/>
  <c r="L11" i="3" s="1"/>
  <c r="H12" i="3" s="1"/>
  <c r="K12" i="3" s="1"/>
  <c r="C10" i="4"/>
  <c r="D7" i="6"/>
  <c r="V22" i="7"/>
  <c r="T23" i="7"/>
  <c r="U23" i="7" s="1"/>
  <c r="AI22" i="7"/>
  <c r="AG23" i="7"/>
  <c r="AH23" i="7"/>
  <c r="I23" i="7"/>
  <c r="J23" i="7" s="1"/>
  <c r="H24" i="7"/>
  <c r="G24" i="7"/>
  <c r="AK21" i="7"/>
  <c r="AL21" i="7" s="1"/>
  <c r="X21" i="7"/>
  <c r="Y21" i="7" s="1"/>
  <c r="J22" i="7"/>
  <c r="K22" i="7" s="1"/>
  <c r="L22" i="7" s="1"/>
  <c r="G6" i="6"/>
  <c r="H6" i="6"/>
  <c r="B17" i="4"/>
  <c r="B18" i="3"/>
  <c r="B17" i="6"/>
  <c r="F6" i="6"/>
  <c r="D8" i="4"/>
  <c r="D8" i="5" s="1"/>
  <c r="J8" i="5" s="1"/>
  <c r="D8" i="6" s="1"/>
  <c r="E7" i="4"/>
  <c r="F7" i="4" s="1"/>
  <c r="C7" i="6"/>
  <c r="J11" i="3" l="1"/>
  <c r="I12" i="3" s="1"/>
  <c r="L12" i="3" s="1"/>
  <c r="H13" i="3" s="1"/>
  <c r="K13" i="3" s="1"/>
  <c r="V23" i="7"/>
  <c r="T24" i="7"/>
  <c r="U24" i="7" s="1"/>
  <c r="G25" i="7"/>
  <c r="H25" i="7"/>
  <c r="I24" i="7"/>
  <c r="J24" i="7" s="1"/>
  <c r="AJ23" i="7"/>
  <c r="AH24" i="7"/>
  <c r="AG24" i="7"/>
  <c r="AI23" i="7"/>
  <c r="W22" i="7"/>
  <c r="X22" i="7" s="1"/>
  <c r="Y22" i="7" s="1"/>
  <c r="K23" i="7"/>
  <c r="L23" i="7" s="1"/>
  <c r="AJ22" i="7"/>
  <c r="AK22" i="7" s="1"/>
  <c r="AL22" i="7" s="1"/>
  <c r="B18" i="4"/>
  <c r="B18" i="6"/>
  <c r="B19" i="3"/>
  <c r="D9" i="4"/>
  <c r="D9" i="5" s="1"/>
  <c r="J9" i="5" s="1"/>
  <c r="D9" i="6" s="1"/>
  <c r="E8" i="4"/>
  <c r="F8" i="4" s="1"/>
  <c r="C8" i="6"/>
  <c r="E7" i="6"/>
  <c r="C11" i="5" l="1"/>
  <c r="J12" i="3"/>
  <c r="C12" i="5" s="1"/>
  <c r="C11" i="4"/>
  <c r="L24" i="7"/>
  <c r="T25" i="7"/>
  <c r="U25" i="7" s="1"/>
  <c r="V24" i="7"/>
  <c r="AG25" i="7"/>
  <c r="AH25" i="7" s="1"/>
  <c r="AJ24" i="7"/>
  <c r="AI24" i="7"/>
  <c r="H26" i="7"/>
  <c r="G26" i="7"/>
  <c r="I25" i="7"/>
  <c r="K24" i="7"/>
  <c r="AK23" i="7"/>
  <c r="AL23" i="7" s="1"/>
  <c r="W23" i="7"/>
  <c r="X23" i="7" s="1"/>
  <c r="Y23" i="7" s="1"/>
  <c r="G7" i="6"/>
  <c r="H7" i="6"/>
  <c r="B19" i="4"/>
  <c r="B19" i="6"/>
  <c r="B20" i="3"/>
  <c r="G9" i="4"/>
  <c r="F7" i="6"/>
  <c r="E8" i="6"/>
  <c r="C9" i="6"/>
  <c r="E9" i="4"/>
  <c r="F9" i="4" s="1"/>
  <c r="D10" i="4"/>
  <c r="D10" i="5" s="1"/>
  <c r="J10" i="5" s="1"/>
  <c r="D10" i="6" s="1"/>
  <c r="G10" i="4"/>
  <c r="C12" i="4" l="1"/>
  <c r="I13" i="3"/>
  <c r="J13" i="3" s="1"/>
  <c r="I14" i="3" s="1"/>
  <c r="AI25" i="7"/>
  <c r="AG26" i="7"/>
  <c r="AH26" i="7" s="1"/>
  <c r="AJ25" i="7"/>
  <c r="T26" i="7"/>
  <c r="U26" i="7" s="1"/>
  <c r="V25" i="7"/>
  <c r="G27" i="7"/>
  <c r="H27" i="7" s="1"/>
  <c r="I26" i="7"/>
  <c r="AK24" i="7"/>
  <c r="AL24" i="7" s="1"/>
  <c r="W24" i="7"/>
  <c r="X24" i="7" s="1"/>
  <c r="Y24" i="7" s="1"/>
  <c r="J25" i="7"/>
  <c r="K25" i="7" s="1"/>
  <c r="L25" i="7" s="1"/>
  <c r="F8" i="6"/>
  <c r="H8" i="6"/>
  <c r="G8" i="6"/>
  <c r="B20" i="6"/>
  <c r="B21" i="3"/>
  <c r="B20" i="4"/>
  <c r="E9" i="6"/>
  <c r="H9" i="6" s="1"/>
  <c r="G11" i="4"/>
  <c r="D11" i="4"/>
  <c r="D11" i="5" s="1"/>
  <c r="J11" i="5" s="1"/>
  <c r="D11" i="6" s="1"/>
  <c r="E10" i="4"/>
  <c r="F10" i="4" s="1"/>
  <c r="C10" i="6"/>
  <c r="C13" i="5" l="1"/>
  <c r="L13" i="3"/>
  <c r="C13" i="4"/>
  <c r="V26" i="7"/>
  <c r="T27" i="7"/>
  <c r="U27" i="7" s="1"/>
  <c r="W26" i="7"/>
  <c r="AI26" i="7"/>
  <c r="AJ26" i="7" s="1"/>
  <c r="AG27" i="7"/>
  <c r="AH27" i="7" s="1"/>
  <c r="I27" i="7"/>
  <c r="G28" i="7"/>
  <c r="H28" i="7" s="1"/>
  <c r="W25" i="7"/>
  <c r="X25" i="7" s="1"/>
  <c r="Y25" i="7" s="1"/>
  <c r="AK25" i="7"/>
  <c r="AL25" i="7" s="1"/>
  <c r="J26" i="7"/>
  <c r="K26" i="7" s="1"/>
  <c r="L26" i="7" s="1"/>
  <c r="B21" i="6"/>
  <c r="B22" i="3"/>
  <c r="B21" i="4"/>
  <c r="G9" i="6"/>
  <c r="F9" i="6"/>
  <c r="D12" i="4"/>
  <c r="D12" i="5" s="1"/>
  <c r="J12" i="5" s="1"/>
  <c r="D12" i="6" s="1"/>
  <c r="G12" i="4"/>
  <c r="E11" i="4"/>
  <c r="F11" i="4" s="1"/>
  <c r="C11" i="6"/>
  <c r="E10" i="6"/>
  <c r="H10" i="6" s="1"/>
  <c r="H14" i="3" l="1"/>
  <c r="L14" i="3"/>
  <c r="H15" i="3" s="1"/>
  <c r="I28" i="7"/>
  <c r="G29" i="7"/>
  <c r="H29" i="7" s="1"/>
  <c r="AG28" i="7"/>
  <c r="AJ27" i="7"/>
  <c r="AI27" i="7"/>
  <c r="AH28" i="7"/>
  <c r="W27" i="7"/>
  <c r="V27" i="7"/>
  <c r="T28" i="7"/>
  <c r="U28" i="7" s="1"/>
  <c r="J27" i="7"/>
  <c r="K27" i="7" s="1"/>
  <c r="L27" i="7" s="1"/>
  <c r="AK26" i="7"/>
  <c r="AL26" i="7" s="1"/>
  <c r="X26" i="7"/>
  <c r="Y26" i="7" s="1"/>
  <c r="B23" i="3"/>
  <c r="B22" i="6"/>
  <c r="B22" i="4"/>
  <c r="F10" i="6"/>
  <c r="G10" i="6"/>
  <c r="E11" i="6"/>
  <c r="H11" i="6" s="1"/>
  <c r="E12" i="4"/>
  <c r="F12" i="4" s="1"/>
  <c r="C12" i="6"/>
  <c r="K14" i="3" l="1"/>
  <c r="K15" i="3" s="1"/>
  <c r="J14" i="3"/>
  <c r="T29" i="7"/>
  <c r="V28" i="7"/>
  <c r="U29" i="7"/>
  <c r="G30" i="7"/>
  <c r="J29" i="7"/>
  <c r="I29" i="7"/>
  <c r="H30" i="7"/>
  <c r="AH29" i="7"/>
  <c r="AG29" i="7"/>
  <c r="AI28" i="7"/>
  <c r="AK27" i="7"/>
  <c r="AL27" i="7" s="1"/>
  <c r="J28" i="7"/>
  <c r="K28" i="7" s="1"/>
  <c r="L28" i="7" s="1"/>
  <c r="X27" i="7"/>
  <c r="Y27" i="7" s="1"/>
  <c r="B23" i="4"/>
  <c r="B24" i="3"/>
  <c r="B23" i="6"/>
  <c r="F11" i="6"/>
  <c r="G11" i="6"/>
  <c r="D13" i="4"/>
  <c r="D13" i="5" s="1"/>
  <c r="J13" i="5" s="1"/>
  <c r="G13" i="4"/>
  <c r="E12" i="6"/>
  <c r="H12" i="6" s="1"/>
  <c r="I15" i="3" l="1"/>
  <c r="L15" i="3" s="1"/>
  <c r="H16" i="3" s="1"/>
  <c r="K16" i="3" s="1"/>
  <c r="J15" i="3"/>
  <c r="C14" i="4"/>
  <c r="C14" i="5"/>
  <c r="D13" i="6"/>
  <c r="B28" i="5"/>
  <c r="AG30" i="7"/>
  <c r="AH30" i="7" s="1"/>
  <c r="AI29" i="7"/>
  <c r="G31" i="7"/>
  <c r="H31" i="7" s="1"/>
  <c r="I30" i="7"/>
  <c r="K29" i="7"/>
  <c r="L29" i="7" s="1"/>
  <c r="T30" i="7"/>
  <c r="U30" i="7" s="1"/>
  <c r="V29" i="7"/>
  <c r="W28" i="7"/>
  <c r="X28" i="7" s="1"/>
  <c r="Y28" i="7" s="1"/>
  <c r="AJ28" i="7"/>
  <c r="AK28" i="7" s="1"/>
  <c r="AL28" i="7" s="1"/>
  <c r="B25" i="3"/>
  <c r="B24" i="4"/>
  <c r="B24" i="6"/>
  <c r="F12" i="6"/>
  <c r="E13" i="4"/>
  <c r="F13" i="4" s="1"/>
  <c r="C13" i="6"/>
  <c r="B28" i="4"/>
  <c r="G12" i="6"/>
  <c r="C15" i="4" l="1"/>
  <c r="C15" i="5"/>
  <c r="I16" i="3"/>
  <c r="T31" i="7"/>
  <c r="U31" i="7"/>
  <c r="V30" i="7"/>
  <c r="G32" i="7"/>
  <c r="H32" i="7"/>
  <c r="I31" i="7"/>
  <c r="AI30" i="7"/>
  <c r="AG31" i="7"/>
  <c r="AH31" i="7" s="1"/>
  <c r="J30" i="7"/>
  <c r="K30" i="7" s="1"/>
  <c r="L30" i="7" s="1"/>
  <c r="AJ29" i="7"/>
  <c r="AK29" i="7" s="1"/>
  <c r="AL29" i="7" s="1"/>
  <c r="W29" i="7"/>
  <c r="X29" i="7" s="1"/>
  <c r="Y29" i="7" s="1"/>
  <c r="B25" i="4"/>
  <c r="B25" i="6"/>
  <c r="G14" i="4"/>
  <c r="D14" i="4"/>
  <c r="D14" i="5" s="1"/>
  <c r="J14" i="5" s="1"/>
  <c r="E13" i="6"/>
  <c r="J16" i="3" l="1"/>
  <c r="L16" i="3"/>
  <c r="D14" i="6"/>
  <c r="AI31" i="7"/>
  <c r="AG32" i="7"/>
  <c r="AH32" i="7" s="1"/>
  <c r="K31" i="7"/>
  <c r="L31" i="7" s="1"/>
  <c r="J31" i="7"/>
  <c r="I32" i="7"/>
  <c r="H33" i="7"/>
  <c r="G33" i="7"/>
  <c r="V31" i="7"/>
  <c r="T32" i="7"/>
  <c r="U32" i="7" s="1"/>
  <c r="W31" i="7"/>
  <c r="W30" i="7"/>
  <c r="X30" i="7" s="1"/>
  <c r="Y30" i="7" s="1"/>
  <c r="AJ30" i="7"/>
  <c r="AK30" i="7" s="1"/>
  <c r="AL30" i="7" s="1"/>
  <c r="B28" i="6"/>
  <c r="H13" i="6"/>
  <c r="F13" i="6"/>
  <c r="C14" i="6"/>
  <c r="E14" i="4"/>
  <c r="F14" i="4" s="1"/>
  <c r="G13" i="6"/>
  <c r="H17" i="3" l="1"/>
  <c r="K17" i="3" s="1"/>
  <c r="I17" i="3"/>
  <c r="L17" i="3" s="1"/>
  <c r="H18" i="3" s="1"/>
  <c r="K18" i="3" s="1"/>
  <c r="C16" i="5"/>
  <c r="C16" i="4"/>
  <c r="G16" i="4" s="1"/>
  <c r="J17" i="3"/>
  <c r="V32" i="7"/>
  <c r="T33" i="7"/>
  <c r="U33" i="7"/>
  <c r="AI32" i="7"/>
  <c r="AH33" i="7"/>
  <c r="AG33" i="7"/>
  <c r="J33" i="7"/>
  <c r="G34" i="7"/>
  <c r="H34" i="7" s="1"/>
  <c r="I33" i="7"/>
  <c r="X31" i="7"/>
  <c r="Y31" i="7" s="1"/>
  <c r="AJ31" i="7"/>
  <c r="AK31" i="7" s="1"/>
  <c r="AL31" i="7" s="1"/>
  <c r="J32" i="7"/>
  <c r="K32" i="7" s="1"/>
  <c r="L32" i="7" s="1"/>
  <c r="D15" i="4"/>
  <c r="D15" i="5" s="1"/>
  <c r="J15" i="5" s="1"/>
  <c r="G15" i="4"/>
  <c r="E14" i="6"/>
  <c r="H14" i="6" s="1"/>
  <c r="J18" i="3" l="1"/>
  <c r="I19" i="3" s="1"/>
  <c r="L19" i="3" s="1"/>
  <c r="C17" i="5"/>
  <c r="I18" i="3"/>
  <c r="L18" i="3" s="1"/>
  <c r="H19" i="3" s="1"/>
  <c r="K19" i="3" s="1"/>
  <c r="C17" i="4"/>
  <c r="C18" i="5"/>
  <c r="C18" i="4"/>
  <c r="H20" i="3"/>
  <c r="K20" i="3" s="1"/>
  <c r="D15" i="6"/>
  <c r="I34" i="7"/>
  <c r="AI33" i="7"/>
  <c r="AG34" i="7"/>
  <c r="AH34" i="7"/>
  <c r="AJ32" i="7"/>
  <c r="AK32" i="7" s="1"/>
  <c r="AL32" i="7" s="1"/>
  <c r="W33" i="7"/>
  <c r="V33" i="7"/>
  <c r="T34" i="7"/>
  <c r="U34" i="7" s="1"/>
  <c r="K33" i="7"/>
  <c r="L33" i="7" s="1"/>
  <c r="W32" i="7"/>
  <c r="X32" i="7" s="1"/>
  <c r="Y32" i="7" s="1"/>
  <c r="G14" i="6"/>
  <c r="F14" i="6"/>
  <c r="D16" i="4"/>
  <c r="D16" i="5" s="1"/>
  <c r="J16" i="5" s="1"/>
  <c r="D16" i="6" s="1"/>
  <c r="E15" i="4"/>
  <c r="F15" i="4" s="1"/>
  <c r="C15" i="6"/>
  <c r="J19" i="3" l="1"/>
  <c r="I20" i="3" s="1"/>
  <c r="L20" i="3" s="1"/>
  <c r="C19" i="4"/>
  <c r="C19" i="5"/>
  <c r="H21" i="3"/>
  <c r="K21" i="3" s="1"/>
  <c r="J20" i="3"/>
  <c r="V34" i="7"/>
  <c r="AI34" i="7"/>
  <c r="AJ33" i="7"/>
  <c r="AK33" i="7" s="1"/>
  <c r="AL33" i="7" s="1"/>
  <c r="J34" i="7"/>
  <c r="K34" i="7" s="1"/>
  <c r="L34" i="7" s="1"/>
  <c r="X33" i="7"/>
  <c r="Y33" i="7" s="1"/>
  <c r="E15" i="6"/>
  <c r="F15" i="6" s="1"/>
  <c r="E16" i="4"/>
  <c r="F16" i="4" s="1"/>
  <c r="C16" i="6"/>
  <c r="C20" i="4" l="1"/>
  <c r="I21" i="3"/>
  <c r="L21" i="3" s="1"/>
  <c r="C20" i="5"/>
  <c r="AJ34" i="7"/>
  <c r="AK34" i="7" s="1"/>
  <c r="AL34" i="7" s="1"/>
  <c r="W34" i="7"/>
  <c r="X34" i="7" s="1"/>
  <c r="Y34" i="7" s="1"/>
  <c r="G15" i="6"/>
  <c r="H15" i="6"/>
  <c r="E16" i="6"/>
  <c r="F16" i="6" s="1"/>
  <c r="D17" i="4"/>
  <c r="D17" i="5" s="1"/>
  <c r="J17" i="5" s="1"/>
  <c r="G17" i="4"/>
  <c r="J21" i="3" l="1"/>
  <c r="H22" i="3"/>
  <c r="K22" i="3" s="1"/>
  <c r="I22" i="3"/>
  <c r="L22" i="3" s="1"/>
  <c r="C21" i="4"/>
  <c r="C21" i="5"/>
  <c r="D17" i="6"/>
  <c r="H16" i="6"/>
  <c r="G16" i="6"/>
  <c r="G18" i="4"/>
  <c r="D18" i="4"/>
  <c r="D18" i="5" s="1"/>
  <c r="J18" i="5" s="1"/>
  <c r="D18" i="6" s="1"/>
  <c r="E17" i="4"/>
  <c r="F17" i="4" s="1"/>
  <c r="C17" i="6"/>
  <c r="J22" i="3" l="1"/>
  <c r="I23" i="3" s="1"/>
  <c r="L23" i="3" s="1"/>
  <c r="H24" i="3" s="1"/>
  <c r="H23" i="3"/>
  <c r="K23" i="3" s="1"/>
  <c r="E17" i="6"/>
  <c r="H17" i="6" s="1"/>
  <c r="C18" i="6"/>
  <c r="E18" i="4"/>
  <c r="F18" i="4" s="1"/>
  <c r="C22" i="5" l="1"/>
  <c r="C22" i="4"/>
  <c r="K24" i="3"/>
  <c r="G17" i="6"/>
  <c r="J23" i="3"/>
  <c r="E18" i="6"/>
  <c r="F18" i="6" s="1"/>
  <c r="F17" i="6"/>
  <c r="G19" i="4"/>
  <c r="D19" i="4"/>
  <c r="D19" i="5" s="1"/>
  <c r="J19" i="5" s="1"/>
  <c r="D19" i="6" s="1"/>
  <c r="C23" i="5" l="1"/>
  <c r="C23" i="4"/>
  <c r="I24" i="3"/>
  <c r="L24" i="3" s="1"/>
  <c r="H25" i="3" s="1"/>
  <c r="K25" i="3" s="1"/>
  <c r="G18" i="6"/>
  <c r="H18" i="6"/>
  <c r="G20" i="4"/>
  <c r="D20" i="4"/>
  <c r="D20" i="5" s="1"/>
  <c r="J20" i="5" s="1"/>
  <c r="D20" i="6" s="1"/>
  <c r="E19" i="4"/>
  <c r="F19" i="4" s="1"/>
  <c r="C19" i="6"/>
  <c r="J24" i="3" l="1"/>
  <c r="E20" i="4"/>
  <c r="F20" i="4" s="1"/>
  <c r="C20" i="6"/>
  <c r="E19" i="6"/>
  <c r="F19" i="6" s="1"/>
  <c r="C24" i="5" l="1"/>
  <c r="I25" i="3"/>
  <c r="L25" i="3" s="1"/>
  <c r="C24" i="4"/>
  <c r="J25" i="3"/>
  <c r="E20" i="6"/>
  <c r="H20" i="6" s="1"/>
  <c r="H19" i="6"/>
  <c r="G19" i="6"/>
  <c r="D21" i="4"/>
  <c r="D21" i="5" s="1"/>
  <c r="J21" i="5" s="1"/>
  <c r="D21" i="6" s="1"/>
  <c r="G21" i="4"/>
  <c r="F20" i="6" l="1"/>
  <c r="C25" i="5"/>
  <c r="C25" i="4"/>
  <c r="G20" i="6"/>
  <c r="C21" i="6"/>
  <c r="E21" i="4"/>
  <c r="F21" i="4" s="1"/>
  <c r="G22" i="4"/>
  <c r="D22" i="4"/>
  <c r="D22" i="5" s="1"/>
  <c r="J22" i="5" s="1"/>
  <c r="D22" i="6" s="1"/>
  <c r="C22" i="6" l="1"/>
  <c r="E22" i="4"/>
  <c r="F22" i="4" s="1"/>
  <c r="E21" i="6"/>
  <c r="F21" i="6" s="1"/>
  <c r="E22" i="6" l="1"/>
  <c r="H22" i="6" s="1"/>
  <c r="H21" i="6"/>
  <c r="G21" i="6"/>
  <c r="D23" i="4"/>
  <c r="D23" i="5" s="1"/>
  <c r="J23" i="5" s="1"/>
  <c r="D23" i="6" s="1"/>
  <c r="G23" i="4"/>
  <c r="G22" i="6" l="1"/>
  <c r="F22" i="6"/>
  <c r="E23" i="4"/>
  <c r="F23" i="4" s="1"/>
  <c r="C23" i="6"/>
  <c r="G24" i="4" l="1"/>
  <c r="D24" i="4"/>
  <c r="D24" i="5" s="1"/>
  <c r="J24" i="5" s="1"/>
  <c r="D24" i="6" s="1"/>
  <c r="G25" i="4"/>
  <c r="E23" i="6"/>
  <c r="F23" i="6" s="1"/>
  <c r="D25" i="4"/>
  <c r="D25" i="5" s="1"/>
  <c r="J25" i="5" s="1"/>
  <c r="B32" i="4"/>
  <c r="D25" i="6" l="1"/>
  <c r="B32" i="5"/>
  <c r="B30" i="5"/>
  <c r="B29" i="5"/>
  <c r="E24" i="4"/>
  <c r="F24" i="4" s="1"/>
  <c r="C24" i="6"/>
  <c r="B29" i="4"/>
  <c r="B30" i="4"/>
  <c r="E25" i="4"/>
  <c r="F25" i="4" s="1"/>
  <c r="B31" i="4" s="1"/>
  <c r="C25" i="6"/>
  <c r="H23" i="6"/>
  <c r="G23" i="6"/>
  <c r="E25" i="6" l="1"/>
  <c r="E24" i="6"/>
  <c r="F24" i="6" s="1"/>
  <c r="F25" i="6" l="1"/>
  <c r="H25" i="6"/>
  <c r="H24" i="6"/>
  <c r="B29" i="6"/>
  <c r="B31" i="6" s="1"/>
  <c r="G24" i="6"/>
  <c r="G25" i="6" l="1"/>
  <c r="B44" i="9" s="1"/>
  <c r="B32" i="6"/>
  <c r="B40" i="9" s="1"/>
  <c r="B33" i="6" l="1" a="1"/>
  <c r="B33" i="6" s="1"/>
  <c r="B41" i="9" s="1"/>
  <c r="B3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Ye</author>
  </authors>
  <commentList>
    <comment ref="B11" authorId="0" shapeId="0" xr:uid="{E4DFECCB-5CEA-481A-B459-239448A94D20}">
      <text>
        <r>
          <rPr>
            <b/>
            <sz val="9"/>
            <color indexed="81"/>
            <rFont val="Tahoma"/>
            <charset val="1"/>
          </rPr>
          <t>20% monthly churn = average patient LTV of 5 months. This reflects a pure gatekeeping model with no retention engineering. Patients who resolve insomnia or get their prescription cancel. This is the realistic expectation, not a failure case.</t>
        </r>
      </text>
    </comment>
    <comment ref="B14" authorId="0" shapeId="0" xr:uid="{9AD631DF-84C2-4FC3-96D2-8E45D3DC92D3}">
      <text>
        <r>
          <rPr>
            <b/>
            <sz val="9"/>
            <color indexed="81"/>
            <rFont val="Tahoma"/>
            <charset val="1"/>
          </rPr>
          <t>Michael Ye:</t>
        </r>
        <r>
          <rPr>
            <sz val="9"/>
            <color indexed="81"/>
            <rFont val="Tahoma"/>
            <charset val="1"/>
          </rPr>
          <t xml:space="preserve">
Re-enrollment is not a retention strategy. It's episodic insomnia returning. CBT-I doesn't cure everyone permanently. Some patients come back.</t>
        </r>
      </text>
    </comment>
    <comment ref="B17" authorId="0" shapeId="0" xr:uid="{6BDFF4CC-8904-4E60-821E-F9EC4CF6B33A}">
      <text>
        <r>
          <rPr>
            <b/>
            <sz val="9"/>
            <color indexed="81"/>
            <rFont val="Tahoma"/>
            <charset val="1"/>
          </rPr>
          <t>Michael Ye:</t>
        </r>
        <r>
          <rPr>
            <sz val="9"/>
            <color indexed="81"/>
            <rFont val="Tahoma"/>
            <charset val="1"/>
          </rPr>
          <t xml:space="preserve">
Healthcare search CPL averages $66 for a lead. Assuming 25% lead-to-patient conversion, blended CPA is ~$250. Sleep medicine is a high-intent search category — patients actively searching for solutions.</t>
        </r>
      </text>
    </comment>
    <comment ref="B18" authorId="0" shapeId="0" xr:uid="{006602B6-3043-48A6-AFA2-B06592A8C825}">
      <text>
        <r>
          <rPr>
            <b/>
            <sz val="9"/>
            <color indexed="81"/>
            <rFont val="Tahoma"/>
            <charset val="1"/>
          </rPr>
          <t>Michael Ye:</t>
        </r>
        <r>
          <rPr>
            <sz val="9"/>
            <color indexed="81"/>
            <rFont val="Tahoma"/>
            <charset val="1"/>
          </rPr>
          <t xml:space="preserve">
Higher funnel, lower intent than search. Requires more creative investment. Compliant health advertising on Meta runs higher than Medvi's reported $500–700 which relied on affiliate networks and AI-generated fake doctor personas — a playbook now being shut down by FTC and state AGs.</t>
        </r>
      </text>
    </comment>
    <comment ref="B24" authorId="0" shapeId="0" xr:uid="{D144DDEF-AEDD-45A9-A925-2C3E0BFD6943}">
      <text>
        <r>
          <rPr>
            <b/>
            <sz val="9"/>
            <color indexed="81"/>
            <rFont val="Tahoma"/>
            <charset val="1"/>
          </rPr>
          <t>Michael Ye:</t>
        </r>
        <r>
          <rPr>
            <sz val="9"/>
            <color indexed="81"/>
            <rFont val="Tahoma"/>
            <charset val="1"/>
          </rPr>
          <t xml:space="preserve">
Zero marginal CAC per patient once content is built. SEO compounds over time. Months 1–6: zero organic patients. Month 7+: organic share grows as domain authority builds.</t>
        </r>
      </text>
    </comment>
    <comment ref="B29" authorId="0" shapeId="0" xr:uid="{FC6A08E5-E1C8-4D3B-94D1-271F0D5C7286}">
      <text>
        <r>
          <rPr>
            <b/>
            <sz val="9"/>
            <color indexed="81"/>
            <rFont val="Tahoma"/>
            <charset val="1"/>
          </rPr>
          <t>Michael Ye:</t>
        </r>
        <r>
          <rPr>
            <sz val="9"/>
            <color indexed="81"/>
            <rFont val="Tahoma"/>
            <charset val="1"/>
          </rPr>
          <t xml:space="preserve">
SEO ramp is slow at first then compounds. By Month 24 approximately one-third of new patients should arrive organically if content strategy is executed consistently.</t>
        </r>
      </text>
    </comment>
    <comment ref="B36" authorId="0" shapeId="0" xr:uid="{79732218-D35E-4359-AE46-8E28F2B31873}">
      <text>
        <r>
          <rPr>
            <b/>
            <sz val="9"/>
            <color indexed="81"/>
            <rFont val="Tahoma"/>
            <charset val="1"/>
          </rPr>
          <t>Michael Ye:</t>
        </r>
        <r>
          <rPr>
            <sz val="9"/>
            <color indexed="81"/>
            <rFont val="Tahoma"/>
            <charset val="1"/>
          </rPr>
          <t xml:space="preserve">
Patients who get results refer friends. Sleep is a socially shared problem — 'I finally slept properly' is a natural conversation trigger.</t>
        </r>
      </text>
    </comment>
    <comment ref="B39" authorId="0" shapeId="0" xr:uid="{5FED691E-F434-44EB-9351-562EB22F17EF}">
      <text>
        <r>
          <rPr>
            <b/>
            <sz val="9"/>
            <color indexed="81"/>
            <rFont val="Tahoma"/>
            <charset val="1"/>
          </rPr>
          <t>Michael Ye:</t>
        </r>
        <r>
          <rPr>
            <sz val="9"/>
            <color indexed="81"/>
            <rFont val="Tahoma"/>
            <charset val="1"/>
          </rPr>
          <t xml:space="preserve">
This is the most important number in the model. It is the cash you must have in your bank account before the month starts. It is not recoverable if patients churn. Budget before you spend.</t>
        </r>
      </text>
    </comment>
    <comment ref="B44" authorId="0" shapeId="0" xr:uid="{C3E769C9-BE52-45E7-8EFA-963DA4292CC5}">
      <text>
        <r>
          <rPr>
            <b/>
            <sz val="9"/>
            <color indexed="81"/>
            <rFont val="Tahoma"/>
            <charset val="1"/>
          </rPr>
          <t>Michael Ye:</t>
        </r>
        <r>
          <rPr>
            <sz val="9"/>
            <color indexed="81"/>
            <rFont val="Tahoma"/>
            <charset val="1"/>
          </rPr>
          <t xml:space="preserve">
This is the single largest variable cost. Negotiate hard. Medvi's scale suggests sub-$40 is achievable at volume.</t>
        </r>
      </text>
    </comment>
    <comment ref="B50" authorId="0" shapeId="0" xr:uid="{11A9E9B3-A604-44A6-9DD4-6F4C20612917}">
      <text>
        <r>
          <rPr>
            <b/>
            <sz val="9"/>
            <color indexed="81"/>
            <rFont val="Tahoma"/>
            <charset val="1"/>
          </rPr>
          <t>Michael Ye:</t>
        </r>
        <r>
          <rPr>
            <sz val="9"/>
            <color indexed="81"/>
            <rFont val="Tahoma"/>
            <charset val="1"/>
          </rPr>
          <t xml:space="preserve">
This is genuinely the full overhead for a 2-person AI-native operation. No salaries modeled — founder-operated.</t>
        </r>
      </text>
    </comment>
    <comment ref="B55" authorId="0" shapeId="0" xr:uid="{CCA93252-2294-45CA-B302-8675BB4C48A4}">
      <text>
        <r>
          <rPr>
            <b/>
            <sz val="9"/>
            <color indexed="81"/>
            <rFont val="Tahoma"/>
            <charset val="1"/>
          </rPr>
          <t>Michael Ye:</t>
        </r>
        <r>
          <rPr>
            <sz val="9"/>
            <color indexed="81"/>
            <rFont val="Tahoma"/>
            <charset val="1"/>
          </rPr>
          <t xml:space="preserve">
Uses blended paid CAC of $270. This is worst-case — no organic/referral credit. As organic grows, effective CAC drops and GP per patient rises.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<sst xmlns="http://schemas.openxmlformats.org/spreadsheetml/2006/main" count="360" uniqueCount="260">
  <si>
    <t>TIMING</t>
  </si>
  <si>
    <t>Launch Month</t>
  </si>
  <si>
    <t>January</t>
  </si>
  <si>
    <t>Launch Year</t>
  </si>
  <si>
    <t>PRICING</t>
  </si>
  <si>
    <t>Monthly Churn Rate</t>
  </si>
  <si>
    <t>Month</t>
  </si>
  <si>
    <t>Calendar Month</t>
  </si>
  <si>
    <t>New Patients (Paid)</t>
  </si>
  <si>
    <t>New Patients (Organic)</t>
  </si>
  <si>
    <t>Total New Patients</t>
  </si>
  <si>
    <t>Churned Patients</t>
  </si>
  <si>
    <t>Net Active Patients</t>
  </si>
  <si>
    <t>Cumulative Patients Ever</t>
  </si>
  <si>
    <t>Gross Revenue</t>
  </si>
  <si>
    <t>MRR</t>
  </si>
  <si>
    <t>ARR</t>
  </si>
  <si>
    <t>SUMMARY</t>
  </si>
  <si>
    <t>Payment Processing</t>
  </si>
  <si>
    <t>Fixed Overhead</t>
  </si>
  <si>
    <t>Total Monthly Costs</t>
  </si>
  <si>
    <t>Total Costs</t>
  </si>
  <si>
    <t>Gross Profit</t>
  </si>
  <si>
    <t>Gross Margin %</t>
  </si>
  <si>
    <t>Monthly Price</t>
  </si>
  <si>
    <t>Monthly Churn</t>
  </si>
  <si>
    <t>Month 24 Active Patients</t>
  </si>
  <si>
    <t>GLP-1 Telehealth — Proof of Concept for Cash-Pay Async Clinical Model</t>
  </si>
  <si>
    <t>Company</t>
  </si>
  <si>
    <t>What's Included</t>
  </si>
  <si>
    <t>Clinical Backend</t>
  </si>
  <si>
    <t>Drug Risk / Regulatory Profile</t>
  </si>
  <si>
    <t>Notes</t>
  </si>
  <si>
    <t>MEDVi</t>
  </si>
  <si>
    <t>$179/month</t>
  </si>
  <si>
    <t>Physician review, unlimited messaging, 24/7 support</t>
  </si>
  <si>
    <t>OpenLoop Health</t>
  </si>
  <si>
    <t>High — compounded semaglutide, not FDA-approved</t>
  </si>
  <si>
    <t>Sleepgenic's exact reference architecture. 100,000+ patients served</t>
  </si>
  <si>
    <t>Hims &amp; Hers</t>
  </si>
  <si>
    <t>$199–299/month</t>
  </si>
  <si>
    <t>Compounded GLP-1 injections, provider access, app tools</t>
  </si>
  <si>
    <t>Proprietary</t>
  </si>
  <si>
    <t>High — compounded injectables</t>
  </si>
  <si>
    <t>Entered weight loss 2023, scaled rapidly</t>
  </si>
  <si>
    <t>Ro Body</t>
  </si>
  <si>
    <t>$99–145/month</t>
  </si>
  <si>
    <t>Membership + coaching, medication billed separately</t>
  </si>
  <si>
    <t>Lower membership fee but medication costs extra</t>
  </si>
  <si>
    <t>Noom Med</t>
  </si>
  <si>
    <t>$199–279/month</t>
  </si>
  <si>
    <t>GLP-1 medication included, behavioral coaching, telehealth visits</t>
  </si>
  <si>
    <t>High — compounded semaglutide</t>
  </si>
  <si>
    <t>Most comprehensive behavioral layer in the category</t>
  </si>
  <si>
    <t>Noom Microdose</t>
  </si>
  <si>
    <t>$149/month</t>
  </si>
  <si>
    <t>Low-dose compounded GLP-1, telehealth eval, coaching</t>
  </si>
  <si>
    <t>High — compounded, not FDA-approved</t>
  </si>
  <si>
    <t>$149 entry price validates Sleepgenic's launch price point exactly</t>
  </si>
  <si>
    <t>Key insight: Every GLP-1 comp includes a physical compounded drug — cold storage, pharmacy supply chain, FDA gray area. Sleepgenic has none of that. Our cost structure is cleaner at the same or lower price point.</t>
  </si>
  <si>
    <t>Sleep Treatment Landscape — What Patients Pay Today</t>
  </si>
  <si>
    <t>Treatment Type</t>
  </si>
  <si>
    <t>Provider / Product</t>
  </si>
  <si>
    <t>Price</t>
  </si>
  <si>
    <t>Requires Specialist</t>
  </si>
  <si>
    <t>Wait Time</t>
  </si>
  <si>
    <t>Clinical Depth</t>
  </si>
  <si>
    <t>In-person CBT-I therapy</t>
  </si>
  <si>
    <t>Certified CBT-I therapist</t>
  </si>
  <si>
    <t>$100–250 per session / $400–2,000 total course</t>
  </si>
  <si>
    <t>Yes — certified CBT-I credential</t>
  </si>
  <si>
    <t>6–12 months waitlist</t>
  </si>
  <si>
    <t>High</t>
  </si>
  <si>
    <t>Fewer than 500 certified providers in U.S. Gold standard but inaccessible</t>
  </si>
  <si>
    <t>Prescription digital therapeutic</t>
  </si>
  <si>
    <t>Somryst (FDA-cleared app)</t>
  </si>
  <si>
    <t>High — exact price not publicly listed</t>
  </si>
  <si>
    <t>Yes — requires prescription</t>
  </si>
  <si>
    <t>Varies</t>
  </si>
  <si>
    <t>Medium — app only, no physician</t>
  </si>
  <si>
    <t>FDA-cleared CBT-I app. No prescribing authority. No medication step-up</t>
  </si>
  <si>
    <t>Digital CBT-I app</t>
  </si>
  <si>
    <t>Sleepio (Big Health)</t>
  </si>
  <si>
    <t>Employer/insurer covered — not D2C cash pay</t>
  </si>
  <si>
    <t>No</t>
  </si>
  <si>
    <t>None</t>
  </si>
  <si>
    <t>Low-Medium</t>
  </si>
  <si>
    <t>B2B model via CVS Caremark, employers. Not direct to consumer</t>
  </si>
  <si>
    <t>Primary care visit</t>
  </si>
  <si>
    <t>General practitioner</t>
  </si>
  <si>
    <t>$150–300 per visit</t>
  </si>
  <si>
    <t>Days to weeks</t>
  </si>
  <si>
    <t>Low — sleep not systematically addressed</t>
  </si>
  <si>
    <t>Most PCPs prescribe Ambien and move on. Not evidence-based</t>
  </si>
  <si>
    <t>Sleep specialist visit</t>
  </si>
  <si>
    <t>Board-certified sleep MD</t>
  </si>
  <si>
    <t>$300–500 per visit out of pocket</t>
  </si>
  <si>
    <t>Yes</t>
  </si>
  <si>
    <t>3–6 months</t>
  </si>
  <si>
    <t>Typically focused on apnea/polysomnography, not insomnia/CBT-I</t>
  </si>
  <si>
    <t>Sleepgenic</t>
  </si>
  <si>
    <t>sleepgenic.ai</t>
  </si>
  <si>
    <t>$149/month ($119 founding)</t>
  </si>
  <si>
    <t>No — async licensed MD/NP</t>
  </si>
  <si>
    <t>24 hours</t>
  </si>
  <si>
    <t>High — CBT-I protocol + Rx</t>
  </si>
  <si>
    <t>Only cash-pay async sleep telehealth with prescribing authority and CBT-I protocol</t>
  </si>
  <si>
    <t>Where Sleepgenic Sits in the Market</t>
  </si>
  <si>
    <t>Metric</t>
  </si>
  <si>
    <t>Value</t>
  </si>
  <si>
    <t>Sleepgenic standard price</t>
  </si>
  <si>
    <t>Sleepgenic founding member price</t>
  </si>
  <si>
    <t>$119/month</t>
  </si>
  <si>
    <t>Cheapest GLP-1 telehealth comp (Ro)</t>
  </si>
  <si>
    <t>$99–145/month (membership only, drug extra)</t>
  </si>
  <si>
    <t>Most relevant GLP-1 comp (MEDVi)</t>
  </si>
  <si>
    <t>$179/month (drug included)</t>
  </si>
  <si>
    <t>In-person CBT-I equivalent monthly cost</t>
  </si>
  <si>
    <t>$400–1,000+/month (2–4 sessions)</t>
  </si>
  <si>
    <t>Sleepgenic discount vs. in-person CBT-I</t>
  </si>
  <si>
    <t>75–85% cheaper</t>
  </si>
  <si>
    <t>Sleepgenic vs. MEDVi (same backend)</t>
  </si>
  <si>
    <t>$30/month less, zero drug cost, cleaner regulatory profile</t>
  </si>
  <si>
    <t>Patient's next best alternative</t>
  </si>
  <si>
    <t>6–12 month waitlist for a specialist</t>
  </si>
  <si>
    <t>Sleepgenic is priced at or below every meaningful telehealth comp — with a cleaner regulatory profile, no compounded drug exposure, and the only cash-pay async model with CBT-I protocol delivery and prescribing authority in the sleep category.</t>
  </si>
  <si>
    <t>Revenue</t>
  </si>
  <si>
    <t>SLEEPGENIC — OPERATING MODEL ASSUMPTIONS</t>
  </si>
  <si>
    <t>Monthly Subscription Price</t>
  </si>
  <si>
    <t>CHURN &amp; RETENTION</t>
  </si>
  <si>
    <t>Monthly Churn Rate (Base Case)</t>
  </si>
  <si>
    <t>Avg Months Subscribed per Patient</t>
  </si>
  <si>
    <t>Avg Revenue per Patient Lifetime</t>
  </si>
  <si>
    <t>Re-enrollment Rate (% of cumulative churned)</t>
  </si>
  <si>
    <t>Blended CAC</t>
  </si>
  <si>
    <t>CLINICAL BACKEND COST</t>
  </si>
  <si>
    <t>OpenLoop Per-Patient Monthly Fee</t>
  </si>
  <si>
    <t>Payment Processing Fee (Stripe)</t>
  </si>
  <si>
    <t>UNIT ECONOMICS (AUTO-CALCULATED)</t>
  </si>
  <si>
    <t>FIXED MONTHLY OVERHEAD</t>
  </si>
  <si>
    <t>Infrastructure (Vercel, Supabase, Cloudflare, Email)</t>
  </si>
  <si>
    <t>Miscellaneous</t>
  </si>
  <si>
    <t>Total Fixed Overhead</t>
  </si>
  <si>
    <t>Re-Enrolled Patients</t>
  </si>
  <si>
    <t>Cumulative Churned</t>
  </si>
  <si>
    <t>NOTE</t>
  </si>
  <si>
    <t>Active Patients</t>
  </si>
  <si>
    <t>Avg Active (Trailing 3mo)</t>
  </si>
  <si>
    <t>Year 1 Total Revenue</t>
  </si>
  <si>
    <t>Year 2 Total Revenue</t>
  </si>
  <si>
    <t>24-Month Total Revenue</t>
  </si>
  <si>
    <t>Month 24 ARR</t>
  </si>
  <si>
    <t>OpenLoop Clinical Fee</t>
  </si>
  <si>
    <t>Year 1 Total Costs</t>
  </si>
  <si>
    <t>Year 2 Total Costs</t>
  </si>
  <si>
    <t>24-Month Total Costs</t>
  </si>
  <si>
    <t>Cost as % of Revenue (M24)</t>
  </si>
  <si>
    <t>Cumulative Cash Position</t>
  </si>
  <si>
    <t>Gross Profit / New Patient</t>
  </si>
  <si>
    <t>Year 1 Gross Profit</t>
  </si>
  <si>
    <t>Year 2 Gross Profit</t>
  </si>
  <si>
    <t>24-Month Cumulative Gross Profit</t>
  </si>
  <si>
    <t>Avg Gross Margin (Year 2)</t>
  </si>
  <si>
    <t>Max Cash Deficit</t>
  </si>
  <si>
    <t>Month of First Cumulative Profit</t>
  </si>
  <si>
    <t>Churned</t>
  </si>
  <si>
    <t>Net Active</t>
  </si>
  <si>
    <t>Does It Work?</t>
  </si>
  <si>
    <t>Year 1 Revenue</t>
  </si>
  <si>
    <t>Year 2 Revenue</t>
  </si>
  <si>
    <t>Months to CAC Payback</t>
  </si>
  <si>
    <t>CONSERVATIVE</t>
  </si>
  <si>
    <t>BASE CASE</t>
  </si>
  <si>
    <t>AGGRESSIVE</t>
  </si>
  <si>
    <t>UNIT ECONOMICS DASHBOARD</t>
  </si>
  <si>
    <t>SECTION 1: PER-PATIENT ECONOMICS</t>
  </si>
  <si>
    <t>Average Months Subscribed</t>
  </si>
  <si>
    <t>Lifetime Revenue per Patient</t>
  </si>
  <si>
    <t>OpenLoop Cost per Month</t>
  </si>
  <si>
    <t>OpenLoop Cost per Lifetime</t>
  </si>
  <si>
    <t>Stripe Processing per Lifetime</t>
  </si>
  <si>
    <t>GP per Patient &gt; $0?</t>
  </si>
  <si>
    <t>CAC Payback &lt; Avg LTV?</t>
  </si>
  <si>
    <t>Lifetime Gross Margin %</t>
  </si>
  <si>
    <t>PAID ACQUISITION — CHANNEL BREAKDOWN</t>
  </si>
  <si>
    <t>Paid Search (Google) — CPA</t>
  </si>
  <si>
    <t>Paid Social (Meta/Instagram) — CPA</t>
  </si>
  <si>
    <t>Channel Split (% Google Search)</t>
  </si>
  <si>
    <t>Channel Split (% Meta Social)</t>
  </si>
  <si>
    <t>Blended Paid CAC (weighted avg)</t>
  </si>
  <si>
    <t>ORGANIC / SEO ACQUISITION</t>
  </si>
  <si>
    <t>Organic CPA</t>
  </si>
  <si>
    <t>Organic % of New Patients — Month 1–3</t>
  </si>
  <si>
    <t>Organic % of New Patients — Month 4–6</t>
  </si>
  <si>
    <t>Organic % of New Patients — Month 7–12</t>
  </si>
  <si>
    <t>Organic % of New Patients — Month 13–18</t>
  </si>
  <si>
    <t>Organic % of New Patients — Month 19–24</t>
  </si>
  <si>
    <t>WORD OF MOUTH / REFERRAL</t>
  </si>
  <si>
    <t>Referral CPA</t>
  </si>
  <si>
    <t>Referral % — Month 1–5</t>
  </si>
  <si>
    <t>Referral % — Month 6–12</t>
  </si>
  <si>
    <t>Referral % — Month 13–18</t>
  </si>
  <si>
    <t>Referral % — Month 18–24</t>
  </si>
  <si>
    <t>MONTHLY PAID MEDIA BUDGET (BASE CASE)</t>
  </si>
  <si>
    <t>Starting Monthly Budget (Month 1)</t>
  </si>
  <si>
    <t>Monthly Budget Increase — Y1 (M2–M12)</t>
  </si>
  <si>
    <t>Monthly Budget Increase — Y2 (M13–M24)</t>
  </si>
  <si>
    <t>Gross Profit per Patient Lifetime (at blended paid CAC)</t>
  </si>
  <si>
    <t>Monthly Media Budget</t>
  </si>
  <si>
    <t>New Patients (Referral)</t>
  </si>
  <si>
    <t>Blended CAC This Month</t>
  </si>
  <si>
    <t>A $5,000/month media budget at $270 blended CAC generates approximately 18 new paid patients in Month 1. This is not a typo. DTC paid acquisition is expensive at launch. The business works because of LTV, not because of cheap clicks.</t>
  </si>
  <si>
    <t>Paid Media (Google)</t>
  </si>
  <si>
    <t>Paid Media (Meta)</t>
  </si>
  <si>
    <t>Total Paid Media</t>
  </si>
  <si>
    <t>Implied Paid CAC</t>
  </si>
  <si>
    <t>Total Paid Media Spend (24 months)</t>
  </si>
  <si>
    <t>Key Assumptions</t>
  </si>
  <si>
    <t>Starting Monthly Budget</t>
  </si>
  <si>
    <t>Y1 Monthly Increase</t>
  </si>
  <si>
    <t>Y2 Monthly Increase</t>
  </si>
  <si>
    <t>Blended Paid CAC</t>
  </si>
  <si>
    <t>Organic % by Month 12</t>
  </si>
  <si>
    <t>Media Budget</t>
  </si>
  <si>
    <t>New Paid</t>
  </si>
  <si>
    <t>Organic+Ref</t>
  </si>
  <si>
    <t>Total New</t>
  </si>
  <si>
    <t>Total Cost</t>
  </si>
  <si>
    <t>Cum Cash</t>
  </si>
  <si>
    <t>24-Month Gross Profit</t>
  </si>
  <si>
    <t>Total Media Spend (Year 1)</t>
  </si>
  <si>
    <t>Total Media Spend (Year 2)</t>
  </si>
  <si>
    <t>Total Media Spend (24 months)</t>
  </si>
  <si>
    <t>GP per Patient Lifetime</t>
  </si>
  <si>
    <t>The conservative scenario uses a $3,000/month starting media budget. Even at this level, the business generates positive cumulative cash within the first year. The key variable is not whether it works — it's how fast you can scale media spend while maintaining CAC discipline. The aggressive scenario assumes volume discounts on paid CAC ($220) which requires demonstrated conversion history and platform optimization.</t>
  </si>
  <si>
    <t>Blended Paid CAC (worst case, no organic)</t>
  </si>
  <si>
    <t>Total Cost per Patient Lifetime (at paid CAC)</t>
  </si>
  <si>
    <t>GROSS PROFIT PER PATIENT LIFETIME (PAID CAC)</t>
  </si>
  <si>
    <t>SECTION 2: CAC COMPRESSION OVER TIME</t>
  </si>
  <si>
    <t>Blended Paid CAC (Month 1)</t>
  </si>
  <si>
    <t>Blended CAC Month 12 (with organic)</t>
  </si>
  <si>
    <t>Blended CAC Month 24 (with organic)</t>
  </si>
  <si>
    <t>Organic % of Patients by Month 24</t>
  </si>
  <si>
    <t>Media Budget (Base Case) Month 1</t>
  </si>
  <si>
    <t>Media Budget (Base Case) Month 12</t>
  </si>
  <si>
    <t>Media Budget (Base Case) Month 24</t>
  </si>
  <si>
    <t>SECTION 3: VIABILITY TEST</t>
  </si>
  <si>
    <t>LTV:CAC Ratio (paid)</t>
  </si>
  <si>
    <t>SECTION 4: MEDIA BUDGET REALITY CHECK</t>
  </si>
  <si>
    <t>Total Overhead (24 months)</t>
  </si>
  <si>
    <t>Max Cash Deficit (from P&amp;L)</t>
  </si>
  <si>
    <t>Months 1-3 Cash Required</t>
  </si>
  <si>
    <t>CHURN SENSITIVITY</t>
  </si>
  <si>
    <t>GP per Patient</t>
  </si>
  <si>
    <t>⚠ IMPORTANT: These figures exclude founder salaries, legal, insurance, and non-operational costs. This model shows whether the core unit economics and media-driven growth engine work — not total company burn. Fundraising or personal runway must cover non-operational expenses independently.</t>
  </si>
  <si>
    <t>Cohort Sustainability Ratio</t>
  </si>
  <si>
    <t>Avg Cohort Sustainability Ratio (Y2)</t>
  </si>
  <si>
    <t>Min Cohort Sustainability Ratio</t>
  </si>
  <si>
    <t>WARNING: The P&amp;L may show positive EBITDA even at churn rates above 37% due to revenue from growing active patient base. This is a timing artifact. The Cohort Sustainability Test on the P&amp;L tab is the correct viability measure. A ratio below 1.5x means the business requires perfect execution with no room for CAC increases or churn spikes.</t>
  </si>
  <si>
    <t>Breakeven around 37% monthly churn. Anything below that, profit per 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</si>
</sst>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0"/>
    <numFmt numFmtId="165" formatCode="0.0%"/>
    <numFmt numFmtId="166" formatCode="mmm\ yyyy"/>
    <numFmt numFmtId="170" formatCode="0.0"/>
    <numFmt numFmtId="172" formatCode="&quot;$&quot;#,##0;\(&quot;$&quot;#,##0\);&quot;-&quot;"/>
    <numFmt numFmtId="175" formatCode="0.0&quot;x&quot;"/>
    <numFmt numFmtId="176" formatCode="&quot;Month&quot;\ 0"/>
    <numFmt numFmtId="177" formatCode="0.00&quot;x&quot;"/>
  </numFmts>
  <fonts count="27" x14ac:knownFonts="1">
    <font>
      <sz val="11"/>
      <color theme="1"/>
      <name val="Aptos Narrow"/>
      <family val="2"/>
      <scheme val="minor"/>
    </font>
    <font>
      <b/>
      <sz val="11"/>
      <color theme="1"/>
      <name val="Aptos Narrow"/>
      <family val="2"/>
      <scheme val="minor"/>
    </font>
    <font>
      <b/>
      <sz val="11"/>
      <color rgb="FFFFFFFF"/>
      <name val="Aptos Narrow"/>
      <family val="2"/>
      <scheme val="minor"/>
    </font>
    <font>
      <b/>
      <sz val="12"/>
      <color rgb="FFFFFFFF"/>
      <name val="Aptos Narrow"/>
      <family val="2"/>
      <scheme val="minor"/>
    </font>
    <font>
      <b/>
      <i/>
      <sz val="11"/>
      <color theme="1"/>
      <name val="Aptos Narrow"/>
      <family val="2"/>
      <scheme val="minor"/>
    </font>
    <font>
      <b/>
      <sz val="14"/>
      <color rgb="FFFFFFFF"/>
      <name val="Aptos Narrow"/>
      <scheme val="minor"/>
    </font>
    <font>
      <sz val="11"/>
      <color theme="1"/>
      <name val="Aptos Narrow"/>
      <scheme val="minor"/>
    </font>
    <font>
      <b/>
      <sz val="11"/>
      <color theme="1"/>
      <name val="Aptos Narrow"/>
      <scheme val="minor"/>
    </font>
    <font>
      <sz val="11"/>
      <color rgb="FF0000FF"/>
      <name val="Aptos Narrow"/>
      <scheme val="minor"/>
    </font>
    <font>
      <sz val="11"/>
      <color rgb="FF000000"/>
      <name val="Aptos Narrow"/>
      <scheme val="minor"/>
    </font>
    <font>
      <b/>
      <sz val="11"/>
      <color rgb="FF008000"/>
      <name val="Aptos Narrow"/>
      <scheme val="minor"/>
    </font>
    <font>
      <b/>
      <sz val="11"/>
      <color rgb="FF000000"/>
      <name val="Aptos Narrow"/>
      <scheme val="minor"/>
    </font>
    <font>
      <sz val="9"/>
      <color indexed="81"/>
      <name val="Tahoma"/>
      <charset val="1"/>
    </font>
    <font>
      <b/>
      <sz val="9"/>
      <color indexed="81"/>
      <name val="Tahoma"/>
      <charset val="1"/>
    </font>
    <font>
      <b/>
      <sz val="11"/>
      <color rgb="FFFFFFFF"/>
      <name val="Aptos Narrow"/>
      <scheme val="minor"/>
    </font>
    <font>
      <b/>
      <sz val="11"/>
      <color rgb="FFFF0000"/>
      <name val="Aptos Narrow"/>
      <scheme val="minor"/>
    </font>
    <font>
      <b/>
      <sz val="14"/>
      <color theme="1"/>
      <name val="Aptos Narrow"/>
      <scheme val="minor"/>
    </font>
    <font>
      <b/>
      <sz val="11"/>
      <color rgb="FF0000FF"/>
      <name val="Aptos Narrow"/>
      <scheme val="minor"/>
    </font>
    <font>
      <b/>
      <sz val="11"/>
      <color rgb="FFC00000"/>
      <name val="Aptos Narrow"/>
      <scheme val="minor"/>
    </font>
    <font>
      <i/>
      <sz val="11"/>
      <color rgb="FF808080"/>
      <name val="Aptos Narrow"/>
      <scheme val="minor"/>
    </font>
    <font>
      <b/>
      <sz val="11"/>
      <color rgb="FF2F5496"/>
      <name val="Aptos Narrow"/>
      <scheme val="minor"/>
    </font>
    <font>
      <i/>
      <sz val="11"/>
      <color rgb="FF2F5496"/>
      <name val="Aptos Narrow"/>
      <scheme val="minor"/>
    </font>
    <font>
      <b/>
      <sz val="9"/>
      <color rgb="FFFFFFFF"/>
      <name val="Aptos Narrow"/>
      <scheme val="minor"/>
    </font>
    <font>
      <sz val="10"/>
      <color theme="1"/>
      <name val="Aptos Narrow"/>
      <scheme val="minor"/>
    </font>
    <font>
      <b/>
      <sz val="12"/>
      <color theme="1"/>
      <name val="Aptos Narrow"/>
      <scheme val="minor"/>
    </font>
    <font>
      <b/>
      <i/>
      <sz val="11"/>
      <color rgb="FFC00000"/>
      <name val="Aptos Narrow"/>
      <scheme val="minor"/>
    </font>
    <font>
      <b/>
      <sz val="11"/>
      <color rgb="FFFF0000"/>
      <name val="Aptos Narrow"/>
      <family val="2"/>
      <scheme val="minor"/>
    </font>
  </fonts>
  <fills count="17">
    <fill>
      <patternFill patternType="none"/>
    </fill>
    <fill>
      <patternFill patternType="gray125"/>
    </fill>
    <fill>
      <patternFill patternType="solid">
        <fgColor rgb="FF2F5496"/>
        <bgColor indexed="64"/>
      </patternFill>
    </fill>
    <fill>
      <patternFill patternType="solid">
        <fgColor rgb="FFD6E4F0"/>
        <bgColor indexed="64"/>
      </patternFill>
    </fill>
    <fill>
      <patternFill patternType="solid">
        <fgColor rgb="FFFFFF00"/>
        <bgColor indexed="64"/>
      </patternFill>
    </fill>
    <fill>
      <patternFill patternType="solid">
        <fgColor rgb="FF375623"/>
        <bgColor indexed="64"/>
      </patternFill>
    </fill>
    <fill>
      <patternFill patternType="solid">
        <fgColor rgb="FFC00000"/>
        <bgColor indexed="64"/>
      </patternFill>
    </fill>
    <fill>
      <patternFill patternType="solid">
        <fgColor rgb="FF404040"/>
        <bgColor indexed="64"/>
      </patternFill>
    </fill>
    <fill>
      <patternFill patternType="solid">
        <fgColor rgb="FFF2F2F2"/>
        <bgColor indexed="64"/>
      </patternFill>
    </fill>
    <fill>
      <patternFill patternType="solid">
        <fgColor rgb="FF1F3864"/>
        <bgColor indexed="64"/>
      </patternFill>
    </fill>
    <fill>
      <patternFill patternType="solid">
        <fgColor rgb="FFC6EFCE"/>
        <bgColor indexed="64"/>
      </patternFill>
    </fill>
    <fill>
      <patternFill patternType="solid">
        <fgColor rgb="FFFFFFFF"/>
        <bgColor indexed="64"/>
      </patternFill>
    </fill>
    <fill>
      <patternFill patternType="solid">
        <fgColor rgb="FFED7D31"/>
        <bgColor indexed="64"/>
      </patternFill>
    </fill>
    <fill>
      <patternFill patternType="solid">
        <fgColor rgb="FFE2EFDA"/>
        <bgColor indexed="64"/>
      </patternFill>
    </fill>
    <fill>
      <patternFill patternType="solid">
        <fgColor rgb="FFFFF2CC"/>
        <bgColor indexed="64"/>
      </patternFill>
    </fill>
    <fill>
      <patternFill patternType="solid">
        <fgColor rgb="FFD9E2F3"/>
        <bgColor indexed="64"/>
      </patternFill>
    </fill>
    <fill>
      <patternFill patternType="solid">
        <fgColor theme="6" tint="0.79998168889431442"/>
        <bgColor indexed="64"/>
      </patternFill>
    </fill>
  </fills>
  <borders count="13">
    <border>
      <left/>
      <right/>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56">
    <xf numFmtId="0" fontId="0" fillId="0" borderId="0" xfId="0"/>
    <xf numFmtId="0" fontId="0" fillId="2" borderId="0" xfId="0" applyFill="1"/>
    <xf numFmtId="0" fontId="0" fillId="3" borderId="0" xfId="0" applyFill="1"/>
    <xf numFmtId="0" fontId="0" fillId="0" borderId="0" xfId="0" applyAlignment="1">
      <alignment horizontal="center"/>
    </xf>
    <xf numFmtId="0" fontId="0" fillId="5" borderId="0" xfId="0" applyFill="1"/>
    <xf numFmtId="0" fontId="0" fillId="7" borderId="0" xfId="0" applyFill="1"/>
    <xf numFmtId="0" fontId="0" fillId="8" borderId="0" xfId="0" applyFill="1"/>
    <xf numFmtId="0" fontId="0" fillId="0" borderId="0" xfId="0" applyAlignment="1">
      <alignmen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 fillId="8" borderId="5" xfId="0" applyFont="1" applyFill="1" applyBorder="1" applyAlignment="1">
      <alignment vertical="center" wrapText="1"/>
    </xf>
    <xf numFmtId="0" fontId="0" fillId="8" borderId="6" xfId="0" applyFill="1" applyBorder="1" applyAlignment="1">
      <alignment vertical="center" wrapText="1"/>
    </xf>
    <xf numFmtId="0" fontId="0" fillId="8" borderId="7" xfId="0" applyFill="1" applyBorder="1" applyAlignment="1">
      <alignment vertical="center" wrapText="1"/>
    </xf>
    <xf numFmtId="0" fontId="1" fillId="0" borderId="5" xfId="0" applyFont="1"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1" fillId="8" borderId="8" xfId="0" applyFont="1" applyFill="1" applyBorder="1" applyAlignment="1">
      <alignment vertical="center" wrapText="1"/>
    </xf>
    <xf numFmtId="0" fontId="0" fillId="8" borderId="9" xfId="0" applyFill="1" applyBorder="1" applyAlignment="1">
      <alignment vertical="center" wrapText="1"/>
    </xf>
    <xf numFmtId="0" fontId="0" fillId="8" borderId="10" xfId="0" applyFill="1" applyBorder="1" applyAlignment="1">
      <alignment vertical="center" wrapText="1"/>
    </xf>
    <xf numFmtId="0" fontId="1" fillId="10" borderId="8" xfId="0" applyFont="1" applyFill="1" applyBorder="1" applyAlignment="1">
      <alignment vertical="center" wrapText="1"/>
    </xf>
    <xf numFmtId="0" fontId="1" fillId="10" borderId="9" xfId="0" applyFont="1" applyFill="1" applyBorder="1" applyAlignment="1">
      <alignment vertical="center" wrapText="1"/>
    </xf>
    <xf numFmtId="0" fontId="1" fillId="10" borderId="10" xfId="0" applyFont="1" applyFill="1" applyBorder="1" applyAlignment="1">
      <alignment vertical="center" wrapText="1"/>
    </xf>
    <xf numFmtId="0" fontId="1" fillId="0" borderId="8" xfId="0" applyFont="1" applyBorder="1" applyAlignment="1">
      <alignment vertical="center" wrapText="1"/>
    </xf>
    <xf numFmtId="0" fontId="0" fillId="0" borderId="10" xfId="0" applyBorder="1" applyAlignment="1">
      <alignment vertical="center" wrapText="1"/>
    </xf>
    <xf numFmtId="0" fontId="3" fillId="9" borderId="0" xfId="0" applyFont="1" applyFill="1" applyAlignment="1">
      <alignment vertical="center" wrapText="1"/>
    </xf>
    <xf numFmtId="0" fontId="4" fillId="4" borderId="0" xfId="0" applyFont="1" applyFill="1" applyAlignment="1">
      <alignment vertical="center" wrapText="1"/>
    </xf>
    <xf numFmtId="0" fontId="4" fillId="10" borderId="0" xfId="0" applyFont="1" applyFill="1" applyAlignment="1">
      <alignment vertical="center" wrapText="1"/>
    </xf>
    <xf numFmtId="0" fontId="5" fillId="2" borderId="0" xfId="0" applyFont="1" applyFill="1"/>
    <xf numFmtId="0" fontId="6" fillId="0" borderId="0" xfId="0" applyFont="1"/>
    <xf numFmtId="0" fontId="7" fillId="0" borderId="0" xfId="0" applyFont="1"/>
    <xf numFmtId="0" fontId="7" fillId="3" borderId="0" xfId="0" applyFont="1" applyFill="1"/>
    <xf numFmtId="0" fontId="8" fillId="4" borderId="0" xfId="0" applyFont="1" applyFill="1"/>
    <xf numFmtId="1" fontId="8" fillId="4" borderId="0" xfId="0" applyNumberFormat="1" applyFont="1" applyFill="1"/>
    <xf numFmtId="164" fontId="8" fillId="4" borderId="0" xfId="0" applyNumberFormat="1" applyFont="1" applyFill="1"/>
    <xf numFmtId="165" fontId="8" fillId="4" borderId="0" xfId="0" applyNumberFormat="1" applyFont="1" applyFill="1"/>
    <xf numFmtId="170" fontId="9" fillId="0" borderId="0" xfId="0" applyNumberFormat="1" applyFont="1"/>
    <xf numFmtId="164" fontId="9" fillId="0" borderId="0" xfId="0" applyNumberFormat="1" applyFont="1"/>
    <xf numFmtId="164" fontId="11" fillId="0" borderId="0" xfId="0" applyNumberFormat="1" applyFont="1"/>
    <xf numFmtId="0" fontId="14" fillId="2" borderId="0" xfId="0" applyFont="1" applyFill="1" applyAlignment="1">
      <alignment horizontal="center"/>
    </xf>
    <xf numFmtId="0" fontId="6" fillId="8" borderId="0" xfId="0" applyFont="1" applyFill="1"/>
    <xf numFmtId="0" fontId="6" fillId="8" borderId="0" xfId="0" applyFont="1" applyFill="1" applyAlignment="1">
      <alignment horizontal="center"/>
    </xf>
    <xf numFmtId="1" fontId="6" fillId="8" borderId="0" xfId="0" applyNumberFormat="1" applyFont="1" applyFill="1" applyAlignment="1">
      <alignment horizontal="center"/>
    </xf>
    <xf numFmtId="166" fontId="6" fillId="8" borderId="0" xfId="0" applyNumberFormat="1" applyFont="1" applyFill="1"/>
    <xf numFmtId="3" fontId="6" fillId="8" borderId="0" xfId="0" applyNumberFormat="1" applyFont="1" applyFill="1"/>
    <xf numFmtId="3" fontId="7" fillId="0" borderId="0" xfId="0" applyNumberFormat="1" applyFont="1"/>
    <xf numFmtId="3" fontId="7" fillId="8" borderId="0" xfId="0" applyNumberFormat="1" applyFont="1" applyFill="1"/>
    <xf numFmtId="1" fontId="6" fillId="11" borderId="0" xfId="0" applyNumberFormat="1" applyFont="1" applyFill="1" applyAlignment="1">
      <alignment horizontal="center"/>
    </xf>
    <xf numFmtId="166" fontId="6" fillId="11" borderId="0" xfId="0" applyNumberFormat="1" applyFont="1" applyFill="1"/>
    <xf numFmtId="3" fontId="6" fillId="11" borderId="0" xfId="0" applyNumberFormat="1" applyFont="1" applyFill="1"/>
    <xf numFmtId="1" fontId="6" fillId="11" borderId="1" xfId="0" applyNumberFormat="1" applyFont="1" applyFill="1" applyBorder="1" applyAlignment="1">
      <alignment horizontal="center"/>
    </xf>
    <xf numFmtId="166" fontId="6" fillId="11" borderId="1" xfId="0" applyNumberFormat="1" applyFont="1" applyFill="1" applyBorder="1"/>
    <xf numFmtId="3" fontId="6" fillId="11" borderId="1" xfId="0" applyNumberFormat="1" applyFont="1" applyFill="1" applyBorder="1"/>
    <xf numFmtId="0" fontId="14" fillId="5" borderId="0" xfId="0" applyFont="1" applyFill="1"/>
    <xf numFmtId="0" fontId="14" fillId="5" borderId="0" xfId="0" applyFont="1" applyFill="1" applyAlignment="1">
      <alignment horizontal="center"/>
    </xf>
    <xf numFmtId="0" fontId="7" fillId="8" borderId="0" xfId="0" applyFont="1" applyFill="1"/>
    <xf numFmtId="172" fontId="7" fillId="8" borderId="0" xfId="0" applyNumberFormat="1" applyFont="1" applyFill="1"/>
    <xf numFmtId="172" fontId="6" fillId="8" borderId="0" xfId="0" applyNumberFormat="1" applyFont="1" applyFill="1"/>
    <xf numFmtId="172" fontId="7" fillId="0" borderId="0" xfId="0" applyNumberFormat="1" applyFont="1"/>
    <xf numFmtId="172" fontId="7" fillId="11" borderId="0" xfId="0" applyNumberFormat="1" applyFont="1" applyFill="1"/>
    <xf numFmtId="172" fontId="6" fillId="11" borderId="0" xfId="0" applyNumberFormat="1" applyFont="1" applyFill="1"/>
    <xf numFmtId="172" fontId="7" fillId="11" borderId="1" xfId="0" applyNumberFormat="1" applyFont="1" applyFill="1" applyBorder="1"/>
    <xf numFmtId="172" fontId="6" fillId="11" borderId="1" xfId="0" applyNumberFormat="1" applyFont="1" applyFill="1" applyBorder="1"/>
    <xf numFmtId="164" fontId="7" fillId="0" borderId="0" xfId="0" applyNumberFormat="1" applyFont="1"/>
    <xf numFmtId="164" fontId="7" fillId="8" borderId="0" xfId="0" applyNumberFormat="1" applyFont="1" applyFill="1"/>
    <xf numFmtId="0" fontId="14" fillId="6" borderId="0" xfId="0" applyFont="1" applyFill="1" applyAlignment="1">
      <alignment horizontal="center"/>
    </xf>
    <xf numFmtId="165" fontId="7" fillId="8" borderId="0" xfId="0" applyNumberFormat="1" applyFont="1" applyFill="1"/>
    <xf numFmtId="0" fontId="14" fillId="7" borderId="0" xfId="0" applyFont="1" applyFill="1"/>
    <xf numFmtId="0" fontId="14" fillId="7" borderId="0" xfId="0" applyFont="1" applyFill="1" applyAlignment="1">
      <alignment horizontal="center"/>
    </xf>
    <xf numFmtId="165" fontId="6" fillId="8" borderId="0" xfId="0" applyNumberFormat="1" applyFont="1" applyFill="1"/>
    <xf numFmtId="172" fontId="15" fillId="0" borderId="0" xfId="0" applyNumberFormat="1" applyFont="1"/>
    <xf numFmtId="1" fontId="7" fillId="8" borderId="0" xfId="0" applyNumberFormat="1" applyFont="1" applyFill="1"/>
    <xf numFmtId="0" fontId="0" fillId="0" borderId="0" xfId="0"/>
    <xf numFmtId="0" fontId="5" fillId="6" borderId="0" xfId="0" applyFont="1" applyFill="1"/>
    <xf numFmtId="0" fontId="5" fillId="6" borderId="0" xfId="0" applyFont="1" applyFill="1" applyAlignment="1">
      <alignment horizontal="center"/>
    </xf>
    <xf numFmtId="165" fontId="6" fillId="0" borderId="0" xfId="0" applyNumberFormat="1" applyFont="1"/>
    <xf numFmtId="0" fontId="5" fillId="5" borderId="0" xfId="0" applyFont="1" applyFill="1"/>
    <xf numFmtId="0" fontId="5" fillId="5" borderId="0" xfId="0" applyFont="1" applyFill="1" applyAlignment="1">
      <alignment horizontal="center"/>
    </xf>
    <xf numFmtId="0" fontId="5" fillId="2" borderId="0" xfId="0" applyFont="1" applyFill="1"/>
    <xf numFmtId="0" fontId="5" fillId="2" borderId="0" xfId="0" applyFont="1" applyFill="1" applyAlignment="1">
      <alignment horizontal="center"/>
    </xf>
    <xf numFmtId="164" fontId="6" fillId="0" borderId="0" xfId="0" applyNumberFormat="1" applyFont="1"/>
    <xf numFmtId="164" fontId="6" fillId="8" borderId="0" xfId="0" applyNumberFormat="1" applyFont="1" applyFill="1"/>
    <xf numFmtId="0" fontId="18" fillId="0" borderId="0" xfId="0" applyFont="1"/>
    <xf numFmtId="9" fontId="6" fillId="8" borderId="0" xfId="0" applyNumberFormat="1" applyFont="1" applyFill="1" applyAlignment="1">
      <alignment horizontal="center"/>
    </xf>
    <xf numFmtId="9" fontId="6" fillId="0" borderId="0" xfId="0" applyNumberFormat="1" applyFont="1" applyAlignment="1">
      <alignment horizontal="center"/>
    </xf>
    <xf numFmtId="0" fontId="7" fillId="0" borderId="0" xfId="0" applyFont="1" applyAlignment="1">
      <alignment horizontal="center"/>
    </xf>
    <xf numFmtId="9" fontId="6" fillId="4" borderId="0" xfId="0" applyNumberFormat="1" applyFont="1" applyFill="1" applyAlignment="1">
      <alignment horizontal="center"/>
    </xf>
    <xf numFmtId="9" fontId="8" fillId="4" borderId="0" xfId="0" applyNumberFormat="1" applyFont="1" applyFill="1"/>
    <xf numFmtId="9" fontId="9" fillId="8" borderId="0" xfId="0" applyNumberFormat="1" applyFont="1" applyFill="1"/>
    <xf numFmtId="164" fontId="17" fillId="12" borderId="0" xfId="0" applyNumberFormat="1" applyFont="1" applyFill="1"/>
    <xf numFmtId="164" fontId="17" fillId="4" borderId="0" xfId="0" applyNumberFormat="1" applyFont="1" applyFill="1"/>
    <xf numFmtId="164" fontId="9" fillId="8" borderId="0" xfId="0" applyNumberFormat="1" applyFont="1" applyFill="1"/>
    <xf numFmtId="172" fontId="10" fillId="0" borderId="0" xfId="0" applyNumberFormat="1" applyFont="1"/>
    <xf numFmtId="0" fontId="7" fillId="14" borderId="0" xfId="0" applyFont="1" applyFill="1"/>
    <xf numFmtId="164" fontId="7" fillId="14" borderId="0" xfId="0" applyNumberFormat="1" applyFont="1" applyFill="1"/>
    <xf numFmtId="164" fontId="19" fillId="8" borderId="0" xfId="0" applyNumberFormat="1" applyFont="1" applyFill="1"/>
    <xf numFmtId="0" fontId="6" fillId="0" borderId="0" xfId="0" applyFont="1" applyFill="1" applyAlignment="1">
      <alignment horizontal="center"/>
    </xf>
    <xf numFmtId="166" fontId="6" fillId="0" borderId="0" xfId="0" applyNumberFormat="1" applyFont="1" applyFill="1"/>
    <xf numFmtId="164" fontId="7" fillId="0" borderId="0" xfId="0" applyNumberFormat="1" applyFont="1" applyFill="1"/>
    <xf numFmtId="3" fontId="6" fillId="0" borderId="0" xfId="0" applyNumberFormat="1" applyFont="1" applyFill="1"/>
    <xf numFmtId="3" fontId="7" fillId="0" borderId="0" xfId="0" applyNumberFormat="1" applyFont="1" applyFill="1"/>
    <xf numFmtId="164" fontId="19" fillId="0" borderId="0" xfId="0" applyNumberFormat="1" applyFont="1" applyFill="1"/>
    <xf numFmtId="0" fontId="20" fillId="0" borderId="0" xfId="0" applyFont="1"/>
    <xf numFmtId="0" fontId="21" fillId="0" borderId="0" xfId="0" applyFont="1"/>
    <xf numFmtId="0" fontId="21" fillId="0" borderId="0" xfId="0" applyFont="1" applyAlignment="1">
      <alignment wrapText="1"/>
    </xf>
    <xf numFmtId="164" fontId="6" fillId="0" borderId="0" xfId="0" applyNumberFormat="1" applyFont="1" applyFill="1"/>
    <xf numFmtId="0" fontId="7" fillId="15" borderId="0" xfId="0" applyFont="1" applyFill="1"/>
    <xf numFmtId="0" fontId="0" fillId="15" borderId="0" xfId="0" applyFill="1"/>
    <xf numFmtId="0" fontId="7" fillId="15" borderId="0" xfId="0" applyFont="1" applyFill="1"/>
    <xf numFmtId="0" fontId="22" fillId="2" borderId="0" xfId="0" applyFont="1" applyFill="1" applyAlignment="1">
      <alignment horizontal="center"/>
    </xf>
    <xf numFmtId="0" fontId="22" fillId="5" borderId="0" xfId="0" applyFont="1" applyFill="1" applyAlignment="1">
      <alignment horizontal="center"/>
    </xf>
    <xf numFmtId="0" fontId="22" fillId="6" borderId="0" xfId="0" applyFont="1" applyFill="1" applyAlignment="1">
      <alignment horizontal="center"/>
    </xf>
    <xf numFmtId="1" fontId="23" fillId="0" borderId="0" xfId="0" applyNumberFormat="1" applyFont="1"/>
    <xf numFmtId="164" fontId="23" fillId="0" borderId="0" xfId="0" applyNumberFormat="1" applyFont="1"/>
    <xf numFmtId="3" fontId="23" fillId="0" borderId="0" xfId="0" applyNumberFormat="1" applyFont="1"/>
    <xf numFmtId="172" fontId="23" fillId="0" borderId="0" xfId="0" applyNumberFormat="1" applyFont="1"/>
    <xf numFmtId="1" fontId="23" fillId="8" borderId="0" xfId="0" applyNumberFormat="1" applyFont="1" applyFill="1"/>
    <xf numFmtId="164" fontId="23" fillId="8" borderId="0" xfId="0" applyNumberFormat="1" applyFont="1" applyFill="1"/>
    <xf numFmtId="3" fontId="23" fillId="8" borderId="0" xfId="0" applyNumberFormat="1" applyFont="1" applyFill="1"/>
    <xf numFmtId="172" fontId="23" fillId="8" borderId="0" xfId="0" applyNumberFormat="1" applyFont="1" applyFill="1"/>
    <xf numFmtId="0" fontId="24" fillId="0" borderId="0" xfId="0" applyFont="1"/>
    <xf numFmtId="0" fontId="25" fillId="14" borderId="0" xfId="0" applyFont="1" applyFill="1"/>
    <xf numFmtId="0" fontId="25" fillId="14" borderId="0" xfId="0" applyFont="1" applyFill="1" applyAlignment="1">
      <alignment wrapText="1"/>
    </xf>
    <xf numFmtId="170" fontId="6" fillId="0" borderId="0" xfId="0" applyNumberFormat="1" applyFont="1"/>
    <xf numFmtId="0" fontId="7" fillId="13" borderId="0" xfId="0" applyFont="1" applyFill="1"/>
    <xf numFmtId="172" fontId="16" fillId="13" borderId="0" xfId="0" applyNumberFormat="1" applyFont="1" applyFill="1"/>
    <xf numFmtId="9" fontId="6" fillId="0" borderId="0" xfId="0" applyNumberFormat="1" applyFont="1"/>
    <xf numFmtId="170" fontId="6" fillId="8" borderId="0" xfId="0" applyNumberFormat="1" applyFont="1" applyFill="1"/>
    <xf numFmtId="175" fontId="7" fillId="0" borderId="0" xfId="0" applyNumberFormat="1" applyFont="1"/>
    <xf numFmtId="0" fontId="0" fillId="14" borderId="0" xfId="0" applyFill="1"/>
    <xf numFmtId="164" fontId="24" fillId="14" borderId="0" xfId="0" applyNumberFormat="1" applyFont="1" applyFill="1"/>
    <xf numFmtId="176" fontId="7" fillId="8" borderId="0" xfId="0" applyNumberFormat="1" applyFont="1" applyFill="1"/>
    <xf numFmtId="164" fontId="7" fillId="4" borderId="0" xfId="0" applyNumberFormat="1" applyFont="1" applyFill="1"/>
    <xf numFmtId="0" fontId="5" fillId="12" borderId="0" xfId="0" applyFont="1" applyFill="1"/>
    <xf numFmtId="0" fontId="5" fillId="12" borderId="0" xfId="0" applyFont="1" applyFill="1" applyAlignment="1">
      <alignment horizontal="center"/>
    </xf>
    <xf numFmtId="0" fontId="18" fillId="0" borderId="0" xfId="0" applyFont="1"/>
    <xf numFmtId="0" fontId="18" fillId="0" borderId="0" xfId="0" applyFont="1" applyAlignment="1">
      <alignment wrapText="1"/>
    </xf>
    <xf numFmtId="177" fontId="7" fillId="0" borderId="0" xfId="0" applyNumberFormat="1" applyFont="1"/>
    <xf numFmtId="177" fontId="7" fillId="8" borderId="0" xfId="0" applyNumberFormat="1" applyFont="1" applyFill="1"/>
    <xf numFmtId="0" fontId="18" fillId="8" borderId="0" xfId="0" applyFont="1" applyFill="1"/>
    <xf numFmtId="0" fontId="18" fillId="8" borderId="0" xfId="0" applyFont="1" applyFill="1" applyAlignment="1">
      <alignment wrapText="1"/>
    </xf>
    <xf numFmtId="1" fontId="6" fillId="0" borderId="0" xfId="0" applyNumberFormat="1" applyFont="1" applyFill="1" applyAlignment="1">
      <alignment horizontal="center"/>
    </xf>
    <xf numFmtId="172" fontId="6" fillId="0" borderId="0" xfId="0" applyNumberFormat="1" applyFont="1" applyFill="1"/>
    <xf numFmtId="172" fontId="7" fillId="0" borderId="0" xfId="0" applyNumberFormat="1" applyFont="1" applyFill="1"/>
    <xf numFmtId="165" fontId="6" fillId="0" borderId="0" xfId="0" applyNumberFormat="1" applyFont="1" applyFill="1"/>
    <xf numFmtId="177" fontId="6" fillId="0" borderId="0" xfId="0" applyNumberFormat="1" applyFont="1" applyFill="1"/>
    <xf numFmtId="0" fontId="0" fillId="0" borderId="0" xfId="0" applyFill="1"/>
    <xf numFmtId="1" fontId="6" fillId="0" borderId="1" xfId="0" applyNumberFormat="1" applyFont="1" applyFill="1" applyBorder="1" applyAlignment="1">
      <alignment horizontal="center"/>
    </xf>
    <xf numFmtId="166" fontId="6" fillId="0" borderId="1" xfId="0" applyNumberFormat="1" applyFont="1" applyFill="1" applyBorder="1"/>
    <xf numFmtId="172" fontId="6" fillId="0" borderId="1" xfId="0" applyNumberFormat="1" applyFont="1" applyFill="1" applyBorder="1"/>
    <xf numFmtId="172" fontId="7" fillId="0" borderId="1" xfId="0" applyNumberFormat="1" applyFont="1" applyFill="1" applyBorder="1"/>
    <xf numFmtId="165" fontId="6" fillId="0" borderId="1" xfId="0" applyNumberFormat="1" applyFont="1" applyFill="1" applyBorder="1"/>
    <xf numFmtId="9" fontId="6" fillId="16" borderId="11" xfId="0" applyNumberFormat="1" applyFont="1" applyFill="1" applyBorder="1" applyAlignment="1">
      <alignment horizontal="center"/>
    </xf>
    <xf numFmtId="164" fontId="6" fillId="16" borderId="12" xfId="0" applyNumberFormat="1" applyFont="1" applyFill="1" applyBorder="1"/>
    <xf numFmtId="0" fontId="26" fillId="0" borderId="0" xfId="0" applyFont="1" applyFill="1" applyBorder="1"/>
    <xf numFmtId="0" fontId="26" fillId="0" borderId="0" xfId="0" applyFont="1" applyFill="1"/>
  </cellXfs>
  <cellStyles count="1">
    <cellStyle name="Normal" xfId="0" builtinId="0"/>
  </cellStyles>
  <dxfs count="8">
    <dxf>
      <font>
        <color rgb="FF006100"/>
      </font>
      <fill>
        <patternFill patternType="solid">
          <fgColor indexed="64"/>
          <bgColor rgb="FFC6EFCE"/>
        </patternFill>
      </fill>
    </dxf>
    <dxf>
      <font>
        <color rgb="FF9C6500"/>
      </font>
      <fill>
        <patternFill patternType="solid">
          <fgColor indexed="64"/>
          <bgColor rgb="FFFFEB9C"/>
        </patternFill>
      </fill>
    </dxf>
    <dxf>
      <font>
        <color rgb="FFBF6000"/>
      </font>
      <fill>
        <patternFill patternType="solid">
          <fgColor indexed="64"/>
          <bgColor rgb="FFFCE4D6"/>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81619F0-A39F-4E9B-B2D3-C14BBB8F9EE9}">
  <we:reference id="wa200009404" version="1.0.0.8" store="en-US" storeType="OMEX"/>
  <we:alternateReferences>
    <we:reference id="wa200009404" version="1.0.0.8" store="" storeType="OMEX"/>
  </we:alternateReferences>
  <we:properties>
    <we:property name="claude.fileId" value="&quot;8062cc86-16dc-4244-8c0e-3d206b5993d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ACDD3-F0ED-44F0-B1CA-FD91F336F23C}">
  <sheetPr>
    <tabColor rgb="FF7030A0"/>
  </sheetPr>
  <dimension ref="A1:G31"/>
  <sheetViews>
    <sheetView workbookViewId="0">
      <pane ySplit="1" topLeftCell="A2" activePane="bottomLeft" state="frozen"/>
      <selection pane="bottomLeft" activeCell="C30" sqref="C30"/>
    </sheetView>
  </sheetViews>
  <sheetFormatPr defaultRowHeight="15" x14ac:dyDescent="0.25"/>
  <cols>
    <col min="1" max="1" width="41.85546875" customWidth="1"/>
    <col min="2" max="2" width="38.140625" customWidth="1"/>
    <col min="3" max="3" width="53.28515625" customWidth="1"/>
    <col min="4" max="4" width="38.140625" customWidth="1"/>
    <col min="5" max="5" width="41.85546875" customWidth="1"/>
    <col min="6" max="6" width="38.140625" customWidth="1"/>
    <col min="7" max="7" width="61" customWidth="1"/>
  </cols>
  <sheetData>
    <row r="1" spans="1:7" ht="30" customHeight="1" thickBot="1" x14ac:dyDescent="0.3">
      <c r="A1" s="25" t="s">
        <v>27</v>
      </c>
      <c r="B1" s="25"/>
      <c r="C1" s="25"/>
      <c r="D1" s="25"/>
      <c r="E1" s="25"/>
      <c r="F1" s="25"/>
      <c r="G1" s="7"/>
    </row>
    <row r="2" spans="1:7" x14ac:dyDescent="0.25">
      <c r="A2" s="8" t="s">
        <v>28</v>
      </c>
      <c r="B2" s="9" t="s">
        <v>24</v>
      </c>
      <c r="C2" s="9" t="s">
        <v>29</v>
      </c>
      <c r="D2" s="9" t="s">
        <v>30</v>
      </c>
      <c r="E2" s="9" t="s">
        <v>31</v>
      </c>
      <c r="F2" s="10" t="s">
        <v>32</v>
      </c>
      <c r="G2" s="7"/>
    </row>
    <row r="3" spans="1:7" ht="30" x14ac:dyDescent="0.25">
      <c r="A3" s="11" t="s">
        <v>33</v>
      </c>
      <c r="B3" s="12" t="s">
        <v>34</v>
      </c>
      <c r="C3" s="12" t="s">
        <v>35</v>
      </c>
      <c r="D3" s="12" t="s">
        <v>36</v>
      </c>
      <c r="E3" s="12" t="s">
        <v>37</v>
      </c>
      <c r="F3" s="13" t="s">
        <v>38</v>
      </c>
      <c r="G3" s="7"/>
    </row>
    <row r="4" spans="1:7" x14ac:dyDescent="0.25">
      <c r="A4" s="14" t="s">
        <v>39</v>
      </c>
      <c r="B4" s="15" t="s">
        <v>40</v>
      </c>
      <c r="C4" s="15" t="s">
        <v>41</v>
      </c>
      <c r="D4" s="15" t="s">
        <v>42</v>
      </c>
      <c r="E4" s="15" t="s">
        <v>43</v>
      </c>
      <c r="F4" s="16" t="s">
        <v>44</v>
      </c>
      <c r="G4" s="7"/>
    </row>
    <row r="5" spans="1:7" ht="30" x14ac:dyDescent="0.25">
      <c r="A5" s="11" t="s">
        <v>45</v>
      </c>
      <c r="B5" s="12" t="s">
        <v>46</v>
      </c>
      <c r="C5" s="12" t="s">
        <v>47</v>
      </c>
      <c r="D5" s="12" t="s">
        <v>42</v>
      </c>
      <c r="E5" s="12" t="s">
        <v>43</v>
      </c>
      <c r="F5" s="13" t="s">
        <v>48</v>
      </c>
      <c r="G5" s="7"/>
    </row>
    <row r="6" spans="1:7" ht="30" x14ac:dyDescent="0.25">
      <c r="A6" s="14" t="s">
        <v>49</v>
      </c>
      <c r="B6" s="15" t="s">
        <v>50</v>
      </c>
      <c r="C6" s="15" t="s">
        <v>51</v>
      </c>
      <c r="D6" s="15" t="s">
        <v>42</v>
      </c>
      <c r="E6" s="15" t="s">
        <v>52</v>
      </c>
      <c r="F6" s="16" t="s">
        <v>53</v>
      </c>
      <c r="G6" s="7"/>
    </row>
    <row r="7" spans="1:7" ht="30.75" thickBot="1" x14ac:dyDescent="0.3">
      <c r="A7" s="17" t="s">
        <v>54</v>
      </c>
      <c r="B7" s="18" t="s">
        <v>55</v>
      </c>
      <c r="C7" s="18" t="s">
        <v>56</v>
      </c>
      <c r="D7" s="18" t="s">
        <v>42</v>
      </c>
      <c r="E7" s="18" t="s">
        <v>57</v>
      </c>
      <c r="F7" s="19" t="s">
        <v>58</v>
      </c>
      <c r="G7" s="7"/>
    </row>
    <row r="8" spans="1:7" x14ac:dyDescent="0.25">
      <c r="A8" s="7"/>
      <c r="B8" s="7"/>
      <c r="C8" s="7"/>
      <c r="D8" s="7"/>
      <c r="E8" s="7"/>
      <c r="F8" s="7"/>
      <c r="G8" s="7"/>
    </row>
    <row r="9" spans="1:7" ht="45" customHeight="1" x14ac:dyDescent="0.25">
      <c r="A9" s="26" t="s">
        <v>59</v>
      </c>
      <c r="B9" s="26"/>
      <c r="C9" s="26"/>
      <c r="D9" s="26"/>
      <c r="E9" s="26"/>
      <c r="F9" s="26"/>
      <c r="G9" s="7"/>
    </row>
    <row r="10" spans="1:7" x14ac:dyDescent="0.25">
      <c r="A10" s="7"/>
      <c r="B10" s="7"/>
      <c r="C10" s="7"/>
      <c r="D10" s="7"/>
      <c r="E10" s="7"/>
      <c r="F10" s="7"/>
      <c r="G10" s="7"/>
    </row>
    <row r="11" spans="1:7" ht="30" customHeight="1" thickBot="1" x14ac:dyDescent="0.3">
      <c r="A11" s="25" t="s">
        <v>60</v>
      </c>
      <c r="B11" s="25"/>
      <c r="C11" s="25"/>
      <c r="D11" s="25"/>
      <c r="E11" s="25"/>
      <c r="F11" s="25"/>
      <c r="G11" s="25"/>
    </row>
    <row r="12" spans="1:7" x14ac:dyDescent="0.25">
      <c r="A12" s="8" t="s">
        <v>61</v>
      </c>
      <c r="B12" s="9" t="s">
        <v>62</v>
      </c>
      <c r="C12" s="9" t="s">
        <v>63</v>
      </c>
      <c r="D12" s="9" t="s">
        <v>64</v>
      </c>
      <c r="E12" s="9" t="s">
        <v>65</v>
      </c>
      <c r="F12" s="9" t="s">
        <v>66</v>
      </c>
      <c r="G12" s="10" t="s">
        <v>32</v>
      </c>
    </row>
    <row r="13" spans="1:7" ht="30" x14ac:dyDescent="0.25">
      <c r="A13" s="11" t="s">
        <v>67</v>
      </c>
      <c r="B13" s="12" t="s">
        <v>68</v>
      </c>
      <c r="C13" s="12" t="s">
        <v>69</v>
      </c>
      <c r="D13" s="12" t="s">
        <v>70</v>
      </c>
      <c r="E13" s="12" t="s">
        <v>71</v>
      </c>
      <c r="F13" s="12" t="s">
        <v>72</v>
      </c>
      <c r="G13" s="13" t="s">
        <v>73</v>
      </c>
    </row>
    <row r="14" spans="1:7" ht="30" x14ac:dyDescent="0.25">
      <c r="A14" s="14" t="s">
        <v>74</v>
      </c>
      <c r="B14" s="15" t="s">
        <v>75</v>
      </c>
      <c r="C14" s="15" t="s">
        <v>76</v>
      </c>
      <c r="D14" s="15" t="s">
        <v>77</v>
      </c>
      <c r="E14" s="15" t="s">
        <v>78</v>
      </c>
      <c r="F14" s="15" t="s">
        <v>79</v>
      </c>
      <c r="G14" s="16" t="s">
        <v>80</v>
      </c>
    </row>
    <row r="15" spans="1:7" x14ac:dyDescent="0.25">
      <c r="A15" s="11" t="s">
        <v>81</v>
      </c>
      <c r="B15" s="12" t="s">
        <v>82</v>
      </c>
      <c r="C15" s="12" t="s">
        <v>83</v>
      </c>
      <c r="D15" s="12" t="s">
        <v>84</v>
      </c>
      <c r="E15" s="12" t="s">
        <v>85</v>
      </c>
      <c r="F15" s="12" t="s">
        <v>86</v>
      </c>
      <c r="G15" s="13" t="s">
        <v>87</v>
      </c>
    </row>
    <row r="16" spans="1:7" ht="30" x14ac:dyDescent="0.25">
      <c r="A16" s="14" t="s">
        <v>88</v>
      </c>
      <c r="B16" s="15" t="s">
        <v>89</v>
      </c>
      <c r="C16" s="15" t="s">
        <v>90</v>
      </c>
      <c r="D16" s="15" t="s">
        <v>84</v>
      </c>
      <c r="E16" s="15" t="s">
        <v>91</v>
      </c>
      <c r="F16" s="15" t="s">
        <v>92</v>
      </c>
      <c r="G16" s="16" t="s">
        <v>93</v>
      </c>
    </row>
    <row r="17" spans="1:7" ht="30" x14ac:dyDescent="0.25">
      <c r="A17" s="11" t="s">
        <v>94</v>
      </c>
      <c r="B17" s="12" t="s">
        <v>95</v>
      </c>
      <c r="C17" s="12" t="s">
        <v>96</v>
      </c>
      <c r="D17" s="12" t="s">
        <v>97</v>
      </c>
      <c r="E17" s="12" t="s">
        <v>98</v>
      </c>
      <c r="F17" s="12" t="s">
        <v>72</v>
      </c>
      <c r="G17" s="13" t="s">
        <v>99</v>
      </c>
    </row>
    <row r="18" spans="1:7" ht="30.75" thickBot="1" x14ac:dyDescent="0.3">
      <c r="A18" s="20" t="s">
        <v>100</v>
      </c>
      <c r="B18" s="21" t="s">
        <v>101</v>
      </c>
      <c r="C18" s="21" t="s">
        <v>102</v>
      </c>
      <c r="D18" s="21" t="s">
        <v>103</v>
      </c>
      <c r="E18" s="21" t="s">
        <v>104</v>
      </c>
      <c r="F18" s="21" t="s">
        <v>105</v>
      </c>
      <c r="G18" s="22" t="s">
        <v>106</v>
      </c>
    </row>
    <row r="19" spans="1:7" x14ac:dyDescent="0.25">
      <c r="A19" s="7"/>
      <c r="B19" s="7"/>
      <c r="C19" s="7"/>
      <c r="D19" s="7"/>
      <c r="E19" s="7"/>
      <c r="F19" s="7"/>
      <c r="G19" s="7"/>
    </row>
    <row r="20" spans="1:7" ht="30" customHeight="1" thickBot="1" x14ac:dyDescent="0.3">
      <c r="A20" s="25" t="s">
        <v>107</v>
      </c>
      <c r="B20" s="25"/>
      <c r="C20" s="7"/>
      <c r="D20" s="7"/>
      <c r="E20" s="7"/>
      <c r="F20" s="7"/>
      <c r="G20" s="7"/>
    </row>
    <row r="21" spans="1:7" x14ac:dyDescent="0.25">
      <c r="A21" s="8" t="s">
        <v>108</v>
      </c>
      <c r="B21" s="10" t="s">
        <v>109</v>
      </c>
      <c r="C21" s="7"/>
      <c r="D21" s="7"/>
      <c r="E21" s="7"/>
      <c r="F21" s="7"/>
      <c r="G21" s="7"/>
    </row>
    <row r="22" spans="1:7" x14ac:dyDescent="0.25">
      <c r="A22" s="11" t="s">
        <v>110</v>
      </c>
      <c r="B22" s="13" t="s">
        <v>55</v>
      </c>
      <c r="C22" s="7"/>
      <c r="D22" s="7"/>
      <c r="E22" s="7"/>
      <c r="F22" s="7"/>
      <c r="G22" s="7"/>
    </row>
    <row r="23" spans="1:7" x14ac:dyDescent="0.25">
      <c r="A23" s="14" t="s">
        <v>111</v>
      </c>
      <c r="B23" s="16" t="s">
        <v>112</v>
      </c>
      <c r="C23" s="7"/>
      <c r="D23" s="7"/>
      <c r="E23" s="7"/>
      <c r="F23" s="7"/>
      <c r="G23" s="7"/>
    </row>
    <row r="24" spans="1:7" ht="30" x14ac:dyDescent="0.25">
      <c r="A24" s="11" t="s">
        <v>113</v>
      </c>
      <c r="B24" s="13" t="s">
        <v>114</v>
      </c>
      <c r="C24" s="7"/>
      <c r="D24" s="7"/>
      <c r="E24" s="7"/>
      <c r="F24" s="7"/>
      <c r="G24" s="7"/>
    </row>
    <row r="25" spans="1:7" x14ac:dyDescent="0.25">
      <c r="A25" s="14" t="s">
        <v>115</v>
      </c>
      <c r="B25" s="16" t="s">
        <v>116</v>
      </c>
      <c r="C25" s="7"/>
      <c r="D25" s="7"/>
      <c r="E25" s="7"/>
      <c r="F25" s="7"/>
      <c r="G25" s="7"/>
    </row>
    <row r="26" spans="1:7" x14ac:dyDescent="0.25">
      <c r="A26" s="11" t="s">
        <v>117</v>
      </c>
      <c r="B26" s="13" t="s">
        <v>118</v>
      </c>
      <c r="C26" s="7"/>
      <c r="D26" s="7"/>
      <c r="E26" s="7"/>
      <c r="F26" s="7"/>
      <c r="G26" s="7"/>
    </row>
    <row r="27" spans="1:7" x14ac:dyDescent="0.25">
      <c r="A27" s="14" t="s">
        <v>119</v>
      </c>
      <c r="B27" s="16" t="s">
        <v>120</v>
      </c>
      <c r="C27" s="7"/>
      <c r="D27" s="7"/>
      <c r="E27" s="7"/>
      <c r="F27" s="7"/>
      <c r="G27" s="7"/>
    </row>
    <row r="28" spans="1:7" ht="30" x14ac:dyDescent="0.25">
      <c r="A28" s="11" t="s">
        <v>121</v>
      </c>
      <c r="B28" s="13" t="s">
        <v>122</v>
      </c>
      <c r="C28" s="7"/>
      <c r="D28" s="7"/>
      <c r="E28" s="7"/>
      <c r="F28" s="7"/>
      <c r="G28" s="7"/>
    </row>
    <row r="29" spans="1:7" ht="15.75" thickBot="1" x14ac:dyDescent="0.3">
      <c r="A29" s="23" t="s">
        <v>123</v>
      </c>
      <c r="B29" s="24" t="s">
        <v>124</v>
      </c>
      <c r="C29" s="7"/>
      <c r="D29" s="7"/>
      <c r="E29" s="7"/>
      <c r="F29" s="7"/>
      <c r="G29" s="7"/>
    </row>
    <row r="30" spans="1:7" x14ac:dyDescent="0.25">
      <c r="A30" s="7"/>
      <c r="B30" s="7"/>
      <c r="C30" s="7"/>
      <c r="D30" s="7"/>
      <c r="E30" s="7"/>
      <c r="F30" s="7"/>
      <c r="G30" s="7"/>
    </row>
    <row r="31" spans="1:7" ht="60" customHeight="1" x14ac:dyDescent="0.25">
      <c r="A31" s="27" t="s">
        <v>125</v>
      </c>
      <c r="B31" s="27"/>
      <c r="C31" s="7"/>
      <c r="D31" s="7"/>
      <c r="E31" s="7"/>
      <c r="F31" s="7"/>
      <c r="G31" s="7"/>
    </row>
  </sheetData>
  <mergeCells count="5">
    <mergeCell ref="A1:F1"/>
    <mergeCell ref="A9:F9"/>
    <mergeCell ref="A11:G11"/>
    <mergeCell ref="A20:B20"/>
    <mergeCell ref="A31:B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091E6-A223-40B0-8E62-4E57C512CF10}">
  <sheetPr>
    <tabColor rgb="FF4472C4"/>
  </sheetPr>
  <dimension ref="A1:D55"/>
  <sheetViews>
    <sheetView topLeftCell="A24" workbookViewId="0">
      <selection activeCell="D45" sqref="D45"/>
    </sheetView>
  </sheetViews>
  <sheetFormatPr defaultRowHeight="15" x14ac:dyDescent="0.25"/>
  <cols>
    <col min="1" max="1" width="61" customWidth="1"/>
    <col min="2" max="2" width="19" customWidth="1"/>
    <col min="3" max="4" width="15.28515625" customWidth="1"/>
  </cols>
  <sheetData>
    <row r="1" spans="1:4" ht="18.75" x14ac:dyDescent="0.3">
      <c r="A1" s="28" t="s">
        <v>127</v>
      </c>
      <c r="B1" s="1"/>
      <c r="D1" s="1"/>
    </row>
    <row r="3" spans="1:4" x14ac:dyDescent="0.25">
      <c r="A3" s="31" t="s">
        <v>0</v>
      </c>
      <c r="B3" s="2"/>
      <c r="D3" s="2"/>
    </row>
    <row r="4" spans="1:4" x14ac:dyDescent="0.25">
      <c r="A4" s="29" t="s">
        <v>1</v>
      </c>
      <c r="B4" s="32" t="s">
        <v>2</v>
      </c>
    </row>
    <row r="5" spans="1:4" x14ac:dyDescent="0.25">
      <c r="A5" s="29" t="s">
        <v>3</v>
      </c>
      <c r="B5" s="33">
        <v>2026</v>
      </c>
    </row>
    <row r="7" spans="1:4" x14ac:dyDescent="0.25">
      <c r="A7" s="31" t="s">
        <v>4</v>
      </c>
      <c r="B7" s="2"/>
      <c r="D7" s="2"/>
    </row>
    <row r="8" spans="1:4" x14ac:dyDescent="0.25">
      <c r="A8" s="29" t="s">
        <v>128</v>
      </c>
      <c r="B8" s="34">
        <v>149</v>
      </c>
    </row>
    <row r="10" spans="1:4" x14ac:dyDescent="0.25">
      <c r="A10" s="31" t="s">
        <v>129</v>
      </c>
      <c r="B10" s="2"/>
    </row>
    <row r="11" spans="1:4" x14ac:dyDescent="0.25">
      <c r="A11" s="29" t="s">
        <v>130</v>
      </c>
      <c r="B11" s="35">
        <v>0.2</v>
      </c>
    </row>
    <row r="12" spans="1:4" x14ac:dyDescent="0.25">
      <c r="A12" s="29" t="s">
        <v>131</v>
      </c>
      <c r="B12" s="36">
        <f>1/B11</f>
        <v>5</v>
      </c>
      <c r="D12" s="2"/>
    </row>
    <row r="13" spans="1:4" x14ac:dyDescent="0.25">
      <c r="A13" s="29" t="s">
        <v>132</v>
      </c>
      <c r="B13" s="37">
        <f>B12*B8</f>
        <v>745</v>
      </c>
    </row>
    <row r="14" spans="1:4" x14ac:dyDescent="0.25">
      <c r="A14" s="29" t="s">
        <v>133</v>
      </c>
      <c r="B14" s="35">
        <v>0.1</v>
      </c>
    </row>
    <row r="16" spans="1:4" x14ac:dyDescent="0.25">
      <c r="A16" s="31" t="s">
        <v>184</v>
      </c>
      <c r="B16" s="2"/>
    </row>
    <row r="17" spans="1:4" x14ac:dyDescent="0.25">
      <c r="A17" s="29" t="s">
        <v>185</v>
      </c>
      <c r="B17" s="34">
        <v>250</v>
      </c>
    </row>
    <row r="18" spans="1:4" x14ac:dyDescent="0.25">
      <c r="A18" s="40" t="s">
        <v>186</v>
      </c>
      <c r="B18" s="34">
        <v>300</v>
      </c>
      <c r="D18" s="2"/>
    </row>
    <row r="19" spans="1:4" x14ac:dyDescent="0.25">
      <c r="A19" s="29" t="s">
        <v>187</v>
      </c>
      <c r="B19" s="87">
        <v>0.6</v>
      </c>
    </row>
    <row r="20" spans="1:4" x14ac:dyDescent="0.25">
      <c r="A20" s="40" t="s">
        <v>188</v>
      </c>
      <c r="B20" s="88">
        <f>1-B19</f>
        <v>0.4</v>
      </c>
    </row>
    <row r="21" spans="1:4" x14ac:dyDescent="0.25">
      <c r="A21" s="30" t="s">
        <v>189</v>
      </c>
      <c r="B21" s="38">
        <f>B17*B19+B18*B20</f>
        <v>270</v>
      </c>
    </row>
    <row r="23" spans="1:4" x14ac:dyDescent="0.25">
      <c r="A23" s="31" t="s">
        <v>190</v>
      </c>
      <c r="B23" s="2"/>
    </row>
    <row r="24" spans="1:4" x14ac:dyDescent="0.25">
      <c r="A24" s="29" t="s">
        <v>191</v>
      </c>
      <c r="B24" s="80">
        <v>0</v>
      </c>
      <c r="D24" s="2"/>
    </row>
    <row r="25" spans="1:4" x14ac:dyDescent="0.25">
      <c r="A25" s="40" t="s">
        <v>192</v>
      </c>
      <c r="B25" s="87">
        <v>0</v>
      </c>
    </row>
    <row r="26" spans="1:4" x14ac:dyDescent="0.25">
      <c r="A26" s="29" t="s">
        <v>193</v>
      </c>
      <c r="B26" s="87">
        <v>0.05</v>
      </c>
    </row>
    <row r="27" spans="1:4" x14ac:dyDescent="0.25">
      <c r="A27" s="40" t="s">
        <v>194</v>
      </c>
      <c r="B27" s="87">
        <v>0.15</v>
      </c>
    </row>
    <row r="28" spans="1:4" x14ac:dyDescent="0.25">
      <c r="A28" s="29" t="s">
        <v>195</v>
      </c>
      <c r="B28" s="87">
        <v>0.25</v>
      </c>
      <c r="D28" s="2"/>
    </row>
    <row r="29" spans="1:4" x14ac:dyDescent="0.25">
      <c r="A29" s="40" t="s">
        <v>196</v>
      </c>
      <c r="B29" s="87">
        <v>0.35</v>
      </c>
    </row>
    <row r="31" spans="1:4" x14ac:dyDescent="0.25">
      <c r="A31" s="31" t="s">
        <v>197</v>
      </c>
      <c r="B31" s="2"/>
    </row>
    <row r="32" spans="1:4" x14ac:dyDescent="0.25">
      <c r="A32" s="29" t="s">
        <v>198</v>
      </c>
      <c r="B32" s="34">
        <v>0</v>
      </c>
    </row>
    <row r="33" spans="1:4" x14ac:dyDescent="0.25">
      <c r="A33" s="40" t="s">
        <v>199</v>
      </c>
      <c r="B33" s="87">
        <v>0</v>
      </c>
      <c r="D33" s="2"/>
    </row>
    <row r="34" spans="1:4" x14ac:dyDescent="0.25">
      <c r="A34" s="29" t="s">
        <v>200</v>
      </c>
      <c r="B34" s="87">
        <v>0.05</v>
      </c>
    </row>
    <row r="35" spans="1:4" x14ac:dyDescent="0.25">
      <c r="A35" s="40" t="s">
        <v>201</v>
      </c>
      <c r="B35" s="87">
        <v>0.08</v>
      </c>
    </row>
    <row r="36" spans="1:4" x14ac:dyDescent="0.25">
      <c r="A36" s="29" t="s">
        <v>202</v>
      </c>
      <c r="B36" s="87">
        <v>0.1</v>
      </c>
    </row>
    <row r="38" spans="1:4" x14ac:dyDescent="0.25">
      <c r="A38" s="31" t="s">
        <v>203</v>
      </c>
      <c r="B38" s="2"/>
    </row>
    <row r="39" spans="1:4" x14ac:dyDescent="0.25">
      <c r="A39" s="30" t="s">
        <v>204</v>
      </c>
      <c r="B39" s="89">
        <v>5000</v>
      </c>
    </row>
    <row r="40" spans="1:4" x14ac:dyDescent="0.25">
      <c r="A40" s="55" t="s">
        <v>205</v>
      </c>
      <c r="B40" s="89">
        <v>2000</v>
      </c>
    </row>
    <row r="41" spans="1:4" x14ac:dyDescent="0.25">
      <c r="A41" s="30" t="s">
        <v>206</v>
      </c>
      <c r="B41" s="89">
        <v>3000</v>
      </c>
    </row>
    <row r="43" spans="1:4" x14ac:dyDescent="0.25">
      <c r="A43" s="31" t="s">
        <v>135</v>
      </c>
      <c r="B43" s="2"/>
    </row>
    <row r="44" spans="1:4" x14ac:dyDescent="0.25">
      <c r="A44" s="29" t="s">
        <v>136</v>
      </c>
      <c r="B44" s="90">
        <v>45</v>
      </c>
    </row>
    <row r="45" spans="1:4" x14ac:dyDescent="0.25">
      <c r="A45" s="40" t="s">
        <v>137</v>
      </c>
      <c r="B45" s="35">
        <v>2.9000000000000001E-2</v>
      </c>
    </row>
    <row r="47" spans="1:4" x14ac:dyDescent="0.25">
      <c r="A47" s="31" t="s">
        <v>139</v>
      </c>
      <c r="B47" s="2"/>
    </row>
    <row r="48" spans="1:4" x14ac:dyDescent="0.25">
      <c r="A48" s="29" t="s">
        <v>140</v>
      </c>
      <c r="B48" s="34">
        <v>75</v>
      </c>
    </row>
    <row r="49" spans="1:2" x14ac:dyDescent="0.25">
      <c r="A49" s="40" t="s">
        <v>141</v>
      </c>
      <c r="B49" s="34">
        <v>200</v>
      </c>
    </row>
    <row r="50" spans="1:2" x14ac:dyDescent="0.25">
      <c r="A50" s="30" t="s">
        <v>142</v>
      </c>
      <c r="B50" s="38">
        <f>B48+B49</f>
        <v>275</v>
      </c>
    </row>
    <row r="52" spans="1:2" x14ac:dyDescent="0.25">
      <c r="A52" s="31" t="s">
        <v>138</v>
      </c>
      <c r="B52" s="2"/>
    </row>
    <row r="53" spans="1:2" x14ac:dyDescent="0.25">
      <c r="A53" s="29" t="s">
        <v>131</v>
      </c>
      <c r="B53" s="36">
        <f>1/B11</f>
        <v>5</v>
      </c>
    </row>
    <row r="54" spans="1:2" x14ac:dyDescent="0.25">
      <c r="A54" s="40" t="s">
        <v>132</v>
      </c>
      <c r="B54" s="91">
        <f>B53*B8</f>
        <v>745</v>
      </c>
    </row>
    <row r="55" spans="1:2" x14ac:dyDescent="0.25">
      <c r="A55" s="30" t="s">
        <v>207</v>
      </c>
      <c r="B55" s="92">
        <f>B54 - (B44*B53) - (B45*B54) - B21</f>
        <v>228.39499999999998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AB879-7382-408C-928A-E6A8AF50F266}">
  <sheetPr>
    <tabColor rgb="FFFFFFFF"/>
  </sheetPr>
  <dimension ref="A1:M27"/>
  <sheetViews>
    <sheetView workbookViewId="0">
      <pane ySplit="1" topLeftCell="A2" activePane="bottomLeft" state="frozen"/>
      <selection pane="bottomLeft" activeCell="A7" sqref="A7"/>
    </sheetView>
  </sheetViews>
  <sheetFormatPr defaultRowHeight="15" x14ac:dyDescent="0.25"/>
  <cols>
    <col min="1" max="1" width="9.5703125" customWidth="1"/>
    <col min="2" max="2" width="17.140625" customWidth="1"/>
    <col min="3" max="8" width="21" customWidth="1"/>
    <col min="9" max="10" width="19" customWidth="1"/>
    <col min="11" max="11" width="22.85546875" customWidth="1"/>
    <col min="12" max="12" width="19" customWidth="1"/>
    <col min="13" max="13" width="22.85546875" customWidth="1"/>
  </cols>
  <sheetData>
    <row r="1" spans="1:13" x14ac:dyDescent="0.25">
      <c r="A1" s="39" t="s">
        <v>6</v>
      </c>
      <c r="B1" s="39" t="s">
        <v>7</v>
      </c>
      <c r="C1" s="39" t="s">
        <v>208</v>
      </c>
      <c r="D1" s="39" t="s">
        <v>8</v>
      </c>
      <c r="E1" s="39" t="s">
        <v>9</v>
      </c>
      <c r="F1" s="39" t="s">
        <v>209</v>
      </c>
      <c r="G1" s="39" t="s">
        <v>10</v>
      </c>
      <c r="H1" s="39" t="s">
        <v>143</v>
      </c>
      <c r="I1" s="39" t="s">
        <v>11</v>
      </c>
      <c r="J1" s="39" t="s">
        <v>12</v>
      </c>
      <c r="K1" s="39" t="s">
        <v>13</v>
      </c>
      <c r="L1" s="39" t="s">
        <v>144</v>
      </c>
      <c r="M1" s="39" t="s">
        <v>210</v>
      </c>
    </row>
    <row r="2" spans="1:13" s="6" customFormat="1" x14ac:dyDescent="0.25">
      <c r="A2" s="41">
        <v>1</v>
      </c>
      <c r="B2" s="43">
        <f>DATE(Assumptions!B5, MATCH(Assumptions!B4, {"January","February","March","April","May","June","July","August","September","October","November","December"}, 0), 1)</f>
        <v>46023</v>
      </c>
      <c r="C2" s="94">
        <f>IF(A2&lt;=12, Assumptions!$B$39 + (A2-1)*Assumptions!$B$40, Assumptions!$B$39 + 11*Assumptions!$B$40 + (A2-12)*Assumptions!$B$41)</f>
        <v>5000</v>
      </c>
      <c r="D2" s="44">
        <f>MAX(ROUND(C2/Assumptions!$B$21, 0), 1)</f>
        <v>19</v>
      </c>
      <c r="E2" s="44">
        <f>ROUND(D2*IF(A2&lt;=3, Assumptions!$B$25, IF(A2&lt;=6, Assumptions!$B$26, IF(A2&lt;=12, Assumptions!$B$27, IF(A2&lt;=18, Assumptions!$B$28, Assumptions!$B$29)))), 0)</f>
        <v>0</v>
      </c>
      <c r="F2" s="44">
        <f>ROUND(D2*IF(A2&lt;=5, Assumptions!$B$33, IF(A2&lt;=12, Assumptions!$B$34, IF(A2&lt;=18, Assumptions!$B$35, Assumptions!$B$36))), 0)</f>
        <v>0</v>
      </c>
      <c r="G2" s="46">
        <f>D2+E2+F2</f>
        <v>19</v>
      </c>
      <c r="H2" s="44">
        <v>0</v>
      </c>
      <c r="I2" s="44">
        <v>0</v>
      </c>
      <c r="J2" s="46">
        <f>G2+H2-I2</f>
        <v>19</v>
      </c>
      <c r="K2" s="44">
        <f>G2</f>
        <v>19</v>
      </c>
      <c r="L2" s="44">
        <f>I2</f>
        <v>0</v>
      </c>
      <c r="M2" s="95">
        <f>IF(G2&gt;0, C2/G2, 0)</f>
        <v>263.15789473684208</v>
      </c>
    </row>
    <row r="3" spans="1:13" x14ac:dyDescent="0.25">
      <c r="A3" s="96">
        <v>2</v>
      </c>
      <c r="B3" s="97">
        <f>EDATE(B2,1)</f>
        <v>46054</v>
      </c>
      <c r="C3" s="94">
        <f>IF(A3&lt;=12, Assumptions!$B$39 + (A3-1)*Assumptions!$B$40, Assumptions!$B$39 + 11*Assumptions!$B$40 + (A3-12)*Assumptions!$B$41)</f>
        <v>7000</v>
      </c>
      <c r="D3" s="99">
        <f>MAX(ROUND(C3/Assumptions!$B$21, 0), 1)</f>
        <v>26</v>
      </c>
      <c r="E3" s="99">
        <f>ROUND(D3*IF(A3&lt;=3, Assumptions!$B$25, IF(A3&lt;=6, Assumptions!$B$26, IF(A3&lt;=12, Assumptions!$B$27, IF(A3&lt;=18, Assumptions!$B$28, Assumptions!$B$29)))), 0)</f>
        <v>0</v>
      </c>
      <c r="F3" s="99">
        <f>ROUND(D3*IF(A3&lt;=5, Assumptions!$B$33, IF(A3&lt;=12, Assumptions!$B$34, IF(A3&lt;=18, Assumptions!$B$35, Assumptions!$B$36))), 0)</f>
        <v>0</v>
      </c>
      <c r="G3" s="100">
        <f>D3+E3+F3</f>
        <v>26</v>
      </c>
      <c r="H3" s="99">
        <f>IF(A3&gt;=6, ROUND(L2*Assumptions!$B$14,0), 0)</f>
        <v>0</v>
      </c>
      <c r="I3" s="99">
        <f>ROUND(J2*Assumptions!$B$11,0)</f>
        <v>4</v>
      </c>
      <c r="J3" s="100">
        <f>J2+G3+H3-I3</f>
        <v>41</v>
      </c>
      <c r="K3" s="99">
        <f>K2+G3+H3</f>
        <v>45</v>
      </c>
      <c r="L3" s="99">
        <f>L2+I3</f>
        <v>4</v>
      </c>
      <c r="M3" s="101">
        <f>IF(G3&gt;0, C3/G3, 0)</f>
        <v>269.23076923076923</v>
      </c>
    </row>
    <row r="4" spans="1:13" s="6" customFormat="1" x14ac:dyDescent="0.25">
      <c r="A4" s="41">
        <v>3</v>
      </c>
      <c r="B4" s="43">
        <f t="shared" ref="B4:B25" si="0">EDATE(B3,1)</f>
        <v>46082</v>
      </c>
      <c r="C4" s="94">
        <f>IF(A4&lt;=12, Assumptions!$B$39 + (A4-1)*Assumptions!$B$40, Assumptions!$B$39 + 11*Assumptions!$B$40 + (A4-12)*Assumptions!$B$41)</f>
        <v>9000</v>
      </c>
      <c r="D4" s="44">
        <f>MAX(ROUND(C4/Assumptions!$B$21, 0), 1)</f>
        <v>33</v>
      </c>
      <c r="E4" s="44">
        <f>ROUND(D4*IF(A4&lt;=3, Assumptions!$B$25, IF(A4&lt;=6, Assumptions!$B$26, IF(A4&lt;=12, Assumptions!$B$27, IF(A4&lt;=18, Assumptions!$B$28, Assumptions!$B$29)))), 0)</f>
        <v>0</v>
      </c>
      <c r="F4" s="44">
        <f>ROUND(D4*IF(A4&lt;=5, Assumptions!$B$33, IF(A4&lt;=12, Assumptions!$B$34, IF(A4&lt;=18, Assumptions!$B$35, Assumptions!$B$36))), 0)</f>
        <v>0</v>
      </c>
      <c r="G4" s="46">
        <f t="shared" ref="G4:G25" si="1">D4+E4+F4</f>
        <v>33</v>
      </c>
      <c r="H4" s="44">
        <f>IF(A4&gt;=6, ROUND(L3*Assumptions!$B$14,0), 0)</f>
        <v>0</v>
      </c>
      <c r="I4" s="44">
        <f>ROUND(J3*Assumptions!$B$11,0)</f>
        <v>8</v>
      </c>
      <c r="J4" s="46">
        <f t="shared" ref="J4:J25" si="2">J3+G4+H4-I4</f>
        <v>66</v>
      </c>
      <c r="K4" s="44">
        <f t="shared" ref="K4:K25" si="3">K3+G4+H4</f>
        <v>78</v>
      </c>
      <c r="L4" s="44">
        <f t="shared" ref="L4:L25" si="4">L3+I4</f>
        <v>12</v>
      </c>
      <c r="M4" s="95">
        <f t="shared" ref="M4:M25" si="5">IF(G4&gt;0, C4/G4, 0)</f>
        <v>272.72727272727275</v>
      </c>
    </row>
    <row r="5" spans="1:13" x14ac:dyDescent="0.25">
      <c r="A5" s="96">
        <v>4</v>
      </c>
      <c r="B5" s="97">
        <f t="shared" si="0"/>
        <v>46113</v>
      </c>
      <c r="C5" s="94">
        <f>IF(A5&lt;=12, Assumptions!$B$39 + (A5-1)*Assumptions!$B$40, Assumptions!$B$39 + 11*Assumptions!$B$40 + (A5-12)*Assumptions!$B$41)</f>
        <v>11000</v>
      </c>
      <c r="D5" s="99">
        <f>MAX(ROUND(C5/Assumptions!$B$21, 0), 1)</f>
        <v>41</v>
      </c>
      <c r="E5" s="99">
        <f>ROUND(D5*IF(A5&lt;=3, Assumptions!$B$25, IF(A5&lt;=6, Assumptions!$B$26, IF(A5&lt;=12, Assumptions!$B$27, IF(A5&lt;=18, Assumptions!$B$28, Assumptions!$B$29)))), 0)</f>
        <v>2</v>
      </c>
      <c r="F5" s="99">
        <f>ROUND(D5*IF(A5&lt;=5, Assumptions!$B$33, IF(A5&lt;=12, Assumptions!$B$34, IF(A5&lt;=18, Assumptions!$B$35, Assumptions!$B$36))), 0)</f>
        <v>0</v>
      </c>
      <c r="G5" s="100">
        <f t="shared" si="1"/>
        <v>43</v>
      </c>
      <c r="H5" s="99">
        <f>IF(A5&gt;=6, ROUND(L4*Assumptions!$B$14,0), 0)</f>
        <v>0</v>
      </c>
      <c r="I5" s="99">
        <f>ROUND(J4*Assumptions!$B$11,0)</f>
        <v>13</v>
      </c>
      <c r="J5" s="100">
        <f t="shared" si="2"/>
        <v>96</v>
      </c>
      <c r="K5" s="99">
        <f t="shared" si="3"/>
        <v>121</v>
      </c>
      <c r="L5" s="99">
        <f t="shared" si="4"/>
        <v>25</v>
      </c>
      <c r="M5" s="101">
        <f t="shared" si="5"/>
        <v>255.81395348837211</v>
      </c>
    </row>
    <row r="6" spans="1:13" s="6" customFormat="1" x14ac:dyDescent="0.25">
      <c r="A6" s="41">
        <v>5</v>
      </c>
      <c r="B6" s="43">
        <f t="shared" si="0"/>
        <v>46143</v>
      </c>
      <c r="C6" s="94">
        <f>IF(A6&lt;=12, Assumptions!$B$39 + (A6-1)*Assumptions!$B$40, Assumptions!$B$39 + 11*Assumptions!$B$40 + (A6-12)*Assumptions!$B$41)</f>
        <v>13000</v>
      </c>
      <c r="D6" s="44">
        <f>MAX(ROUND(C6/Assumptions!$B$21, 0), 1)</f>
        <v>48</v>
      </c>
      <c r="E6" s="44">
        <f>ROUND(D6*IF(A6&lt;=3, Assumptions!$B$25, IF(A6&lt;=6, Assumptions!$B$26, IF(A6&lt;=12, Assumptions!$B$27, IF(A6&lt;=18, Assumptions!$B$28, Assumptions!$B$29)))), 0)</f>
        <v>2</v>
      </c>
      <c r="F6" s="44">
        <f>ROUND(D6*IF(A6&lt;=5, Assumptions!$B$33, IF(A6&lt;=12, Assumptions!$B$34, IF(A6&lt;=18, Assumptions!$B$35, Assumptions!$B$36))), 0)</f>
        <v>0</v>
      </c>
      <c r="G6" s="46">
        <f t="shared" si="1"/>
        <v>50</v>
      </c>
      <c r="H6" s="44">
        <f>IF(A6&gt;=6, ROUND(L5*Assumptions!$B$14,0), 0)</f>
        <v>0</v>
      </c>
      <c r="I6" s="44">
        <f>ROUND(J5*Assumptions!$B$11,0)</f>
        <v>19</v>
      </c>
      <c r="J6" s="46">
        <f t="shared" si="2"/>
        <v>127</v>
      </c>
      <c r="K6" s="44">
        <f t="shared" si="3"/>
        <v>171</v>
      </c>
      <c r="L6" s="44">
        <f t="shared" si="4"/>
        <v>44</v>
      </c>
      <c r="M6" s="95">
        <f t="shared" si="5"/>
        <v>260</v>
      </c>
    </row>
    <row r="7" spans="1:13" x14ac:dyDescent="0.25">
      <c r="A7" s="96">
        <v>6</v>
      </c>
      <c r="B7" s="97">
        <f t="shared" si="0"/>
        <v>46174</v>
      </c>
      <c r="C7" s="94">
        <f>IF(A7&lt;=12, Assumptions!$B$39 + (A7-1)*Assumptions!$B$40, Assumptions!$B$39 + 11*Assumptions!$B$40 + (A7-12)*Assumptions!$B$41)</f>
        <v>15000</v>
      </c>
      <c r="D7" s="99">
        <f>MAX(ROUND(C7/Assumptions!$B$21, 0), 1)</f>
        <v>56</v>
      </c>
      <c r="E7" s="99">
        <f>ROUND(D7*IF(A7&lt;=3, Assumptions!$B$25, IF(A7&lt;=6, Assumptions!$B$26, IF(A7&lt;=12, Assumptions!$B$27, IF(A7&lt;=18, Assumptions!$B$28, Assumptions!$B$29)))), 0)</f>
        <v>3</v>
      </c>
      <c r="F7" s="99">
        <f>ROUND(D7*IF(A7&lt;=5, Assumptions!$B$33, IF(A7&lt;=12, Assumptions!$B$34, IF(A7&lt;=18, Assumptions!$B$35, Assumptions!$B$36))), 0)</f>
        <v>3</v>
      </c>
      <c r="G7" s="100">
        <f t="shared" si="1"/>
        <v>62</v>
      </c>
      <c r="H7" s="99">
        <f>IF(A7&gt;=6, ROUND(L6*Assumptions!$B$14,0), 0)</f>
        <v>4</v>
      </c>
      <c r="I7" s="99">
        <f>ROUND(J6*Assumptions!$B$11,0)</f>
        <v>25</v>
      </c>
      <c r="J7" s="100">
        <f t="shared" si="2"/>
        <v>168</v>
      </c>
      <c r="K7" s="99">
        <f t="shared" si="3"/>
        <v>237</v>
      </c>
      <c r="L7" s="99">
        <f t="shared" si="4"/>
        <v>69</v>
      </c>
      <c r="M7" s="101">
        <f t="shared" si="5"/>
        <v>241.93548387096774</v>
      </c>
    </row>
    <row r="8" spans="1:13" s="6" customFormat="1" x14ac:dyDescent="0.25">
      <c r="A8" s="41">
        <v>7</v>
      </c>
      <c r="B8" s="43">
        <f t="shared" si="0"/>
        <v>46204</v>
      </c>
      <c r="C8" s="94">
        <f>IF(A8&lt;=12, Assumptions!$B$39 + (A8-1)*Assumptions!$B$40, Assumptions!$B$39 + 11*Assumptions!$B$40 + (A8-12)*Assumptions!$B$41)</f>
        <v>17000</v>
      </c>
      <c r="D8" s="44">
        <f>MAX(ROUND(C8/Assumptions!$B$21, 0), 1)</f>
        <v>63</v>
      </c>
      <c r="E8" s="44">
        <f>ROUND(D8*IF(A8&lt;=3, Assumptions!$B$25, IF(A8&lt;=6, Assumptions!$B$26, IF(A8&lt;=12, Assumptions!$B$27, IF(A8&lt;=18, Assumptions!$B$28, Assumptions!$B$29)))), 0)</f>
        <v>9</v>
      </c>
      <c r="F8" s="44">
        <f>ROUND(D8*IF(A8&lt;=5, Assumptions!$B$33, IF(A8&lt;=12, Assumptions!$B$34, IF(A8&lt;=18, Assumptions!$B$35, Assumptions!$B$36))), 0)</f>
        <v>3</v>
      </c>
      <c r="G8" s="46">
        <f t="shared" si="1"/>
        <v>75</v>
      </c>
      <c r="H8" s="44">
        <f>IF(A8&gt;=6, ROUND(L7*Assumptions!$B$14,0), 0)</f>
        <v>7</v>
      </c>
      <c r="I8" s="44">
        <f>ROUND(J7*Assumptions!$B$11,0)</f>
        <v>34</v>
      </c>
      <c r="J8" s="46">
        <f t="shared" si="2"/>
        <v>216</v>
      </c>
      <c r="K8" s="44">
        <f t="shared" si="3"/>
        <v>319</v>
      </c>
      <c r="L8" s="44">
        <f t="shared" si="4"/>
        <v>103</v>
      </c>
      <c r="M8" s="95">
        <f t="shared" si="5"/>
        <v>226.66666666666666</v>
      </c>
    </row>
    <row r="9" spans="1:13" x14ac:dyDescent="0.25">
      <c r="A9" s="96">
        <v>8</v>
      </c>
      <c r="B9" s="97">
        <f t="shared" si="0"/>
        <v>46235</v>
      </c>
      <c r="C9" s="94">
        <f>IF(A9&lt;=12, Assumptions!$B$39 + (A9-1)*Assumptions!$B$40, Assumptions!$B$39 + 11*Assumptions!$B$40 + (A9-12)*Assumptions!$B$41)</f>
        <v>19000</v>
      </c>
      <c r="D9" s="99">
        <f>MAX(ROUND(C9/Assumptions!$B$21, 0), 1)</f>
        <v>70</v>
      </c>
      <c r="E9" s="99">
        <f>ROUND(D9*IF(A9&lt;=3, Assumptions!$B$25, IF(A9&lt;=6, Assumptions!$B$26, IF(A9&lt;=12, Assumptions!$B$27, IF(A9&lt;=18, Assumptions!$B$28, Assumptions!$B$29)))), 0)</f>
        <v>11</v>
      </c>
      <c r="F9" s="99">
        <f>ROUND(D9*IF(A9&lt;=5, Assumptions!$B$33, IF(A9&lt;=12, Assumptions!$B$34, IF(A9&lt;=18, Assumptions!$B$35, Assumptions!$B$36))), 0)</f>
        <v>4</v>
      </c>
      <c r="G9" s="100">
        <f t="shared" si="1"/>
        <v>85</v>
      </c>
      <c r="H9" s="99">
        <f>IF(A9&gt;=6, ROUND(L8*Assumptions!$B$14,0), 0)</f>
        <v>10</v>
      </c>
      <c r="I9" s="99">
        <f>ROUND(J8*Assumptions!$B$11,0)</f>
        <v>43</v>
      </c>
      <c r="J9" s="100">
        <f t="shared" si="2"/>
        <v>268</v>
      </c>
      <c r="K9" s="99">
        <f t="shared" si="3"/>
        <v>414</v>
      </c>
      <c r="L9" s="99">
        <f t="shared" si="4"/>
        <v>146</v>
      </c>
      <c r="M9" s="101">
        <f t="shared" si="5"/>
        <v>223.52941176470588</v>
      </c>
    </row>
    <row r="10" spans="1:13" s="6" customFormat="1" x14ac:dyDescent="0.25">
      <c r="A10" s="41">
        <v>9</v>
      </c>
      <c r="B10" s="43">
        <f t="shared" si="0"/>
        <v>46266</v>
      </c>
      <c r="C10" s="94">
        <f>IF(A10&lt;=12, Assumptions!$B$39 + (A10-1)*Assumptions!$B$40, Assumptions!$B$39 + 11*Assumptions!$B$40 + (A10-12)*Assumptions!$B$41)</f>
        <v>21000</v>
      </c>
      <c r="D10" s="44">
        <f>MAX(ROUND(C10/Assumptions!$B$21, 0), 1)</f>
        <v>78</v>
      </c>
      <c r="E10" s="44">
        <f>ROUND(D10*IF(A10&lt;=3, Assumptions!$B$25, IF(A10&lt;=6, Assumptions!$B$26, IF(A10&lt;=12, Assumptions!$B$27, IF(A10&lt;=18, Assumptions!$B$28, Assumptions!$B$29)))), 0)</f>
        <v>12</v>
      </c>
      <c r="F10" s="44">
        <f>ROUND(D10*IF(A10&lt;=5, Assumptions!$B$33, IF(A10&lt;=12, Assumptions!$B$34, IF(A10&lt;=18, Assumptions!$B$35, Assumptions!$B$36))), 0)</f>
        <v>4</v>
      </c>
      <c r="G10" s="46">
        <f t="shared" si="1"/>
        <v>94</v>
      </c>
      <c r="H10" s="44">
        <f>IF(A10&gt;=6, ROUND(L9*Assumptions!$B$14,0), 0)</f>
        <v>15</v>
      </c>
      <c r="I10" s="44">
        <f>ROUND(J9*Assumptions!$B$11,0)</f>
        <v>54</v>
      </c>
      <c r="J10" s="46">
        <f t="shared" si="2"/>
        <v>323</v>
      </c>
      <c r="K10" s="44">
        <f t="shared" si="3"/>
        <v>523</v>
      </c>
      <c r="L10" s="44">
        <f t="shared" si="4"/>
        <v>200</v>
      </c>
      <c r="M10" s="95">
        <f t="shared" si="5"/>
        <v>223.40425531914894</v>
      </c>
    </row>
    <row r="11" spans="1:13" x14ac:dyDescent="0.25">
      <c r="A11" s="96">
        <v>10</v>
      </c>
      <c r="B11" s="97">
        <f t="shared" si="0"/>
        <v>46296</v>
      </c>
      <c r="C11" s="94">
        <f>IF(A11&lt;=12, Assumptions!$B$39 + (A11-1)*Assumptions!$B$40, Assumptions!$B$39 + 11*Assumptions!$B$40 + (A11-12)*Assumptions!$B$41)</f>
        <v>23000</v>
      </c>
      <c r="D11" s="99">
        <f>MAX(ROUND(C11/Assumptions!$B$21, 0), 1)</f>
        <v>85</v>
      </c>
      <c r="E11" s="99">
        <f>ROUND(D11*IF(A11&lt;=3, Assumptions!$B$25, IF(A11&lt;=6, Assumptions!$B$26, IF(A11&lt;=12, Assumptions!$B$27, IF(A11&lt;=18, Assumptions!$B$28, Assumptions!$B$29)))), 0)</f>
        <v>13</v>
      </c>
      <c r="F11" s="99">
        <f>ROUND(D11*IF(A11&lt;=5, Assumptions!$B$33, IF(A11&lt;=12, Assumptions!$B$34, IF(A11&lt;=18, Assumptions!$B$35, Assumptions!$B$36))), 0)</f>
        <v>4</v>
      </c>
      <c r="G11" s="100">
        <f t="shared" si="1"/>
        <v>102</v>
      </c>
      <c r="H11" s="99">
        <f>IF(A11&gt;=6, ROUND(L10*Assumptions!$B$14,0), 0)</f>
        <v>20</v>
      </c>
      <c r="I11" s="99">
        <f>ROUND(J10*Assumptions!$B$11,0)</f>
        <v>65</v>
      </c>
      <c r="J11" s="100">
        <f t="shared" si="2"/>
        <v>380</v>
      </c>
      <c r="K11" s="99">
        <f t="shared" si="3"/>
        <v>645</v>
      </c>
      <c r="L11" s="99">
        <f t="shared" si="4"/>
        <v>265</v>
      </c>
      <c r="M11" s="101">
        <f t="shared" si="5"/>
        <v>225.49019607843138</v>
      </c>
    </row>
    <row r="12" spans="1:13" s="6" customFormat="1" x14ac:dyDescent="0.25">
      <c r="A12" s="41">
        <v>11</v>
      </c>
      <c r="B12" s="43">
        <f t="shared" si="0"/>
        <v>46327</v>
      </c>
      <c r="C12" s="94">
        <f>IF(A12&lt;=12, Assumptions!$B$39 + (A12-1)*Assumptions!$B$40, Assumptions!$B$39 + 11*Assumptions!$B$40 + (A12-12)*Assumptions!$B$41)</f>
        <v>25000</v>
      </c>
      <c r="D12" s="44">
        <f>MAX(ROUND(C12/Assumptions!$B$21, 0), 1)</f>
        <v>93</v>
      </c>
      <c r="E12" s="44">
        <f>ROUND(D12*IF(A12&lt;=3, Assumptions!$B$25, IF(A12&lt;=6, Assumptions!$B$26, IF(A12&lt;=12, Assumptions!$B$27, IF(A12&lt;=18, Assumptions!$B$28, Assumptions!$B$29)))), 0)</f>
        <v>14</v>
      </c>
      <c r="F12" s="44">
        <f>ROUND(D12*IF(A12&lt;=5, Assumptions!$B$33, IF(A12&lt;=12, Assumptions!$B$34, IF(A12&lt;=18, Assumptions!$B$35, Assumptions!$B$36))), 0)</f>
        <v>5</v>
      </c>
      <c r="G12" s="46">
        <f t="shared" si="1"/>
        <v>112</v>
      </c>
      <c r="H12" s="44">
        <f>IF(A12&gt;=6, ROUND(L11*Assumptions!$B$14,0), 0)</f>
        <v>27</v>
      </c>
      <c r="I12" s="44">
        <f>ROUND(J11*Assumptions!$B$11,0)</f>
        <v>76</v>
      </c>
      <c r="J12" s="46">
        <f t="shared" si="2"/>
        <v>443</v>
      </c>
      <c r="K12" s="44">
        <f t="shared" si="3"/>
        <v>784</v>
      </c>
      <c r="L12" s="44">
        <f t="shared" si="4"/>
        <v>341</v>
      </c>
      <c r="M12" s="95">
        <f t="shared" si="5"/>
        <v>223.21428571428572</v>
      </c>
    </row>
    <row r="13" spans="1:13" x14ac:dyDescent="0.25">
      <c r="A13" s="96">
        <v>12</v>
      </c>
      <c r="B13" s="97">
        <f t="shared" si="0"/>
        <v>46357</v>
      </c>
      <c r="C13" s="94">
        <f>IF(A13&lt;=12, Assumptions!$B$39 + (A13-1)*Assumptions!$B$40, Assumptions!$B$39 + 11*Assumptions!$B$40 + (A13-12)*Assumptions!$B$41)</f>
        <v>27000</v>
      </c>
      <c r="D13" s="99">
        <f>MAX(ROUND(C13/Assumptions!$B$21, 0), 1)</f>
        <v>100</v>
      </c>
      <c r="E13" s="99">
        <f>ROUND(D13*IF(A13&lt;=3, Assumptions!$B$25, IF(A13&lt;=6, Assumptions!$B$26, IF(A13&lt;=12, Assumptions!$B$27, IF(A13&lt;=18, Assumptions!$B$28, Assumptions!$B$29)))), 0)</f>
        <v>15</v>
      </c>
      <c r="F13" s="99">
        <f>ROUND(D13*IF(A13&lt;=5, Assumptions!$B$33, IF(A13&lt;=12, Assumptions!$B$34, IF(A13&lt;=18, Assumptions!$B$35, Assumptions!$B$36))), 0)</f>
        <v>5</v>
      </c>
      <c r="G13" s="100">
        <f t="shared" si="1"/>
        <v>120</v>
      </c>
      <c r="H13" s="99">
        <f>IF(A13&gt;=6, ROUND(L12*Assumptions!$B$14,0), 0)</f>
        <v>34</v>
      </c>
      <c r="I13" s="99">
        <f>ROUND(J12*Assumptions!$B$11,0)</f>
        <v>89</v>
      </c>
      <c r="J13" s="100">
        <f t="shared" si="2"/>
        <v>508</v>
      </c>
      <c r="K13" s="99">
        <f t="shared" si="3"/>
        <v>938</v>
      </c>
      <c r="L13" s="99">
        <f t="shared" si="4"/>
        <v>430</v>
      </c>
      <c r="M13" s="101">
        <f t="shared" si="5"/>
        <v>225</v>
      </c>
    </row>
    <row r="14" spans="1:13" s="6" customFormat="1" x14ac:dyDescent="0.25">
      <c r="A14" s="41">
        <v>13</v>
      </c>
      <c r="B14" s="43">
        <f t="shared" si="0"/>
        <v>46388</v>
      </c>
      <c r="C14" s="94">
        <f>IF(A14&lt;=12, Assumptions!$B$39 + (A14-1)*Assumptions!$B$40, Assumptions!$B$39 + 11*Assumptions!$B$40 + (A14-12)*Assumptions!$B$41)</f>
        <v>30000</v>
      </c>
      <c r="D14" s="44">
        <f>MAX(ROUND(C14/Assumptions!$B$21, 0), 1)</f>
        <v>111</v>
      </c>
      <c r="E14" s="44">
        <f>ROUND(D14*IF(A14&lt;=3, Assumptions!$B$25, IF(A14&lt;=6, Assumptions!$B$26, IF(A14&lt;=12, Assumptions!$B$27, IF(A14&lt;=18, Assumptions!$B$28, Assumptions!$B$29)))), 0)</f>
        <v>28</v>
      </c>
      <c r="F14" s="44">
        <f>ROUND(D14*IF(A14&lt;=5, Assumptions!$B$33, IF(A14&lt;=12, Assumptions!$B$34, IF(A14&lt;=18, Assumptions!$B$35, Assumptions!$B$36))), 0)</f>
        <v>9</v>
      </c>
      <c r="G14" s="46">
        <f t="shared" si="1"/>
        <v>148</v>
      </c>
      <c r="H14" s="44">
        <f>IF(A14&gt;=6, ROUND(L13*Assumptions!$B$14,0), 0)</f>
        <v>43</v>
      </c>
      <c r="I14" s="44">
        <f>ROUND(J13*Assumptions!$B$11,0)</f>
        <v>102</v>
      </c>
      <c r="J14" s="46">
        <f t="shared" si="2"/>
        <v>597</v>
      </c>
      <c r="K14" s="44">
        <f t="shared" si="3"/>
        <v>1129</v>
      </c>
      <c r="L14" s="44">
        <f t="shared" si="4"/>
        <v>532</v>
      </c>
      <c r="M14" s="95">
        <f t="shared" si="5"/>
        <v>202.70270270270271</v>
      </c>
    </row>
    <row r="15" spans="1:13" x14ac:dyDescent="0.25">
      <c r="A15" s="96">
        <v>14</v>
      </c>
      <c r="B15" s="97">
        <f t="shared" si="0"/>
        <v>46419</v>
      </c>
      <c r="C15" s="94">
        <f>IF(A15&lt;=12, Assumptions!$B$39 + (A15-1)*Assumptions!$B$40, Assumptions!$B$39 + 11*Assumptions!$B$40 + (A15-12)*Assumptions!$B$41)</f>
        <v>33000</v>
      </c>
      <c r="D15" s="99">
        <f>MAX(ROUND(C15/Assumptions!$B$21, 0), 1)</f>
        <v>122</v>
      </c>
      <c r="E15" s="99">
        <f>ROUND(D15*IF(A15&lt;=3, Assumptions!$B$25, IF(A15&lt;=6, Assumptions!$B$26, IF(A15&lt;=12, Assumptions!$B$27, IF(A15&lt;=18, Assumptions!$B$28, Assumptions!$B$29)))), 0)</f>
        <v>31</v>
      </c>
      <c r="F15" s="99">
        <f>ROUND(D15*IF(A15&lt;=5, Assumptions!$B$33, IF(A15&lt;=12, Assumptions!$B$34, IF(A15&lt;=18, Assumptions!$B$35, Assumptions!$B$36))), 0)</f>
        <v>10</v>
      </c>
      <c r="G15" s="100">
        <f t="shared" si="1"/>
        <v>163</v>
      </c>
      <c r="H15" s="99">
        <f>IF(A15&gt;=6, ROUND(L14*Assumptions!$B$14,0), 0)</f>
        <v>53</v>
      </c>
      <c r="I15" s="99">
        <f>ROUND(J14*Assumptions!$B$11,0)</f>
        <v>119</v>
      </c>
      <c r="J15" s="100">
        <f t="shared" si="2"/>
        <v>694</v>
      </c>
      <c r="K15" s="99">
        <f t="shared" si="3"/>
        <v>1345</v>
      </c>
      <c r="L15" s="99">
        <f t="shared" si="4"/>
        <v>651</v>
      </c>
      <c r="M15" s="101">
        <f t="shared" si="5"/>
        <v>202.45398773006136</v>
      </c>
    </row>
    <row r="16" spans="1:13" s="6" customFormat="1" x14ac:dyDescent="0.25">
      <c r="A16" s="41">
        <v>15</v>
      </c>
      <c r="B16" s="43">
        <f t="shared" si="0"/>
        <v>46447</v>
      </c>
      <c r="C16" s="94">
        <f>IF(A16&lt;=12, Assumptions!$B$39 + (A16-1)*Assumptions!$B$40, Assumptions!$B$39 + 11*Assumptions!$B$40 + (A16-12)*Assumptions!$B$41)</f>
        <v>36000</v>
      </c>
      <c r="D16" s="44">
        <f>MAX(ROUND(C16/Assumptions!$B$21, 0), 1)</f>
        <v>133</v>
      </c>
      <c r="E16" s="44">
        <f>ROUND(D16*IF(A16&lt;=3, Assumptions!$B$25, IF(A16&lt;=6, Assumptions!$B$26, IF(A16&lt;=12, Assumptions!$B$27, IF(A16&lt;=18, Assumptions!$B$28, Assumptions!$B$29)))), 0)</f>
        <v>33</v>
      </c>
      <c r="F16" s="44">
        <f>ROUND(D16*IF(A16&lt;=5, Assumptions!$B$33, IF(A16&lt;=12, Assumptions!$B$34, IF(A16&lt;=18, Assumptions!$B$35, Assumptions!$B$36))), 0)</f>
        <v>11</v>
      </c>
      <c r="G16" s="46">
        <f t="shared" si="1"/>
        <v>177</v>
      </c>
      <c r="H16" s="44">
        <f>IF(A16&gt;=6, ROUND(L15*Assumptions!$B$14,0), 0)</f>
        <v>65</v>
      </c>
      <c r="I16" s="44">
        <f>ROUND(J15*Assumptions!$B$11,0)</f>
        <v>139</v>
      </c>
      <c r="J16" s="46">
        <f t="shared" si="2"/>
        <v>797</v>
      </c>
      <c r="K16" s="44">
        <f t="shared" si="3"/>
        <v>1587</v>
      </c>
      <c r="L16" s="44">
        <f t="shared" si="4"/>
        <v>790</v>
      </c>
      <c r="M16" s="95">
        <f t="shared" si="5"/>
        <v>203.38983050847457</v>
      </c>
    </row>
    <row r="17" spans="1:13" x14ac:dyDescent="0.25">
      <c r="A17" s="96">
        <v>16</v>
      </c>
      <c r="B17" s="97">
        <f t="shared" si="0"/>
        <v>46478</v>
      </c>
      <c r="C17" s="94">
        <f>IF(A17&lt;=12, Assumptions!$B$39 + (A17-1)*Assumptions!$B$40, Assumptions!$B$39 + 11*Assumptions!$B$40 + (A17-12)*Assumptions!$B$41)</f>
        <v>39000</v>
      </c>
      <c r="D17" s="99">
        <f>MAX(ROUND(C17/Assumptions!$B$21, 0), 1)</f>
        <v>144</v>
      </c>
      <c r="E17" s="99">
        <f>ROUND(D17*IF(A17&lt;=3, Assumptions!$B$25, IF(A17&lt;=6, Assumptions!$B$26, IF(A17&lt;=12, Assumptions!$B$27, IF(A17&lt;=18, Assumptions!$B$28, Assumptions!$B$29)))), 0)</f>
        <v>36</v>
      </c>
      <c r="F17" s="99">
        <f>ROUND(D17*IF(A17&lt;=5, Assumptions!$B$33, IF(A17&lt;=12, Assumptions!$B$34, IF(A17&lt;=18, Assumptions!$B$35, Assumptions!$B$36))), 0)</f>
        <v>12</v>
      </c>
      <c r="G17" s="100">
        <f t="shared" si="1"/>
        <v>192</v>
      </c>
      <c r="H17" s="99">
        <f>IF(A17&gt;=6, ROUND(L16*Assumptions!$B$14,0), 0)</f>
        <v>79</v>
      </c>
      <c r="I17" s="99">
        <f>ROUND(J16*Assumptions!$B$11,0)</f>
        <v>159</v>
      </c>
      <c r="J17" s="100">
        <f t="shared" si="2"/>
        <v>909</v>
      </c>
      <c r="K17" s="99">
        <f t="shared" si="3"/>
        <v>1858</v>
      </c>
      <c r="L17" s="99">
        <f t="shared" si="4"/>
        <v>949</v>
      </c>
      <c r="M17" s="101">
        <f t="shared" si="5"/>
        <v>203.125</v>
      </c>
    </row>
    <row r="18" spans="1:13" s="6" customFormat="1" x14ac:dyDescent="0.25">
      <c r="A18" s="41">
        <v>17</v>
      </c>
      <c r="B18" s="43">
        <f t="shared" si="0"/>
        <v>46508</v>
      </c>
      <c r="C18" s="94">
        <f>IF(A18&lt;=12, Assumptions!$B$39 + (A18-1)*Assumptions!$B$40, Assumptions!$B$39 + 11*Assumptions!$B$40 + (A18-12)*Assumptions!$B$41)</f>
        <v>42000</v>
      </c>
      <c r="D18" s="44">
        <f>MAX(ROUND(C18/Assumptions!$B$21, 0), 1)</f>
        <v>156</v>
      </c>
      <c r="E18" s="44">
        <f>ROUND(D18*IF(A18&lt;=3, Assumptions!$B$25, IF(A18&lt;=6, Assumptions!$B$26, IF(A18&lt;=12, Assumptions!$B$27, IF(A18&lt;=18, Assumptions!$B$28, Assumptions!$B$29)))), 0)</f>
        <v>39</v>
      </c>
      <c r="F18" s="44">
        <f>ROUND(D18*IF(A18&lt;=5, Assumptions!$B$33, IF(A18&lt;=12, Assumptions!$B$34, IF(A18&lt;=18, Assumptions!$B$35, Assumptions!$B$36))), 0)</f>
        <v>12</v>
      </c>
      <c r="G18" s="46">
        <f t="shared" si="1"/>
        <v>207</v>
      </c>
      <c r="H18" s="44">
        <f>IF(A18&gt;=6, ROUND(L17*Assumptions!$B$14,0), 0)</f>
        <v>95</v>
      </c>
      <c r="I18" s="44">
        <f>ROUND(J17*Assumptions!$B$11,0)</f>
        <v>182</v>
      </c>
      <c r="J18" s="46">
        <f t="shared" si="2"/>
        <v>1029</v>
      </c>
      <c r="K18" s="44">
        <f t="shared" si="3"/>
        <v>2160</v>
      </c>
      <c r="L18" s="44">
        <f t="shared" si="4"/>
        <v>1131</v>
      </c>
      <c r="M18" s="95">
        <f t="shared" si="5"/>
        <v>202.89855072463769</v>
      </c>
    </row>
    <row r="19" spans="1:13" x14ac:dyDescent="0.25">
      <c r="A19" s="96">
        <v>18</v>
      </c>
      <c r="B19" s="97">
        <f t="shared" si="0"/>
        <v>46539</v>
      </c>
      <c r="C19" s="94">
        <f>IF(A19&lt;=12, Assumptions!$B$39 + (A19-1)*Assumptions!$B$40, Assumptions!$B$39 + 11*Assumptions!$B$40 + (A19-12)*Assumptions!$B$41)</f>
        <v>45000</v>
      </c>
      <c r="D19" s="99">
        <f>MAX(ROUND(C19/Assumptions!$B$21, 0), 1)</f>
        <v>167</v>
      </c>
      <c r="E19" s="99">
        <f>ROUND(D19*IF(A19&lt;=3, Assumptions!$B$25, IF(A19&lt;=6, Assumptions!$B$26, IF(A19&lt;=12, Assumptions!$B$27, IF(A19&lt;=18, Assumptions!$B$28, Assumptions!$B$29)))), 0)</f>
        <v>42</v>
      </c>
      <c r="F19" s="99">
        <f>ROUND(D19*IF(A19&lt;=5, Assumptions!$B$33, IF(A19&lt;=12, Assumptions!$B$34, IF(A19&lt;=18, Assumptions!$B$35, Assumptions!$B$36))), 0)</f>
        <v>13</v>
      </c>
      <c r="G19" s="100">
        <f t="shared" si="1"/>
        <v>222</v>
      </c>
      <c r="H19" s="99">
        <f>IF(A19&gt;=6, ROUND(L18*Assumptions!$B$14,0), 0)</f>
        <v>113</v>
      </c>
      <c r="I19" s="99">
        <f>ROUND(J18*Assumptions!$B$11,0)</f>
        <v>206</v>
      </c>
      <c r="J19" s="100">
        <f t="shared" si="2"/>
        <v>1158</v>
      </c>
      <c r="K19" s="99">
        <f t="shared" si="3"/>
        <v>2495</v>
      </c>
      <c r="L19" s="99">
        <f t="shared" si="4"/>
        <v>1337</v>
      </c>
      <c r="M19" s="101">
        <f t="shared" si="5"/>
        <v>202.70270270270271</v>
      </c>
    </row>
    <row r="20" spans="1:13" s="6" customFormat="1" x14ac:dyDescent="0.25">
      <c r="A20" s="41">
        <v>19</v>
      </c>
      <c r="B20" s="43">
        <f t="shared" si="0"/>
        <v>46569</v>
      </c>
      <c r="C20" s="94">
        <f>IF(A20&lt;=12, Assumptions!$B$39 + (A20-1)*Assumptions!$B$40, Assumptions!$B$39 + 11*Assumptions!$B$40 + (A20-12)*Assumptions!$B$41)</f>
        <v>48000</v>
      </c>
      <c r="D20" s="44">
        <f>MAX(ROUND(C20/Assumptions!$B$21, 0), 1)</f>
        <v>178</v>
      </c>
      <c r="E20" s="44">
        <f>ROUND(D20*IF(A20&lt;=3, Assumptions!$B$25, IF(A20&lt;=6, Assumptions!$B$26, IF(A20&lt;=12, Assumptions!$B$27, IF(A20&lt;=18, Assumptions!$B$28, Assumptions!$B$29)))), 0)</f>
        <v>62</v>
      </c>
      <c r="F20" s="44">
        <f>ROUND(D20*IF(A20&lt;=5, Assumptions!$B$33, IF(A20&lt;=12, Assumptions!$B$34, IF(A20&lt;=18, Assumptions!$B$35, Assumptions!$B$36))), 0)</f>
        <v>18</v>
      </c>
      <c r="G20" s="46">
        <f t="shared" si="1"/>
        <v>258</v>
      </c>
      <c r="H20" s="44">
        <f>IF(A20&gt;=6, ROUND(L19*Assumptions!$B$14,0), 0)</f>
        <v>134</v>
      </c>
      <c r="I20" s="44">
        <f>ROUND(J19*Assumptions!$B$11,0)</f>
        <v>232</v>
      </c>
      <c r="J20" s="46">
        <f t="shared" si="2"/>
        <v>1318</v>
      </c>
      <c r="K20" s="44">
        <f t="shared" si="3"/>
        <v>2887</v>
      </c>
      <c r="L20" s="44">
        <f t="shared" si="4"/>
        <v>1569</v>
      </c>
      <c r="M20" s="95">
        <f t="shared" si="5"/>
        <v>186.04651162790697</v>
      </c>
    </row>
    <row r="21" spans="1:13" x14ac:dyDescent="0.25">
      <c r="A21" s="96">
        <v>20</v>
      </c>
      <c r="B21" s="97">
        <f t="shared" si="0"/>
        <v>46600</v>
      </c>
      <c r="C21" s="94">
        <f>IF(A21&lt;=12, Assumptions!$B$39 + (A21-1)*Assumptions!$B$40, Assumptions!$B$39 + 11*Assumptions!$B$40 + (A21-12)*Assumptions!$B$41)</f>
        <v>51000</v>
      </c>
      <c r="D21" s="99">
        <f>MAX(ROUND(C21/Assumptions!$B$21, 0), 1)</f>
        <v>189</v>
      </c>
      <c r="E21" s="99">
        <f>ROUND(D21*IF(A21&lt;=3, Assumptions!$B$25, IF(A21&lt;=6, Assumptions!$B$26, IF(A21&lt;=12, Assumptions!$B$27, IF(A21&lt;=18, Assumptions!$B$28, Assumptions!$B$29)))), 0)</f>
        <v>66</v>
      </c>
      <c r="F21" s="99">
        <f>ROUND(D21*IF(A21&lt;=5, Assumptions!$B$33, IF(A21&lt;=12, Assumptions!$B$34, IF(A21&lt;=18, Assumptions!$B$35, Assumptions!$B$36))), 0)</f>
        <v>19</v>
      </c>
      <c r="G21" s="100">
        <f t="shared" si="1"/>
        <v>274</v>
      </c>
      <c r="H21" s="99">
        <f>IF(A21&gt;=6, ROUND(L20*Assumptions!$B$14,0), 0)</f>
        <v>157</v>
      </c>
      <c r="I21" s="99">
        <f>ROUND(J20*Assumptions!$B$11,0)</f>
        <v>264</v>
      </c>
      <c r="J21" s="100">
        <f t="shared" si="2"/>
        <v>1485</v>
      </c>
      <c r="K21" s="99">
        <f t="shared" si="3"/>
        <v>3318</v>
      </c>
      <c r="L21" s="99">
        <f t="shared" si="4"/>
        <v>1833</v>
      </c>
      <c r="M21" s="101">
        <f t="shared" si="5"/>
        <v>186.13138686131387</v>
      </c>
    </row>
    <row r="22" spans="1:13" s="6" customFormat="1" x14ac:dyDescent="0.25">
      <c r="A22" s="41">
        <v>21</v>
      </c>
      <c r="B22" s="43">
        <f t="shared" si="0"/>
        <v>46631</v>
      </c>
      <c r="C22" s="94">
        <f>IF(A22&lt;=12, Assumptions!$B$39 + (A22-1)*Assumptions!$B$40, Assumptions!$B$39 + 11*Assumptions!$B$40 + (A22-12)*Assumptions!$B$41)</f>
        <v>54000</v>
      </c>
      <c r="D22" s="44">
        <f>MAX(ROUND(C22/Assumptions!$B$21, 0), 1)</f>
        <v>200</v>
      </c>
      <c r="E22" s="44">
        <f>ROUND(D22*IF(A22&lt;=3, Assumptions!$B$25, IF(A22&lt;=6, Assumptions!$B$26, IF(A22&lt;=12, Assumptions!$B$27, IF(A22&lt;=18, Assumptions!$B$28, Assumptions!$B$29)))), 0)</f>
        <v>70</v>
      </c>
      <c r="F22" s="44">
        <f>ROUND(D22*IF(A22&lt;=5, Assumptions!$B$33, IF(A22&lt;=12, Assumptions!$B$34, IF(A22&lt;=18, Assumptions!$B$35, Assumptions!$B$36))), 0)</f>
        <v>20</v>
      </c>
      <c r="G22" s="46">
        <f t="shared" si="1"/>
        <v>290</v>
      </c>
      <c r="H22" s="44">
        <f>IF(A22&gt;=6, ROUND(L21*Assumptions!$B$14,0), 0)</f>
        <v>183</v>
      </c>
      <c r="I22" s="44">
        <f>ROUND(J21*Assumptions!$B$11,0)</f>
        <v>297</v>
      </c>
      <c r="J22" s="46">
        <f t="shared" si="2"/>
        <v>1661</v>
      </c>
      <c r="K22" s="44">
        <f t="shared" si="3"/>
        <v>3791</v>
      </c>
      <c r="L22" s="44">
        <f t="shared" si="4"/>
        <v>2130</v>
      </c>
      <c r="M22" s="95">
        <f t="shared" si="5"/>
        <v>186.20689655172413</v>
      </c>
    </row>
    <row r="23" spans="1:13" x14ac:dyDescent="0.25">
      <c r="A23" s="96">
        <v>22</v>
      </c>
      <c r="B23" s="97">
        <f t="shared" si="0"/>
        <v>46661</v>
      </c>
      <c r="C23" s="94">
        <f>IF(A23&lt;=12, Assumptions!$B$39 + (A23-1)*Assumptions!$B$40, Assumptions!$B$39 + 11*Assumptions!$B$40 + (A23-12)*Assumptions!$B$41)</f>
        <v>57000</v>
      </c>
      <c r="D23" s="99">
        <f>MAX(ROUND(C23/Assumptions!$B$21, 0), 1)</f>
        <v>211</v>
      </c>
      <c r="E23" s="99">
        <f>ROUND(D23*IF(A23&lt;=3, Assumptions!$B$25, IF(A23&lt;=6, Assumptions!$B$26, IF(A23&lt;=12, Assumptions!$B$27, IF(A23&lt;=18, Assumptions!$B$28, Assumptions!$B$29)))), 0)</f>
        <v>74</v>
      </c>
      <c r="F23" s="99">
        <f>ROUND(D23*IF(A23&lt;=5, Assumptions!$B$33, IF(A23&lt;=12, Assumptions!$B$34, IF(A23&lt;=18, Assumptions!$B$35, Assumptions!$B$36))), 0)</f>
        <v>21</v>
      </c>
      <c r="G23" s="100">
        <f t="shared" si="1"/>
        <v>306</v>
      </c>
      <c r="H23" s="99">
        <f>IF(A23&gt;=6, ROUND(L22*Assumptions!$B$14,0), 0)</f>
        <v>213</v>
      </c>
      <c r="I23" s="99">
        <f>ROUND(J22*Assumptions!$B$11,0)</f>
        <v>332</v>
      </c>
      <c r="J23" s="100">
        <f t="shared" si="2"/>
        <v>1848</v>
      </c>
      <c r="K23" s="99">
        <f t="shared" si="3"/>
        <v>4310</v>
      </c>
      <c r="L23" s="99">
        <f t="shared" si="4"/>
        <v>2462</v>
      </c>
      <c r="M23" s="101">
        <f t="shared" si="5"/>
        <v>186.27450980392157</v>
      </c>
    </row>
    <row r="24" spans="1:13" s="6" customFormat="1" x14ac:dyDescent="0.25">
      <c r="A24" s="41">
        <v>23</v>
      </c>
      <c r="B24" s="43">
        <f t="shared" si="0"/>
        <v>46692</v>
      </c>
      <c r="C24" s="94">
        <f>IF(A24&lt;=12, Assumptions!$B$39 + (A24-1)*Assumptions!$B$40, Assumptions!$B$39 + 11*Assumptions!$B$40 + (A24-12)*Assumptions!$B$41)</f>
        <v>60000</v>
      </c>
      <c r="D24" s="44">
        <f>MAX(ROUND(C24/Assumptions!$B$21, 0), 1)</f>
        <v>222</v>
      </c>
      <c r="E24" s="44">
        <f>ROUND(D24*IF(A24&lt;=3, Assumptions!$B$25, IF(A24&lt;=6, Assumptions!$B$26, IF(A24&lt;=12, Assumptions!$B$27, IF(A24&lt;=18, Assumptions!$B$28, Assumptions!$B$29)))), 0)</f>
        <v>78</v>
      </c>
      <c r="F24" s="44">
        <f>ROUND(D24*IF(A24&lt;=5, Assumptions!$B$33, IF(A24&lt;=12, Assumptions!$B$34, IF(A24&lt;=18, Assumptions!$B$35, Assumptions!$B$36))), 0)</f>
        <v>22</v>
      </c>
      <c r="G24" s="46">
        <f t="shared" si="1"/>
        <v>322</v>
      </c>
      <c r="H24" s="44">
        <f>IF(A24&gt;=6, ROUND(L23*Assumptions!$B$14,0), 0)</f>
        <v>246</v>
      </c>
      <c r="I24" s="44">
        <f>ROUND(J23*Assumptions!$B$11,0)</f>
        <v>370</v>
      </c>
      <c r="J24" s="46">
        <f t="shared" si="2"/>
        <v>2046</v>
      </c>
      <c r="K24" s="44">
        <f t="shared" si="3"/>
        <v>4878</v>
      </c>
      <c r="L24" s="44">
        <f t="shared" si="4"/>
        <v>2832</v>
      </c>
      <c r="M24" s="95">
        <f t="shared" si="5"/>
        <v>186.33540372670808</v>
      </c>
    </row>
    <row r="25" spans="1:13" x14ac:dyDescent="0.25">
      <c r="A25" s="96">
        <v>24</v>
      </c>
      <c r="B25" s="97">
        <f t="shared" si="0"/>
        <v>46722</v>
      </c>
      <c r="C25" s="94">
        <f>IF(A25&lt;=12, Assumptions!$B$39 + (A25-1)*Assumptions!$B$40, Assumptions!$B$39 + 11*Assumptions!$B$40 + (A25-12)*Assumptions!$B$41)</f>
        <v>63000</v>
      </c>
      <c r="D25" s="99">
        <f>MAX(ROUND(C25/Assumptions!$B$21, 0), 1)</f>
        <v>233</v>
      </c>
      <c r="E25" s="99">
        <f>ROUND(D25*IF(A25&lt;=3, Assumptions!$B$25, IF(A25&lt;=6, Assumptions!$B$26, IF(A25&lt;=12, Assumptions!$B$27, IF(A25&lt;=18, Assumptions!$B$28, Assumptions!$B$29)))), 0)</f>
        <v>82</v>
      </c>
      <c r="F25" s="99">
        <f>ROUND(D25*IF(A25&lt;=5, Assumptions!$B$33, IF(A25&lt;=12, Assumptions!$B$34, IF(A25&lt;=18, Assumptions!$B$35, Assumptions!$B$36))), 0)</f>
        <v>23</v>
      </c>
      <c r="G25" s="100">
        <f t="shared" si="1"/>
        <v>338</v>
      </c>
      <c r="H25" s="99">
        <f>IF(A25&gt;=6, ROUND(L24*Assumptions!$B$14,0), 0)</f>
        <v>283</v>
      </c>
      <c r="I25" s="99">
        <f>ROUND(J24*Assumptions!$B$11,0)</f>
        <v>409</v>
      </c>
      <c r="J25" s="100">
        <f t="shared" si="2"/>
        <v>2258</v>
      </c>
      <c r="K25" s="99">
        <f t="shared" si="3"/>
        <v>5499</v>
      </c>
      <c r="L25" s="99">
        <f t="shared" si="4"/>
        <v>3241</v>
      </c>
      <c r="M25" s="101">
        <f t="shared" si="5"/>
        <v>186.39053254437869</v>
      </c>
    </row>
    <row r="27" spans="1:13" ht="45" customHeight="1" x14ac:dyDescent="0.25">
      <c r="A27" s="102" t="s">
        <v>145</v>
      </c>
      <c r="B27" s="104" t="s">
        <v>211</v>
      </c>
      <c r="C27" s="103"/>
      <c r="D27" s="103"/>
      <c r="E27" s="103"/>
      <c r="F27" s="103"/>
      <c r="G27" s="103"/>
      <c r="H27" s="103"/>
      <c r="I27" s="103"/>
      <c r="J27" s="103"/>
      <c r="K27" s="103"/>
      <c r="L27" s="103"/>
      <c r="M27" s="103"/>
    </row>
  </sheetData>
  <mergeCells count="1">
    <mergeCell ref="B27:M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27954-A47E-4A31-B3F1-6EA05F4A4101}">
  <sheetPr>
    <tabColor rgb="FF70AD47"/>
  </sheetPr>
  <dimension ref="A1:G36"/>
  <sheetViews>
    <sheetView workbookViewId="0">
      <pane ySplit="1" topLeftCell="A2" activePane="bottomLeft" state="frozen"/>
      <selection pane="bottomLeft" activeCell="C25" sqref="C25"/>
    </sheetView>
  </sheetViews>
  <sheetFormatPr defaultRowHeight="15" x14ac:dyDescent="0.25"/>
  <cols>
    <col min="1" max="1" width="32.5703125" customWidth="1"/>
    <col min="2" max="2" width="17.140625" customWidth="1"/>
    <col min="3" max="3" width="24.7109375" style="3" customWidth="1"/>
    <col min="4" max="9" width="24.7109375" customWidth="1"/>
  </cols>
  <sheetData>
    <row r="1" spans="1:7" x14ac:dyDescent="0.25">
      <c r="A1" s="54" t="s">
        <v>6</v>
      </c>
      <c r="B1" s="54" t="s">
        <v>7</v>
      </c>
      <c r="C1" s="54" t="s">
        <v>146</v>
      </c>
      <c r="D1" s="54" t="s">
        <v>14</v>
      </c>
      <c r="E1" s="54" t="s">
        <v>15</v>
      </c>
      <c r="F1" s="54" t="s">
        <v>16</v>
      </c>
      <c r="G1" s="54" t="s">
        <v>147</v>
      </c>
    </row>
    <row r="2" spans="1:7" x14ac:dyDescent="0.25">
      <c r="A2" s="42">
        <f>'Patient Growth'!A2</f>
        <v>1</v>
      </c>
      <c r="B2" s="43">
        <f>'Patient Growth'!B2</f>
        <v>46023</v>
      </c>
      <c r="C2" s="44">
        <f>'Patient Growth'!J2</f>
        <v>19</v>
      </c>
      <c r="D2" s="56">
        <f>C2*Assumptions!$B$8</f>
        <v>2831</v>
      </c>
      <c r="E2" s="57">
        <f>D2</f>
        <v>2831</v>
      </c>
      <c r="F2" s="57">
        <f>E2*12</f>
        <v>33972</v>
      </c>
      <c r="G2" s="44">
        <f>C2</f>
        <v>19</v>
      </c>
    </row>
    <row r="3" spans="1:7" x14ac:dyDescent="0.25">
      <c r="A3" s="47">
        <f>'Patient Growth'!A3</f>
        <v>2</v>
      </c>
      <c r="B3" s="48">
        <f>'Patient Growth'!B3</f>
        <v>46054</v>
      </c>
      <c r="C3" s="44">
        <f>'Patient Growth'!J3</f>
        <v>41</v>
      </c>
      <c r="D3" s="59">
        <f>C3*Assumptions!$B$8</f>
        <v>6109</v>
      </c>
      <c r="E3" s="60">
        <f>D3</f>
        <v>6109</v>
      </c>
      <c r="F3" s="60">
        <f>E3*12</f>
        <v>73308</v>
      </c>
      <c r="G3" s="49">
        <f>IF(A3&gt;=3, ROUND(AVERAGE(C2:C3),0), C3)</f>
        <v>41</v>
      </c>
    </row>
    <row r="4" spans="1:7" x14ac:dyDescent="0.25">
      <c r="A4" s="42">
        <f>'Patient Growth'!A4</f>
        <v>3</v>
      </c>
      <c r="B4" s="43">
        <f>'Patient Growth'!B4</f>
        <v>46082</v>
      </c>
      <c r="C4" s="49">
        <f>'Patient Growth'!J4</f>
        <v>66</v>
      </c>
      <c r="D4" s="56">
        <f>C4*Assumptions!$B$8</f>
        <v>9834</v>
      </c>
      <c r="E4" s="57">
        <f t="shared" ref="E4:E25" si="0">D4</f>
        <v>9834</v>
      </c>
      <c r="F4" s="57">
        <f t="shared" ref="F4:F25" si="1">E4*12</f>
        <v>118008</v>
      </c>
      <c r="G4" s="44">
        <f t="shared" ref="G4:G25" si="2">IF(A4&gt;=3, ROUND(AVERAGE(C2:C4),0), C4)</f>
        <v>42</v>
      </c>
    </row>
    <row r="5" spans="1:7" x14ac:dyDescent="0.25">
      <c r="A5" s="47">
        <f>'Patient Growth'!A5</f>
        <v>4</v>
      </c>
      <c r="B5" s="48">
        <f>'Patient Growth'!B5</f>
        <v>46113</v>
      </c>
      <c r="C5" s="49">
        <f>'Patient Growth'!J5</f>
        <v>96</v>
      </c>
      <c r="D5" s="59">
        <f>C5*Assumptions!$B$8</f>
        <v>14304</v>
      </c>
      <c r="E5" s="60">
        <f t="shared" si="0"/>
        <v>14304</v>
      </c>
      <c r="F5" s="60">
        <f t="shared" si="1"/>
        <v>171648</v>
      </c>
      <c r="G5" s="49">
        <f t="shared" si="2"/>
        <v>68</v>
      </c>
    </row>
    <row r="6" spans="1:7" x14ac:dyDescent="0.25">
      <c r="A6" s="42">
        <f>'Patient Growth'!A6</f>
        <v>5</v>
      </c>
      <c r="B6" s="43">
        <f>'Patient Growth'!B6</f>
        <v>46143</v>
      </c>
      <c r="C6" s="49">
        <f>'Patient Growth'!J6</f>
        <v>127</v>
      </c>
      <c r="D6" s="56">
        <f>C6*Assumptions!$B$8</f>
        <v>18923</v>
      </c>
      <c r="E6" s="57">
        <f t="shared" si="0"/>
        <v>18923</v>
      </c>
      <c r="F6" s="57">
        <f t="shared" si="1"/>
        <v>227076</v>
      </c>
      <c r="G6" s="44">
        <f t="shared" si="2"/>
        <v>96</v>
      </c>
    </row>
    <row r="7" spans="1:7" x14ac:dyDescent="0.25">
      <c r="A7" s="47">
        <f>'Patient Growth'!A7</f>
        <v>6</v>
      </c>
      <c r="B7" s="48">
        <f>'Patient Growth'!B7</f>
        <v>46174</v>
      </c>
      <c r="C7" s="49">
        <f>'Patient Growth'!J7</f>
        <v>168</v>
      </c>
      <c r="D7" s="59">
        <f>C7*Assumptions!$B$8</f>
        <v>25032</v>
      </c>
      <c r="E7" s="60">
        <f t="shared" si="0"/>
        <v>25032</v>
      </c>
      <c r="F7" s="60">
        <f t="shared" si="1"/>
        <v>300384</v>
      </c>
      <c r="G7" s="49">
        <f t="shared" si="2"/>
        <v>130</v>
      </c>
    </row>
    <row r="8" spans="1:7" x14ac:dyDescent="0.25">
      <c r="A8" s="42">
        <f>'Patient Growth'!A8</f>
        <v>7</v>
      </c>
      <c r="B8" s="43">
        <f>'Patient Growth'!B8</f>
        <v>46204</v>
      </c>
      <c r="C8" s="49">
        <f>'Patient Growth'!J8</f>
        <v>216</v>
      </c>
      <c r="D8" s="56">
        <f>C8*Assumptions!$B$8</f>
        <v>32184</v>
      </c>
      <c r="E8" s="57">
        <f t="shared" si="0"/>
        <v>32184</v>
      </c>
      <c r="F8" s="57">
        <f t="shared" si="1"/>
        <v>386208</v>
      </c>
      <c r="G8" s="44">
        <f t="shared" si="2"/>
        <v>170</v>
      </c>
    </row>
    <row r="9" spans="1:7" x14ac:dyDescent="0.25">
      <c r="A9" s="47">
        <f>'Patient Growth'!A9</f>
        <v>8</v>
      </c>
      <c r="B9" s="48">
        <f>'Patient Growth'!B9</f>
        <v>46235</v>
      </c>
      <c r="C9" s="49">
        <f>'Patient Growth'!J9</f>
        <v>268</v>
      </c>
      <c r="D9" s="59">
        <f>C9*Assumptions!$B$8</f>
        <v>39932</v>
      </c>
      <c r="E9" s="60">
        <f t="shared" si="0"/>
        <v>39932</v>
      </c>
      <c r="F9" s="60">
        <f t="shared" si="1"/>
        <v>479184</v>
      </c>
      <c r="G9" s="49">
        <f t="shared" si="2"/>
        <v>217</v>
      </c>
    </row>
    <row r="10" spans="1:7" x14ac:dyDescent="0.25">
      <c r="A10" s="42">
        <f>'Patient Growth'!A10</f>
        <v>9</v>
      </c>
      <c r="B10" s="43">
        <f>'Patient Growth'!B10</f>
        <v>46266</v>
      </c>
      <c r="C10" s="49">
        <f>'Patient Growth'!J10</f>
        <v>323</v>
      </c>
      <c r="D10" s="56">
        <f>C10*Assumptions!$B$8</f>
        <v>48127</v>
      </c>
      <c r="E10" s="57">
        <f t="shared" si="0"/>
        <v>48127</v>
      </c>
      <c r="F10" s="57">
        <f t="shared" si="1"/>
        <v>577524</v>
      </c>
      <c r="G10" s="44">
        <f t="shared" si="2"/>
        <v>269</v>
      </c>
    </row>
    <row r="11" spans="1:7" x14ac:dyDescent="0.25">
      <c r="A11" s="47">
        <f>'Patient Growth'!A11</f>
        <v>10</v>
      </c>
      <c r="B11" s="48">
        <f>'Patient Growth'!B11</f>
        <v>46296</v>
      </c>
      <c r="C11" s="49">
        <f>'Patient Growth'!J11</f>
        <v>380</v>
      </c>
      <c r="D11" s="59">
        <f>C11*Assumptions!$B$8</f>
        <v>56620</v>
      </c>
      <c r="E11" s="60">
        <f t="shared" si="0"/>
        <v>56620</v>
      </c>
      <c r="F11" s="60">
        <f t="shared" si="1"/>
        <v>679440</v>
      </c>
      <c r="G11" s="49">
        <f t="shared" si="2"/>
        <v>324</v>
      </c>
    </row>
    <row r="12" spans="1:7" x14ac:dyDescent="0.25">
      <c r="A12" s="42">
        <f>'Patient Growth'!A12</f>
        <v>11</v>
      </c>
      <c r="B12" s="43">
        <f>'Patient Growth'!B12</f>
        <v>46327</v>
      </c>
      <c r="C12" s="49">
        <f>'Patient Growth'!J12</f>
        <v>443</v>
      </c>
      <c r="D12" s="56">
        <f>C12*Assumptions!$B$8</f>
        <v>66007</v>
      </c>
      <c r="E12" s="57">
        <f t="shared" si="0"/>
        <v>66007</v>
      </c>
      <c r="F12" s="57">
        <f t="shared" si="1"/>
        <v>792084</v>
      </c>
      <c r="G12" s="44">
        <f t="shared" si="2"/>
        <v>382</v>
      </c>
    </row>
    <row r="13" spans="1:7" x14ac:dyDescent="0.25">
      <c r="A13" s="47">
        <f>'Patient Growth'!A13</f>
        <v>12</v>
      </c>
      <c r="B13" s="48">
        <f>'Patient Growth'!B13</f>
        <v>46357</v>
      </c>
      <c r="C13" s="49">
        <f>'Patient Growth'!J13</f>
        <v>508</v>
      </c>
      <c r="D13" s="59">
        <f>C13*Assumptions!$B$8</f>
        <v>75692</v>
      </c>
      <c r="E13" s="60">
        <f t="shared" si="0"/>
        <v>75692</v>
      </c>
      <c r="F13" s="60">
        <f t="shared" si="1"/>
        <v>908304</v>
      </c>
      <c r="G13" s="49">
        <f t="shared" si="2"/>
        <v>444</v>
      </c>
    </row>
    <row r="14" spans="1:7" x14ac:dyDescent="0.25">
      <c r="A14" s="42">
        <f>'Patient Growth'!A14</f>
        <v>13</v>
      </c>
      <c r="B14" s="43">
        <f>'Patient Growth'!B14</f>
        <v>46388</v>
      </c>
      <c r="C14" s="49">
        <f>'Patient Growth'!J14</f>
        <v>597</v>
      </c>
      <c r="D14" s="56">
        <f>C14*Assumptions!$B$8</f>
        <v>88953</v>
      </c>
      <c r="E14" s="57">
        <f t="shared" si="0"/>
        <v>88953</v>
      </c>
      <c r="F14" s="57">
        <f t="shared" si="1"/>
        <v>1067436</v>
      </c>
      <c r="G14" s="44">
        <f t="shared" si="2"/>
        <v>516</v>
      </c>
    </row>
    <row r="15" spans="1:7" x14ac:dyDescent="0.25">
      <c r="A15" s="47">
        <f>'Patient Growth'!A15</f>
        <v>14</v>
      </c>
      <c r="B15" s="48">
        <f>'Patient Growth'!B15</f>
        <v>46419</v>
      </c>
      <c r="C15" s="49">
        <f>'Patient Growth'!J15</f>
        <v>694</v>
      </c>
      <c r="D15" s="59">
        <f>C15*Assumptions!$B$8</f>
        <v>103406</v>
      </c>
      <c r="E15" s="60">
        <f t="shared" si="0"/>
        <v>103406</v>
      </c>
      <c r="F15" s="60">
        <f t="shared" si="1"/>
        <v>1240872</v>
      </c>
      <c r="G15" s="49">
        <f t="shared" si="2"/>
        <v>600</v>
      </c>
    </row>
    <row r="16" spans="1:7" x14ac:dyDescent="0.25">
      <c r="A16" s="42">
        <f>'Patient Growth'!A16</f>
        <v>15</v>
      </c>
      <c r="B16" s="43">
        <f>'Patient Growth'!B16</f>
        <v>46447</v>
      </c>
      <c r="C16" s="49">
        <f>'Patient Growth'!J16</f>
        <v>797</v>
      </c>
      <c r="D16" s="56">
        <f>C16*Assumptions!$B$8</f>
        <v>118753</v>
      </c>
      <c r="E16" s="57">
        <f t="shared" si="0"/>
        <v>118753</v>
      </c>
      <c r="F16" s="57">
        <f t="shared" si="1"/>
        <v>1425036</v>
      </c>
      <c r="G16" s="44">
        <f t="shared" si="2"/>
        <v>696</v>
      </c>
    </row>
    <row r="17" spans="1:7" x14ac:dyDescent="0.25">
      <c r="A17" s="47">
        <f>'Patient Growth'!A17</f>
        <v>16</v>
      </c>
      <c r="B17" s="48">
        <f>'Patient Growth'!B17</f>
        <v>46478</v>
      </c>
      <c r="C17" s="49">
        <f>'Patient Growth'!J17</f>
        <v>909</v>
      </c>
      <c r="D17" s="59">
        <f>C17*Assumptions!$B$8</f>
        <v>135441</v>
      </c>
      <c r="E17" s="60">
        <f t="shared" si="0"/>
        <v>135441</v>
      </c>
      <c r="F17" s="60">
        <f t="shared" si="1"/>
        <v>1625292</v>
      </c>
      <c r="G17" s="49">
        <f t="shared" si="2"/>
        <v>800</v>
      </c>
    </row>
    <row r="18" spans="1:7" x14ac:dyDescent="0.25">
      <c r="A18" s="42">
        <f>'Patient Growth'!A18</f>
        <v>17</v>
      </c>
      <c r="B18" s="43">
        <f>'Patient Growth'!B18</f>
        <v>46508</v>
      </c>
      <c r="C18" s="49">
        <f>'Patient Growth'!J18</f>
        <v>1029</v>
      </c>
      <c r="D18" s="56">
        <f>C18*Assumptions!$B$8</f>
        <v>153321</v>
      </c>
      <c r="E18" s="57">
        <f t="shared" si="0"/>
        <v>153321</v>
      </c>
      <c r="F18" s="57">
        <f t="shared" si="1"/>
        <v>1839852</v>
      </c>
      <c r="G18" s="44">
        <f t="shared" si="2"/>
        <v>912</v>
      </c>
    </row>
    <row r="19" spans="1:7" x14ac:dyDescent="0.25">
      <c r="A19" s="47">
        <f>'Patient Growth'!A19</f>
        <v>18</v>
      </c>
      <c r="B19" s="48">
        <f>'Patient Growth'!B19</f>
        <v>46539</v>
      </c>
      <c r="C19" s="49">
        <f>'Patient Growth'!J19</f>
        <v>1158</v>
      </c>
      <c r="D19" s="59">
        <f>C19*Assumptions!$B$8</f>
        <v>172542</v>
      </c>
      <c r="E19" s="60">
        <f t="shared" si="0"/>
        <v>172542</v>
      </c>
      <c r="F19" s="60">
        <f t="shared" si="1"/>
        <v>2070504</v>
      </c>
      <c r="G19" s="49">
        <f t="shared" si="2"/>
        <v>1032</v>
      </c>
    </row>
    <row r="20" spans="1:7" x14ac:dyDescent="0.25">
      <c r="A20" s="42">
        <f>'Patient Growth'!A20</f>
        <v>19</v>
      </c>
      <c r="B20" s="43">
        <f>'Patient Growth'!B20</f>
        <v>46569</v>
      </c>
      <c r="C20" s="49">
        <f>'Patient Growth'!J20</f>
        <v>1318</v>
      </c>
      <c r="D20" s="56">
        <f>C20*Assumptions!$B$8</f>
        <v>196382</v>
      </c>
      <c r="E20" s="57">
        <f t="shared" si="0"/>
        <v>196382</v>
      </c>
      <c r="F20" s="57">
        <f t="shared" si="1"/>
        <v>2356584</v>
      </c>
      <c r="G20" s="44">
        <f t="shared" si="2"/>
        <v>1168</v>
      </c>
    </row>
    <row r="21" spans="1:7" x14ac:dyDescent="0.25">
      <c r="A21" s="47">
        <f>'Patient Growth'!A21</f>
        <v>20</v>
      </c>
      <c r="B21" s="48">
        <f>'Patient Growth'!B21</f>
        <v>46600</v>
      </c>
      <c r="C21" s="49">
        <f>'Patient Growth'!J21</f>
        <v>1485</v>
      </c>
      <c r="D21" s="59">
        <f>C21*Assumptions!$B$8</f>
        <v>221265</v>
      </c>
      <c r="E21" s="60">
        <f t="shared" si="0"/>
        <v>221265</v>
      </c>
      <c r="F21" s="60">
        <f t="shared" si="1"/>
        <v>2655180</v>
      </c>
      <c r="G21" s="49">
        <f t="shared" si="2"/>
        <v>1320</v>
      </c>
    </row>
    <row r="22" spans="1:7" x14ac:dyDescent="0.25">
      <c r="A22" s="42">
        <f>'Patient Growth'!A22</f>
        <v>21</v>
      </c>
      <c r="B22" s="43">
        <f>'Patient Growth'!B22</f>
        <v>46631</v>
      </c>
      <c r="C22" s="49">
        <f>'Patient Growth'!J22</f>
        <v>1661</v>
      </c>
      <c r="D22" s="56">
        <f>C22*Assumptions!$B$8</f>
        <v>247489</v>
      </c>
      <c r="E22" s="57">
        <f t="shared" si="0"/>
        <v>247489</v>
      </c>
      <c r="F22" s="57">
        <f t="shared" si="1"/>
        <v>2969868</v>
      </c>
      <c r="G22" s="44">
        <f t="shared" si="2"/>
        <v>1488</v>
      </c>
    </row>
    <row r="23" spans="1:7" x14ac:dyDescent="0.25">
      <c r="A23" s="47">
        <f>'Patient Growth'!A23</f>
        <v>22</v>
      </c>
      <c r="B23" s="48">
        <f>'Patient Growth'!B23</f>
        <v>46661</v>
      </c>
      <c r="C23" s="49">
        <f>'Patient Growth'!J23</f>
        <v>1848</v>
      </c>
      <c r="D23" s="59">
        <f>C23*Assumptions!$B$8</f>
        <v>275352</v>
      </c>
      <c r="E23" s="60">
        <f t="shared" si="0"/>
        <v>275352</v>
      </c>
      <c r="F23" s="60">
        <f t="shared" si="1"/>
        <v>3304224</v>
      </c>
      <c r="G23" s="49">
        <f t="shared" si="2"/>
        <v>1665</v>
      </c>
    </row>
    <row r="24" spans="1:7" x14ac:dyDescent="0.25">
      <c r="A24" s="42">
        <f>'Patient Growth'!A24</f>
        <v>23</v>
      </c>
      <c r="B24" s="43">
        <f>'Patient Growth'!B24</f>
        <v>46692</v>
      </c>
      <c r="C24" s="49">
        <f>'Patient Growth'!J24</f>
        <v>2046</v>
      </c>
      <c r="D24" s="56">
        <f>C24*Assumptions!$B$8</f>
        <v>304854</v>
      </c>
      <c r="E24" s="57">
        <f t="shared" si="0"/>
        <v>304854</v>
      </c>
      <c r="F24" s="57">
        <f t="shared" si="1"/>
        <v>3658248</v>
      </c>
      <c r="G24" s="44">
        <f t="shared" si="2"/>
        <v>1852</v>
      </c>
    </row>
    <row r="25" spans="1:7" ht="15.75" thickBot="1" x14ac:dyDescent="0.3">
      <c r="A25" s="50">
        <f>'Patient Growth'!A25</f>
        <v>24</v>
      </c>
      <c r="B25" s="51">
        <f>'Patient Growth'!B25</f>
        <v>46722</v>
      </c>
      <c r="C25" s="52">
        <f>'Patient Growth'!J25</f>
        <v>2258</v>
      </c>
      <c r="D25" s="61">
        <f>C25*Assumptions!$B$8</f>
        <v>336442</v>
      </c>
      <c r="E25" s="62">
        <f t="shared" si="0"/>
        <v>336442</v>
      </c>
      <c r="F25" s="62">
        <f t="shared" si="1"/>
        <v>4037304</v>
      </c>
      <c r="G25" s="52">
        <f t="shared" si="2"/>
        <v>2051</v>
      </c>
    </row>
    <row r="26" spans="1:7" x14ac:dyDescent="0.25">
      <c r="C26"/>
    </row>
    <row r="27" spans="1:7" x14ac:dyDescent="0.25">
      <c r="A27" s="53" t="s">
        <v>17</v>
      </c>
      <c r="B27" s="4"/>
      <c r="C27" s="4"/>
      <c r="D27" s="4"/>
      <c r="E27" s="4"/>
      <c r="F27" s="4"/>
      <c r="G27" s="4"/>
    </row>
    <row r="28" spans="1:7" x14ac:dyDescent="0.25">
      <c r="A28" s="30" t="s">
        <v>148</v>
      </c>
      <c r="B28" s="63">
        <f>SUM(D2:D13)</f>
        <v>395595</v>
      </c>
      <c r="C28"/>
    </row>
    <row r="29" spans="1:7" x14ac:dyDescent="0.25">
      <c r="A29" s="55" t="s">
        <v>149</v>
      </c>
      <c r="B29" s="64">
        <f>SUM(D14:D25)</f>
        <v>2354200</v>
      </c>
      <c r="C29"/>
    </row>
    <row r="30" spans="1:7" x14ac:dyDescent="0.25">
      <c r="A30" s="30" t="s">
        <v>150</v>
      </c>
      <c r="B30" s="63">
        <f>SUM(D2:D25)</f>
        <v>2749795</v>
      </c>
      <c r="C30"/>
    </row>
    <row r="31" spans="1:7" x14ac:dyDescent="0.25">
      <c r="A31" s="55" t="s">
        <v>151</v>
      </c>
      <c r="B31" s="64">
        <f>F25</f>
        <v>4037304</v>
      </c>
      <c r="C31"/>
    </row>
    <row r="32" spans="1:7" x14ac:dyDescent="0.25">
      <c r="A32" s="30" t="s">
        <v>26</v>
      </c>
      <c r="B32" s="45">
        <f>C25</f>
        <v>2258</v>
      </c>
      <c r="C32"/>
    </row>
    <row r="33" spans="3:3" x14ac:dyDescent="0.25">
      <c r="C33"/>
    </row>
    <row r="34" spans="3:3" x14ac:dyDescent="0.25">
      <c r="C34"/>
    </row>
    <row r="35" spans="3:3" x14ac:dyDescent="0.25">
      <c r="C35"/>
    </row>
    <row r="36" spans="3:3" x14ac:dyDescent="0.25">
      <c r="C3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AF541-C514-41DA-9203-F5CA5306F04C}">
  <sheetPr>
    <tabColor rgb="FFFF0000"/>
  </sheetPr>
  <dimension ref="A1:J32"/>
  <sheetViews>
    <sheetView workbookViewId="0">
      <pane ySplit="1" topLeftCell="A2" activePane="bottomLeft" state="frozen"/>
      <selection pane="bottomLeft" activeCell="I2" sqref="I2"/>
    </sheetView>
  </sheetViews>
  <sheetFormatPr defaultRowHeight="15" x14ac:dyDescent="0.25"/>
  <cols>
    <col min="1" max="1" width="26.85546875" customWidth="1"/>
    <col min="2" max="2" width="17.140625" customWidth="1"/>
    <col min="3" max="5" width="21" customWidth="1"/>
    <col min="6" max="8" width="19" customWidth="1"/>
    <col min="9" max="9" width="17.140625" customWidth="1"/>
    <col min="10" max="10" width="21" customWidth="1"/>
  </cols>
  <sheetData>
    <row r="1" spans="1:10" x14ac:dyDescent="0.25">
      <c r="A1" s="65" t="s">
        <v>6</v>
      </c>
      <c r="B1" s="65" t="s">
        <v>7</v>
      </c>
      <c r="C1" s="65" t="s">
        <v>152</v>
      </c>
      <c r="D1" s="65" t="s">
        <v>18</v>
      </c>
      <c r="E1" s="65" t="s">
        <v>212</v>
      </c>
      <c r="F1" s="65" t="s">
        <v>213</v>
      </c>
      <c r="G1" s="65" t="s">
        <v>214</v>
      </c>
      <c r="H1" s="65" t="s">
        <v>215</v>
      </c>
      <c r="I1" s="65" t="s">
        <v>19</v>
      </c>
      <c r="J1" s="65" t="s">
        <v>20</v>
      </c>
    </row>
    <row r="2" spans="1:10" s="6" customFormat="1" x14ac:dyDescent="0.25">
      <c r="A2" s="41">
        <f>'Patient Growth'!A2</f>
        <v>1</v>
      </c>
      <c r="B2" s="43">
        <f>'Patient Growth'!B2</f>
        <v>46023</v>
      </c>
      <c r="C2" s="81">
        <f>'Patient Growth'!J2*Assumptions!$B$44</f>
        <v>855</v>
      </c>
      <c r="D2" s="81">
        <f>'Revenue Model'!D2*Assumptions!$B$45</f>
        <v>82.099000000000004</v>
      </c>
      <c r="E2" s="81">
        <f>'Patient Growth'!C2*Assumptions!$B$19</f>
        <v>3000</v>
      </c>
      <c r="F2" s="81">
        <f>'Patient Growth'!C2*Assumptions!$B$20</f>
        <v>2000</v>
      </c>
      <c r="G2" s="64">
        <f>E2+F2</f>
        <v>5000</v>
      </c>
      <c r="H2" s="95">
        <f>IF('Patient Growth'!D2&gt;0, G2/'Patient Growth'!D2, 0)</f>
        <v>263.15789473684208</v>
      </c>
      <c r="I2" s="81">
        <f>Assumptions!$B$50</f>
        <v>275</v>
      </c>
      <c r="J2" s="64">
        <f>C2+D2+G2+I2</f>
        <v>6212.0990000000002</v>
      </c>
    </row>
    <row r="3" spans="1:10" x14ac:dyDescent="0.25">
      <c r="A3" s="96">
        <f>'Patient Growth'!A3</f>
        <v>2</v>
      </c>
      <c r="B3" s="97">
        <f>'Patient Growth'!B3</f>
        <v>46054</v>
      </c>
      <c r="C3" s="105">
        <f>'Patient Growth'!J3*Assumptions!$B$44</f>
        <v>1845</v>
      </c>
      <c r="D3" s="105">
        <f>'Revenue Model'!D3*Assumptions!$B$45</f>
        <v>177.161</v>
      </c>
      <c r="E3" s="105">
        <f>'Patient Growth'!C3*Assumptions!$B$19</f>
        <v>4200</v>
      </c>
      <c r="F3" s="105">
        <f>'Patient Growth'!C3*Assumptions!$B$20</f>
        <v>2800</v>
      </c>
      <c r="G3" s="98">
        <f t="shared" ref="G3:G25" si="0">E3+F3</f>
        <v>7000</v>
      </c>
      <c r="H3" s="101">
        <f>IF('Patient Growth'!D3&gt;0, G3/'Patient Growth'!D3, 0)</f>
        <v>269.23076923076923</v>
      </c>
      <c r="I3" s="105">
        <f>Assumptions!$B$50</f>
        <v>275</v>
      </c>
      <c r="J3" s="98">
        <f t="shared" ref="J3:J25" si="1">C3+D3+G3+I3</f>
        <v>9297.1610000000001</v>
      </c>
    </row>
    <row r="4" spans="1:10" s="6" customFormat="1" x14ac:dyDescent="0.25">
      <c r="A4" s="41">
        <f>'Patient Growth'!A4</f>
        <v>3</v>
      </c>
      <c r="B4" s="43">
        <f>'Patient Growth'!B4</f>
        <v>46082</v>
      </c>
      <c r="C4" s="81">
        <f>'Patient Growth'!J4*Assumptions!$B$44</f>
        <v>2970</v>
      </c>
      <c r="D4" s="81">
        <f>'Revenue Model'!D4*Assumptions!$B$45</f>
        <v>285.18600000000004</v>
      </c>
      <c r="E4" s="81">
        <f>'Patient Growth'!C4*Assumptions!$B$19</f>
        <v>5400</v>
      </c>
      <c r="F4" s="81">
        <f>'Patient Growth'!C4*Assumptions!$B$20</f>
        <v>3600</v>
      </c>
      <c r="G4" s="64">
        <f t="shared" si="0"/>
        <v>9000</v>
      </c>
      <c r="H4" s="95">
        <f>IF('Patient Growth'!D4&gt;0, G4/'Patient Growth'!D4, 0)</f>
        <v>272.72727272727275</v>
      </c>
      <c r="I4" s="81">
        <f>Assumptions!$B$50</f>
        <v>275</v>
      </c>
      <c r="J4" s="64">
        <f t="shared" si="1"/>
        <v>12530.186</v>
      </c>
    </row>
    <row r="5" spans="1:10" x14ac:dyDescent="0.25">
      <c r="A5" s="96">
        <f>'Patient Growth'!A5</f>
        <v>4</v>
      </c>
      <c r="B5" s="97">
        <f>'Patient Growth'!B5</f>
        <v>46113</v>
      </c>
      <c r="C5" s="105">
        <f>'Patient Growth'!J5*Assumptions!$B$44</f>
        <v>4320</v>
      </c>
      <c r="D5" s="105">
        <f>'Revenue Model'!D5*Assumptions!$B$45</f>
        <v>414.81600000000003</v>
      </c>
      <c r="E5" s="105">
        <f>'Patient Growth'!C5*Assumptions!$B$19</f>
        <v>6600</v>
      </c>
      <c r="F5" s="105">
        <f>'Patient Growth'!C5*Assumptions!$B$20</f>
        <v>4400</v>
      </c>
      <c r="G5" s="98">
        <f t="shared" si="0"/>
        <v>11000</v>
      </c>
      <c r="H5" s="101">
        <f>IF('Patient Growth'!D5&gt;0, G5/'Patient Growth'!D5, 0)</f>
        <v>268.29268292682929</v>
      </c>
      <c r="I5" s="105">
        <f>Assumptions!$B$50</f>
        <v>275</v>
      </c>
      <c r="J5" s="98">
        <f t="shared" si="1"/>
        <v>16009.815999999999</v>
      </c>
    </row>
    <row r="6" spans="1:10" s="6" customFormat="1" x14ac:dyDescent="0.25">
      <c r="A6" s="41">
        <f>'Patient Growth'!A6</f>
        <v>5</v>
      </c>
      <c r="B6" s="43">
        <f>'Patient Growth'!B6</f>
        <v>46143</v>
      </c>
      <c r="C6" s="81">
        <f>'Patient Growth'!J6*Assumptions!$B$44</f>
        <v>5715</v>
      </c>
      <c r="D6" s="81">
        <f>'Revenue Model'!D6*Assumptions!$B$45</f>
        <v>548.76700000000005</v>
      </c>
      <c r="E6" s="81">
        <f>'Patient Growth'!C6*Assumptions!$B$19</f>
        <v>7800</v>
      </c>
      <c r="F6" s="81">
        <f>'Patient Growth'!C6*Assumptions!$B$20</f>
        <v>5200</v>
      </c>
      <c r="G6" s="64">
        <f t="shared" si="0"/>
        <v>13000</v>
      </c>
      <c r="H6" s="95">
        <f>IF('Patient Growth'!D6&gt;0, G6/'Patient Growth'!D6, 0)</f>
        <v>270.83333333333331</v>
      </c>
      <c r="I6" s="81">
        <f>Assumptions!$B$50</f>
        <v>275</v>
      </c>
      <c r="J6" s="64">
        <f t="shared" si="1"/>
        <v>19538.767</v>
      </c>
    </row>
    <row r="7" spans="1:10" x14ac:dyDescent="0.25">
      <c r="A7" s="96">
        <f>'Patient Growth'!A7</f>
        <v>6</v>
      </c>
      <c r="B7" s="97">
        <f>'Patient Growth'!B7</f>
        <v>46174</v>
      </c>
      <c r="C7" s="105">
        <f>'Patient Growth'!J7*Assumptions!$B$44</f>
        <v>7560</v>
      </c>
      <c r="D7" s="105">
        <f>'Revenue Model'!D7*Assumptions!$B$45</f>
        <v>725.928</v>
      </c>
      <c r="E7" s="105">
        <f>'Patient Growth'!C7*Assumptions!$B$19</f>
        <v>9000</v>
      </c>
      <c r="F7" s="105">
        <f>'Patient Growth'!C7*Assumptions!$B$20</f>
        <v>6000</v>
      </c>
      <c r="G7" s="98">
        <f t="shared" si="0"/>
        <v>15000</v>
      </c>
      <c r="H7" s="101">
        <f>IF('Patient Growth'!D7&gt;0, G7/'Patient Growth'!D7, 0)</f>
        <v>267.85714285714283</v>
      </c>
      <c r="I7" s="105">
        <f>Assumptions!$B$50</f>
        <v>275</v>
      </c>
      <c r="J7" s="98">
        <f t="shared" si="1"/>
        <v>23560.928</v>
      </c>
    </row>
    <row r="8" spans="1:10" s="6" customFormat="1" x14ac:dyDescent="0.25">
      <c r="A8" s="41">
        <f>'Patient Growth'!A8</f>
        <v>7</v>
      </c>
      <c r="B8" s="43">
        <f>'Patient Growth'!B8</f>
        <v>46204</v>
      </c>
      <c r="C8" s="81">
        <f>'Patient Growth'!J8*Assumptions!$B$44</f>
        <v>9720</v>
      </c>
      <c r="D8" s="81">
        <f>'Revenue Model'!D8*Assumptions!$B$45</f>
        <v>933.33600000000001</v>
      </c>
      <c r="E8" s="81">
        <f>'Patient Growth'!C8*Assumptions!$B$19</f>
        <v>10200</v>
      </c>
      <c r="F8" s="81">
        <f>'Patient Growth'!C8*Assumptions!$B$20</f>
        <v>6800</v>
      </c>
      <c r="G8" s="64">
        <f t="shared" si="0"/>
        <v>17000</v>
      </c>
      <c r="H8" s="95">
        <f>IF('Patient Growth'!D8&gt;0, G8/'Patient Growth'!D8, 0)</f>
        <v>269.84126984126982</v>
      </c>
      <c r="I8" s="81">
        <f>Assumptions!$B$50</f>
        <v>275</v>
      </c>
      <c r="J8" s="64">
        <f t="shared" si="1"/>
        <v>27928.335999999999</v>
      </c>
    </row>
    <row r="9" spans="1:10" x14ac:dyDescent="0.25">
      <c r="A9" s="96">
        <f>'Patient Growth'!A9</f>
        <v>8</v>
      </c>
      <c r="B9" s="97">
        <f>'Patient Growth'!B9</f>
        <v>46235</v>
      </c>
      <c r="C9" s="105">
        <f>'Patient Growth'!J9*Assumptions!$B$44</f>
        <v>12060</v>
      </c>
      <c r="D9" s="105">
        <f>'Revenue Model'!D9*Assumptions!$B$45</f>
        <v>1158.028</v>
      </c>
      <c r="E9" s="105">
        <f>'Patient Growth'!C9*Assumptions!$B$19</f>
        <v>11400</v>
      </c>
      <c r="F9" s="105">
        <f>'Patient Growth'!C9*Assumptions!$B$20</f>
        <v>7600</v>
      </c>
      <c r="G9" s="98">
        <f t="shared" si="0"/>
        <v>19000</v>
      </c>
      <c r="H9" s="101">
        <f>IF('Patient Growth'!D9&gt;0, G9/'Patient Growth'!D9, 0)</f>
        <v>271.42857142857144</v>
      </c>
      <c r="I9" s="105">
        <f>Assumptions!$B$50</f>
        <v>275</v>
      </c>
      <c r="J9" s="98">
        <f t="shared" si="1"/>
        <v>32493.027999999998</v>
      </c>
    </row>
    <row r="10" spans="1:10" s="6" customFormat="1" x14ac:dyDescent="0.25">
      <c r="A10" s="41">
        <f>'Patient Growth'!A10</f>
        <v>9</v>
      </c>
      <c r="B10" s="43">
        <f>'Patient Growth'!B10</f>
        <v>46266</v>
      </c>
      <c r="C10" s="81">
        <f>'Patient Growth'!J10*Assumptions!$B$44</f>
        <v>14535</v>
      </c>
      <c r="D10" s="81">
        <f>'Revenue Model'!D10*Assumptions!$B$45</f>
        <v>1395.683</v>
      </c>
      <c r="E10" s="81">
        <f>'Patient Growth'!C10*Assumptions!$B$19</f>
        <v>12600</v>
      </c>
      <c r="F10" s="81">
        <f>'Patient Growth'!C10*Assumptions!$B$20</f>
        <v>8400</v>
      </c>
      <c r="G10" s="64">
        <f t="shared" si="0"/>
        <v>21000</v>
      </c>
      <c r="H10" s="95">
        <f>IF('Patient Growth'!D10&gt;0, G10/'Patient Growth'!D10, 0)</f>
        <v>269.23076923076923</v>
      </c>
      <c r="I10" s="81">
        <f>Assumptions!$B$50</f>
        <v>275</v>
      </c>
      <c r="J10" s="64">
        <f t="shared" si="1"/>
        <v>37205.683000000005</v>
      </c>
    </row>
    <row r="11" spans="1:10" x14ac:dyDescent="0.25">
      <c r="A11" s="96">
        <f>'Patient Growth'!A11</f>
        <v>10</v>
      </c>
      <c r="B11" s="97">
        <f>'Patient Growth'!B11</f>
        <v>46296</v>
      </c>
      <c r="C11" s="105">
        <f>'Patient Growth'!J11*Assumptions!$B$44</f>
        <v>17100</v>
      </c>
      <c r="D11" s="105">
        <f>'Revenue Model'!D11*Assumptions!$B$45</f>
        <v>1641.98</v>
      </c>
      <c r="E11" s="105">
        <f>'Patient Growth'!C11*Assumptions!$B$19</f>
        <v>13800</v>
      </c>
      <c r="F11" s="105">
        <f>'Patient Growth'!C11*Assumptions!$B$20</f>
        <v>9200</v>
      </c>
      <c r="G11" s="98">
        <f t="shared" si="0"/>
        <v>23000</v>
      </c>
      <c r="H11" s="101">
        <f>IF('Patient Growth'!D11&gt;0, G11/'Patient Growth'!D11, 0)</f>
        <v>270.58823529411762</v>
      </c>
      <c r="I11" s="105">
        <f>Assumptions!$B$50</f>
        <v>275</v>
      </c>
      <c r="J11" s="98">
        <f t="shared" si="1"/>
        <v>42016.979999999996</v>
      </c>
    </row>
    <row r="12" spans="1:10" s="6" customFormat="1" x14ac:dyDescent="0.25">
      <c r="A12" s="41">
        <f>'Patient Growth'!A12</f>
        <v>11</v>
      </c>
      <c r="B12" s="43">
        <f>'Patient Growth'!B12</f>
        <v>46327</v>
      </c>
      <c r="C12" s="81">
        <f>'Patient Growth'!J12*Assumptions!$B$44</f>
        <v>19935</v>
      </c>
      <c r="D12" s="81">
        <f>'Revenue Model'!D12*Assumptions!$B$45</f>
        <v>1914.2030000000002</v>
      </c>
      <c r="E12" s="81">
        <f>'Patient Growth'!C12*Assumptions!$B$19</f>
        <v>15000</v>
      </c>
      <c r="F12" s="81">
        <f>'Patient Growth'!C12*Assumptions!$B$20</f>
        <v>10000</v>
      </c>
      <c r="G12" s="64">
        <f t="shared" si="0"/>
        <v>25000</v>
      </c>
      <c r="H12" s="95">
        <f>IF('Patient Growth'!D12&gt;0, G12/'Patient Growth'!D12, 0)</f>
        <v>268.81720430107526</v>
      </c>
      <c r="I12" s="81">
        <f>Assumptions!$B$50</f>
        <v>275</v>
      </c>
      <c r="J12" s="64">
        <f t="shared" si="1"/>
        <v>47124.203000000001</v>
      </c>
    </row>
    <row r="13" spans="1:10" x14ac:dyDescent="0.25">
      <c r="A13" s="96">
        <f>'Patient Growth'!A13</f>
        <v>12</v>
      </c>
      <c r="B13" s="97">
        <f>'Patient Growth'!B13</f>
        <v>46357</v>
      </c>
      <c r="C13" s="105">
        <f>'Patient Growth'!J13*Assumptions!$B$44</f>
        <v>22860</v>
      </c>
      <c r="D13" s="105">
        <f>'Revenue Model'!D13*Assumptions!$B$45</f>
        <v>2195.0680000000002</v>
      </c>
      <c r="E13" s="105">
        <f>'Patient Growth'!C13*Assumptions!$B$19</f>
        <v>16200</v>
      </c>
      <c r="F13" s="105">
        <f>'Patient Growth'!C13*Assumptions!$B$20</f>
        <v>10800</v>
      </c>
      <c r="G13" s="98">
        <f t="shared" si="0"/>
        <v>27000</v>
      </c>
      <c r="H13" s="101">
        <f>IF('Patient Growth'!D13&gt;0, G13/'Patient Growth'!D13, 0)</f>
        <v>270</v>
      </c>
      <c r="I13" s="105">
        <f>Assumptions!$B$50</f>
        <v>275</v>
      </c>
      <c r="J13" s="98">
        <f t="shared" si="1"/>
        <v>52330.067999999999</v>
      </c>
    </row>
    <row r="14" spans="1:10" s="6" customFormat="1" x14ac:dyDescent="0.25">
      <c r="A14" s="41">
        <f>'Patient Growth'!A14</f>
        <v>13</v>
      </c>
      <c r="B14" s="43">
        <f>'Patient Growth'!B14</f>
        <v>46388</v>
      </c>
      <c r="C14" s="81">
        <f>'Patient Growth'!J14*Assumptions!$B$44</f>
        <v>26865</v>
      </c>
      <c r="D14" s="81">
        <f>'Revenue Model'!D14*Assumptions!$B$45</f>
        <v>2579.6370000000002</v>
      </c>
      <c r="E14" s="81">
        <f>'Patient Growth'!C14*Assumptions!$B$19</f>
        <v>18000</v>
      </c>
      <c r="F14" s="81">
        <f>'Patient Growth'!C14*Assumptions!$B$20</f>
        <v>12000</v>
      </c>
      <c r="G14" s="64">
        <f t="shared" si="0"/>
        <v>30000</v>
      </c>
      <c r="H14" s="95">
        <f>IF('Patient Growth'!D14&gt;0, G14/'Patient Growth'!D14, 0)</f>
        <v>270.27027027027026</v>
      </c>
      <c r="I14" s="81">
        <f>Assumptions!$B$50</f>
        <v>275</v>
      </c>
      <c r="J14" s="64">
        <f t="shared" si="1"/>
        <v>59719.637000000002</v>
      </c>
    </row>
    <row r="15" spans="1:10" x14ac:dyDescent="0.25">
      <c r="A15" s="96">
        <f>'Patient Growth'!A15</f>
        <v>14</v>
      </c>
      <c r="B15" s="97">
        <f>'Patient Growth'!B15</f>
        <v>46419</v>
      </c>
      <c r="C15" s="105">
        <f>'Patient Growth'!J15*Assumptions!$B$44</f>
        <v>31230</v>
      </c>
      <c r="D15" s="105">
        <f>'Revenue Model'!D15*Assumptions!$B$45</f>
        <v>2998.7740000000003</v>
      </c>
      <c r="E15" s="105">
        <f>'Patient Growth'!C15*Assumptions!$B$19</f>
        <v>19800</v>
      </c>
      <c r="F15" s="105">
        <f>'Patient Growth'!C15*Assumptions!$B$20</f>
        <v>13200</v>
      </c>
      <c r="G15" s="98">
        <f t="shared" si="0"/>
        <v>33000</v>
      </c>
      <c r="H15" s="101">
        <f>IF('Patient Growth'!D15&gt;0, G15/'Patient Growth'!D15, 0)</f>
        <v>270.49180327868851</v>
      </c>
      <c r="I15" s="105">
        <f>Assumptions!$B$50</f>
        <v>275</v>
      </c>
      <c r="J15" s="98">
        <f t="shared" si="1"/>
        <v>67503.774000000005</v>
      </c>
    </row>
    <row r="16" spans="1:10" s="6" customFormat="1" x14ac:dyDescent="0.25">
      <c r="A16" s="41">
        <f>'Patient Growth'!A16</f>
        <v>15</v>
      </c>
      <c r="B16" s="43">
        <f>'Patient Growth'!B16</f>
        <v>46447</v>
      </c>
      <c r="C16" s="81">
        <f>'Patient Growth'!J16*Assumptions!$B$44</f>
        <v>35865</v>
      </c>
      <c r="D16" s="81">
        <f>'Revenue Model'!D16*Assumptions!$B$45</f>
        <v>3443.837</v>
      </c>
      <c r="E16" s="81">
        <f>'Patient Growth'!C16*Assumptions!$B$19</f>
        <v>21600</v>
      </c>
      <c r="F16" s="81">
        <f>'Patient Growth'!C16*Assumptions!$B$20</f>
        <v>14400</v>
      </c>
      <c r="G16" s="64">
        <f t="shared" si="0"/>
        <v>36000</v>
      </c>
      <c r="H16" s="95">
        <f>IF('Patient Growth'!D16&gt;0, G16/'Patient Growth'!D16, 0)</f>
        <v>270.6766917293233</v>
      </c>
      <c r="I16" s="81">
        <f>Assumptions!$B$50</f>
        <v>275</v>
      </c>
      <c r="J16" s="64">
        <f t="shared" si="1"/>
        <v>75583.837</v>
      </c>
    </row>
    <row r="17" spans="1:10" x14ac:dyDescent="0.25">
      <c r="A17" s="96">
        <f>'Patient Growth'!A17</f>
        <v>16</v>
      </c>
      <c r="B17" s="97">
        <f>'Patient Growth'!B17</f>
        <v>46478</v>
      </c>
      <c r="C17" s="105">
        <f>'Patient Growth'!J17*Assumptions!$B$44</f>
        <v>40905</v>
      </c>
      <c r="D17" s="105">
        <f>'Revenue Model'!D17*Assumptions!$B$45</f>
        <v>3927.7890000000002</v>
      </c>
      <c r="E17" s="105">
        <f>'Patient Growth'!C17*Assumptions!$B$19</f>
        <v>23400</v>
      </c>
      <c r="F17" s="105">
        <f>'Patient Growth'!C17*Assumptions!$B$20</f>
        <v>15600</v>
      </c>
      <c r="G17" s="98">
        <f t="shared" si="0"/>
        <v>39000</v>
      </c>
      <c r="H17" s="101">
        <f>IF('Patient Growth'!D17&gt;0, G17/'Patient Growth'!D17, 0)</f>
        <v>270.83333333333331</v>
      </c>
      <c r="I17" s="105">
        <f>Assumptions!$B$50</f>
        <v>275</v>
      </c>
      <c r="J17" s="98">
        <f t="shared" si="1"/>
        <v>84107.78899999999</v>
      </c>
    </row>
    <row r="18" spans="1:10" s="6" customFormat="1" x14ac:dyDescent="0.25">
      <c r="A18" s="41">
        <f>'Patient Growth'!A18</f>
        <v>17</v>
      </c>
      <c r="B18" s="43">
        <f>'Patient Growth'!B18</f>
        <v>46508</v>
      </c>
      <c r="C18" s="81">
        <f>'Patient Growth'!J18*Assumptions!$B$44</f>
        <v>46305</v>
      </c>
      <c r="D18" s="81">
        <f>'Revenue Model'!D18*Assumptions!$B$45</f>
        <v>4446.3090000000002</v>
      </c>
      <c r="E18" s="81">
        <f>'Patient Growth'!C18*Assumptions!$B$19</f>
        <v>25200</v>
      </c>
      <c r="F18" s="81">
        <f>'Patient Growth'!C18*Assumptions!$B$20</f>
        <v>16800</v>
      </c>
      <c r="G18" s="64">
        <f t="shared" si="0"/>
        <v>42000</v>
      </c>
      <c r="H18" s="95">
        <f>IF('Patient Growth'!D18&gt;0, G18/'Patient Growth'!D18, 0)</f>
        <v>269.23076923076923</v>
      </c>
      <c r="I18" s="81">
        <f>Assumptions!$B$50</f>
        <v>275</v>
      </c>
      <c r="J18" s="64">
        <f t="shared" si="1"/>
        <v>93026.309000000008</v>
      </c>
    </row>
    <row r="19" spans="1:10" x14ac:dyDescent="0.25">
      <c r="A19" s="96">
        <f>'Patient Growth'!A19</f>
        <v>18</v>
      </c>
      <c r="B19" s="97">
        <f>'Patient Growth'!B19</f>
        <v>46539</v>
      </c>
      <c r="C19" s="105">
        <f>'Patient Growth'!J19*Assumptions!$B$44</f>
        <v>52110</v>
      </c>
      <c r="D19" s="105">
        <f>'Revenue Model'!D19*Assumptions!$B$45</f>
        <v>5003.7179999999998</v>
      </c>
      <c r="E19" s="105">
        <f>'Patient Growth'!C19*Assumptions!$B$19</f>
        <v>27000</v>
      </c>
      <c r="F19" s="105">
        <f>'Patient Growth'!C19*Assumptions!$B$20</f>
        <v>18000</v>
      </c>
      <c r="G19" s="98">
        <f t="shared" si="0"/>
        <v>45000</v>
      </c>
      <c r="H19" s="101">
        <f>IF('Patient Growth'!D19&gt;0, G19/'Patient Growth'!D19, 0)</f>
        <v>269.46107784431138</v>
      </c>
      <c r="I19" s="105">
        <f>Assumptions!$B$50</f>
        <v>275</v>
      </c>
      <c r="J19" s="98">
        <f t="shared" si="1"/>
        <v>102388.71799999999</v>
      </c>
    </row>
    <row r="20" spans="1:10" s="6" customFormat="1" x14ac:dyDescent="0.25">
      <c r="A20" s="41">
        <f>'Patient Growth'!A20</f>
        <v>19</v>
      </c>
      <c r="B20" s="43">
        <f>'Patient Growth'!B20</f>
        <v>46569</v>
      </c>
      <c r="C20" s="81">
        <f>'Patient Growth'!J20*Assumptions!$B$44</f>
        <v>59310</v>
      </c>
      <c r="D20" s="81">
        <f>'Revenue Model'!D20*Assumptions!$B$45</f>
        <v>5695.0780000000004</v>
      </c>
      <c r="E20" s="81">
        <f>'Patient Growth'!C20*Assumptions!$B$19</f>
        <v>28800</v>
      </c>
      <c r="F20" s="81">
        <f>'Patient Growth'!C20*Assumptions!$B$20</f>
        <v>19200</v>
      </c>
      <c r="G20" s="64">
        <f t="shared" si="0"/>
        <v>48000</v>
      </c>
      <c r="H20" s="95">
        <f>IF('Patient Growth'!D20&gt;0, G20/'Patient Growth'!D20, 0)</f>
        <v>269.66292134831463</v>
      </c>
      <c r="I20" s="81">
        <f>Assumptions!$B$50</f>
        <v>275</v>
      </c>
      <c r="J20" s="64">
        <f t="shared" si="1"/>
        <v>113280.07800000001</v>
      </c>
    </row>
    <row r="21" spans="1:10" x14ac:dyDescent="0.25">
      <c r="A21" s="96">
        <f>'Patient Growth'!A21</f>
        <v>20</v>
      </c>
      <c r="B21" s="97">
        <f>'Patient Growth'!B21</f>
        <v>46600</v>
      </c>
      <c r="C21" s="105">
        <f>'Patient Growth'!J21*Assumptions!$B$44</f>
        <v>66825</v>
      </c>
      <c r="D21" s="105">
        <f>'Revenue Model'!D21*Assumptions!$B$45</f>
        <v>6416.6850000000004</v>
      </c>
      <c r="E21" s="105">
        <f>'Patient Growth'!C21*Assumptions!$B$19</f>
        <v>30600</v>
      </c>
      <c r="F21" s="105">
        <f>'Patient Growth'!C21*Assumptions!$B$20</f>
        <v>20400</v>
      </c>
      <c r="G21" s="98">
        <f t="shared" si="0"/>
        <v>51000</v>
      </c>
      <c r="H21" s="101">
        <f>IF('Patient Growth'!D21&gt;0, G21/'Patient Growth'!D21, 0)</f>
        <v>269.84126984126982</v>
      </c>
      <c r="I21" s="105">
        <f>Assumptions!$B$50</f>
        <v>275</v>
      </c>
      <c r="J21" s="98">
        <f t="shared" si="1"/>
        <v>124516.685</v>
      </c>
    </row>
    <row r="22" spans="1:10" s="6" customFormat="1" x14ac:dyDescent="0.25">
      <c r="A22" s="41">
        <f>'Patient Growth'!A22</f>
        <v>21</v>
      </c>
      <c r="B22" s="43">
        <f>'Patient Growth'!B22</f>
        <v>46631</v>
      </c>
      <c r="C22" s="81">
        <f>'Patient Growth'!J22*Assumptions!$B$44</f>
        <v>74745</v>
      </c>
      <c r="D22" s="81">
        <f>'Revenue Model'!D22*Assumptions!$B$45</f>
        <v>7177.1810000000005</v>
      </c>
      <c r="E22" s="81">
        <f>'Patient Growth'!C22*Assumptions!$B$19</f>
        <v>32400</v>
      </c>
      <c r="F22" s="81">
        <f>'Patient Growth'!C22*Assumptions!$B$20</f>
        <v>21600</v>
      </c>
      <c r="G22" s="64">
        <f t="shared" si="0"/>
        <v>54000</v>
      </c>
      <c r="H22" s="95">
        <f>IF('Patient Growth'!D22&gt;0, G22/'Patient Growth'!D22, 0)</f>
        <v>270</v>
      </c>
      <c r="I22" s="81">
        <f>Assumptions!$B$50</f>
        <v>275</v>
      </c>
      <c r="J22" s="64">
        <f t="shared" si="1"/>
        <v>136197.18099999998</v>
      </c>
    </row>
    <row r="23" spans="1:10" x14ac:dyDescent="0.25">
      <c r="A23" s="96">
        <f>'Patient Growth'!A23</f>
        <v>22</v>
      </c>
      <c r="B23" s="97">
        <f>'Patient Growth'!B23</f>
        <v>46661</v>
      </c>
      <c r="C23" s="105">
        <f>'Patient Growth'!J23*Assumptions!$B$44</f>
        <v>83160</v>
      </c>
      <c r="D23" s="105">
        <f>'Revenue Model'!D23*Assumptions!$B$45</f>
        <v>7985.2080000000005</v>
      </c>
      <c r="E23" s="105">
        <f>'Patient Growth'!C23*Assumptions!$B$19</f>
        <v>34200</v>
      </c>
      <c r="F23" s="105">
        <f>'Patient Growth'!C23*Assumptions!$B$20</f>
        <v>22800</v>
      </c>
      <c r="G23" s="98">
        <f t="shared" si="0"/>
        <v>57000</v>
      </c>
      <c r="H23" s="101">
        <f>IF('Patient Growth'!D23&gt;0, G23/'Patient Growth'!D23, 0)</f>
        <v>270.14218009478674</v>
      </c>
      <c r="I23" s="105">
        <f>Assumptions!$B$50</f>
        <v>275</v>
      </c>
      <c r="J23" s="98">
        <f t="shared" si="1"/>
        <v>148420.20799999998</v>
      </c>
    </row>
    <row r="24" spans="1:10" s="6" customFormat="1" x14ac:dyDescent="0.25">
      <c r="A24" s="41">
        <f>'Patient Growth'!A24</f>
        <v>23</v>
      </c>
      <c r="B24" s="43">
        <f>'Patient Growth'!B24</f>
        <v>46692</v>
      </c>
      <c r="C24" s="81">
        <f>'Patient Growth'!J24*Assumptions!$B$44</f>
        <v>92070</v>
      </c>
      <c r="D24" s="81">
        <f>'Revenue Model'!D24*Assumptions!$B$45</f>
        <v>8840.7659999999996</v>
      </c>
      <c r="E24" s="81">
        <f>'Patient Growth'!C24*Assumptions!$B$19</f>
        <v>36000</v>
      </c>
      <c r="F24" s="81">
        <f>'Patient Growth'!C24*Assumptions!$B$20</f>
        <v>24000</v>
      </c>
      <c r="G24" s="64">
        <f t="shared" si="0"/>
        <v>60000</v>
      </c>
      <c r="H24" s="95">
        <f>IF('Patient Growth'!D24&gt;0, G24/'Patient Growth'!D24, 0)</f>
        <v>270.27027027027026</v>
      </c>
      <c r="I24" s="81">
        <f>Assumptions!$B$50</f>
        <v>275</v>
      </c>
      <c r="J24" s="64">
        <f t="shared" si="1"/>
        <v>161185.766</v>
      </c>
    </row>
    <row r="25" spans="1:10" x14ac:dyDescent="0.25">
      <c r="A25" s="96">
        <f>'Patient Growth'!A25</f>
        <v>24</v>
      </c>
      <c r="B25" s="97">
        <f>'Patient Growth'!B25</f>
        <v>46722</v>
      </c>
      <c r="C25" s="105">
        <f>'Patient Growth'!J25*Assumptions!$B$44</f>
        <v>101610</v>
      </c>
      <c r="D25" s="105">
        <f>'Revenue Model'!D25*Assumptions!$B$45</f>
        <v>9756.8180000000011</v>
      </c>
      <c r="E25" s="105">
        <f>'Patient Growth'!C25*Assumptions!$B$19</f>
        <v>37800</v>
      </c>
      <c r="F25" s="105">
        <f>'Patient Growth'!C25*Assumptions!$B$20</f>
        <v>25200</v>
      </c>
      <c r="G25" s="98">
        <f t="shared" si="0"/>
        <v>63000</v>
      </c>
      <c r="H25" s="101">
        <f>IF('Patient Growth'!D25&gt;0, G25/'Patient Growth'!D25, 0)</f>
        <v>270.38626609442059</v>
      </c>
      <c r="I25" s="105">
        <f>Assumptions!$B$50</f>
        <v>275</v>
      </c>
      <c r="J25" s="98">
        <f t="shared" si="1"/>
        <v>174641.818</v>
      </c>
    </row>
    <row r="27" spans="1:10" x14ac:dyDescent="0.25">
      <c r="A27" s="106" t="s">
        <v>17</v>
      </c>
      <c r="B27" s="107"/>
    </row>
    <row r="28" spans="1:10" x14ac:dyDescent="0.25">
      <c r="A28" s="29" t="s">
        <v>153</v>
      </c>
      <c r="B28" s="63">
        <f>SUM(J2:J13)</f>
        <v>326247.255</v>
      </c>
    </row>
    <row r="29" spans="1:10" x14ac:dyDescent="0.25">
      <c r="A29" s="40" t="s">
        <v>154</v>
      </c>
      <c r="B29" s="64">
        <f>SUM(J14:J25)</f>
        <v>1340571.8</v>
      </c>
    </row>
    <row r="30" spans="1:10" x14ac:dyDescent="0.25">
      <c r="A30" s="29" t="s">
        <v>155</v>
      </c>
      <c r="B30" s="63">
        <f>SUM(J2:J25)</f>
        <v>1666819.0549999999</v>
      </c>
    </row>
    <row r="31" spans="1:10" x14ac:dyDescent="0.25">
      <c r="A31" s="55" t="s">
        <v>216</v>
      </c>
      <c r="B31" s="64">
        <f>SUM(G2:G25)</f>
        <v>750000</v>
      </c>
    </row>
    <row r="32" spans="1:10" x14ac:dyDescent="0.25">
      <c r="A32" s="29" t="s">
        <v>156</v>
      </c>
      <c r="B32" s="75">
        <f>J25/'Revenue Model'!D25</f>
        <v>0.51908447221214948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F663B-07DF-4E8A-A57F-50098A7CA950}">
  <sheetPr>
    <tabColor rgb="FFED7D31"/>
  </sheetPr>
  <dimension ref="A1:L46"/>
  <sheetViews>
    <sheetView tabSelected="1" workbookViewId="0">
      <selection activeCell="B9" sqref="B9"/>
    </sheetView>
  </sheetViews>
  <sheetFormatPr defaultRowHeight="15" x14ac:dyDescent="0.25"/>
  <cols>
    <col min="1" max="1" width="49.5703125" customWidth="1"/>
    <col min="2" max="2" width="19" customWidth="1"/>
    <col min="3" max="3" width="3.85546875" customWidth="1"/>
    <col min="4" max="5" width="19" customWidth="1"/>
    <col min="6" max="6" width="10.140625" customWidth="1"/>
  </cols>
  <sheetData>
    <row r="1" spans="1:12" ht="18.75" x14ac:dyDescent="0.3">
      <c r="A1" s="134" t="s">
        <v>174</v>
      </c>
      <c r="B1" s="133"/>
      <c r="C1" s="133"/>
      <c r="D1" s="133"/>
      <c r="E1" s="133"/>
    </row>
    <row r="3" spans="1:12" x14ac:dyDescent="0.25">
      <c r="A3" s="106" t="s">
        <v>175</v>
      </c>
      <c r="B3" s="107"/>
      <c r="D3" s="106" t="s">
        <v>252</v>
      </c>
      <c r="E3" s="107"/>
    </row>
    <row r="4" spans="1:12" x14ac:dyDescent="0.25">
      <c r="A4" s="29" t="s">
        <v>128</v>
      </c>
      <c r="B4" s="80">
        <f>Assumptions!B8</f>
        <v>149</v>
      </c>
      <c r="D4" s="85" t="s">
        <v>25</v>
      </c>
      <c r="E4" s="85" t="s">
        <v>253</v>
      </c>
    </row>
    <row r="5" spans="1:12" x14ac:dyDescent="0.25">
      <c r="A5" s="40" t="s">
        <v>5</v>
      </c>
      <c r="B5" s="69">
        <f>Assumptions!B11</f>
        <v>0.2</v>
      </c>
      <c r="D5" s="84">
        <v>0.1</v>
      </c>
      <c r="E5" s="80">
        <f>(1/D5)*149-(45*(1/D5))-(0.029*(1/D5)*149)-Assumptions!$B$21</f>
        <v>726.79</v>
      </c>
    </row>
    <row r="6" spans="1:12" x14ac:dyDescent="0.25">
      <c r="A6" s="29" t="s">
        <v>176</v>
      </c>
      <c r="B6" s="123">
        <f>Assumptions!B53</f>
        <v>5</v>
      </c>
      <c r="D6" s="83">
        <v>0.15</v>
      </c>
      <c r="E6" s="81">
        <f>(1/D6)*149-(45*(1/D6))-(0.029*(1/D6)*149)-Assumptions!$B$21</f>
        <v>394.52666666666664</v>
      </c>
    </row>
    <row r="7" spans="1:12" x14ac:dyDescent="0.25">
      <c r="A7" s="40" t="s">
        <v>177</v>
      </c>
      <c r="B7" s="64">
        <f>Assumptions!B54</f>
        <v>745</v>
      </c>
      <c r="D7" s="86">
        <v>0.2</v>
      </c>
      <c r="E7" s="132">
        <f>(1/D7)*149-(45*(1/D7))-(0.029*(1/D7)*149)-Assumptions!$B$21</f>
        <v>228.39499999999998</v>
      </c>
    </row>
    <row r="8" spans="1:12" x14ac:dyDescent="0.25">
      <c r="D8" s="83">
        <v>0.25</v>
      </c>
      <c r="E8" s="81">
        <f>(1/D8)*149-(45*(1/D8))-(0.029*(1/D8)*149)-Assumptions!$B$21</f>
        <v>128.71600000000001</v>
      </c>
    </row>
    <row r="9" spans="1:12" x14ac:dyDescent="0.25">
      <c r="A9" s="40" t="s">
        <v>178</v>
      </c>
      <c r="B9" s="80">
        <f>Assumptions!B44</f>
        <v>45</v>
      </c>
      <c r="D9" s="84">
        <v>0.3</v>
      </c>
      <c r="E9" s="80">
        <f>(1/D9)*149-(45*(1/D9))-(0.029*(1/D9)*149)-Assumptions!$B$21</f>
        <v>62.263333333333321</v>
      </c>
    </row>
    <row r="10" spans="1:12" ht="15.75" thickBot="1" x14ac:dyDescent="0.3">
      <c r="A10" s="40" t="s">
        <v>179</v>
      </c>
      <c r="B10" s="81">
        <f>B9*B6</f>
        <v>225</v>
      </c>
      <c r="D10" s="83">
        <v>0.35</v>
      </c>
      <c r="E10" s="81">
        <f>(1/D10)*149-(45*(1/D10))-(0.029*(1/D10)*149)-Assumptions!$B$21</f>
        <v>14.797142857142831</v>
      </c>
    </row>
    <row r="11" spans="1:12" ht="15.75" thickBot="1" x14ac:dyDescent="0.3">
      <c r="A11" s="40" t="s">
        <v>180</v>
      </c>
      <c r="B11" s="80">
        <f>B7*Assumptions!B45</f>
        <v>21.605</v>
      </c>
      <c r="D11" s="152">
        <v>0.37</v>
      </c>
      <c r="E11" s="153">
        <f>(1/D11)*149-(45*(1/D11))-(0.029*(1/D11)*149)-Assumptions!$B$21</f>
        <v>-0.59729729729730252</v>
      </c>
      <c r="F11" s="154" t="s">
        <v>259</v>
      </c>
      <c r="G11" s="155"/>
      <c r="H11" s="155"/>
      <c r="I11" s="155"/>
      <c r="J11" s="155"/>
      <c r="K11" s="155"/>
      <c r="L11" s="155"/>
    </row>
    <row r="12" spans="1:12" x14ac:dyDescent="0.25">
      <c r="A12" s="40" t="s">
        <v>235</v>
      </c>
      <c r="B12" s="81">
        <f>Assumptions!B21</f>
        <v>270</v>
      </c>
      <c r="D12" s="83">
        <v>0.5</v>
      </c>
      <c r="E12" s="81">
        <f>(1/D12)*149-(45*(1/D12))-(0.029*(1/D12)*149)-Assumptions!$B$21</f>
        <v>-70.641999999999996</v>
      </c>
    </row>
    <row r="13" spans="1:12" x14ac:dyDescent="0.25">
      <c r="A13" s="40" t="s">
        <v>236</v>
      </c>
      <c r="B13" s="80">
        <f>B10+B11+B12</f>
        <v>516.60500000000002</v>
      </c>
    </row>
    <row r="15" spans="1:12" ht="18.75" x14ac:dyDescent="0.3">
      <c r="A15" s="124" t="s">
        <v>237</v>
      </c>
      <c r="B15" s="125">
        <f>B7-B13</f>
        <v>228.39499999999998</v>
      </c>
    </row>
    <row r="17" spans="1:3" x14ac:dyDescent="0.25">
      <c r="A17" s="106" t="s">
        <v>238</v>
      </c>
      <c r="B17" s="107"/>
      <c r="C17" s="107"/>
    </row>
    <row r="18" spans="1:3" x14ac:dyDescent="0.25">
      <c r="A18" s="30" t="s">
        <v>108</v>
      </c>
      <c r="B18" s="30" t="s">
        <v>109</v>
      </c>
    </row>
    <row r="19" spans="1:3" x14ac:dyDescent="0.25">
      <c r="A19" s="40" t="s">
        <v>239</v>
      </c>
      <c r="B19" s="81">
        <f>'Patient Growth'!M2</f>
        <v>263.15789473684208</v>
      </c>
    </row>
    <row r="20" spans="1:3" x14ac:dyDescent="0.25">
      <c r="A20" s="29" t="s">
        <v>240</v>
      </c>
      <c r="B20" s="80">
        <f>'Patient Growth'!M13</f>
        <v>225</v>
      </c>
    </row>
    <row r="21" spans="1:3" x14ac:dyDescent="0.25">
      <c r="A21" s="40" t="s">
        <v>241</v>
      </c>
      <c r="B21" s="81">
        <f>'Patient Growth'!M25</f>
        <v>186.39053254437869</v>
      </c>
    </row>
    <row r="22" spans="1:3" x14ac:dyDescent="0.25">
      <c r="A22" s="29" t="s">
        <v>242</v>
      </c>
      <c r="B22" s="126">
        <f>Assumptions!B29</f>
        <v>0.35</v>
      </c>
    </row>
    <row r="23" spans="1:3" x14ac:dyDescent="0.25">
      <c r="A23" s="40" t="s">
        <v>243</v>
      </c>
      <c r="B23" s="64">
        <f>'Patient Growth'!C2</f>
        <v>5000</v>
      </c>
    </row>
    <row r="24" spans="1:3" x14ac:dyDescent="0.25">
      <c r="A24" s="29" t="s">
        <v>244</v>
      </c>
      <c r="B24" s="63">
        <f>'Patient Growth'!C13</f>
        <v>27000</v>
      </c>
    </row>
    <row r="25" spans="1:3" x14ac:dyDescent="0.25">
      <c r="A25" s="40" t="s">
        <v>245</v>
      </c>
      <c r="B25" s="64">
        <f>'Patient Growth'!C25</f>
        <v>63000</v>
      </c>
    </row>
    <row r="27" spans="1:3" x14ac:dyDescent="0.25">
      <c r="A27" s="106" t="s">
        <v>246</v>
      </c>
      <c r="B27" s="107"/>
    </row>
    <row r="28" spans="1:3" x14ac:dyDescent="0.25">
      <c r="A28" s="29" t="s">
        <v>181</v>
      </c>
      <c r="B28" s="30" t="str">
        <f>IF(B15&gt;0,"YES ✔","NO ✘")</f>
        <v>YES ✔</v>
      </c>
    </row>
    <row r="29" spans="1:3" x14ac:dyDescent="0.25">
      <c r="A29" s="40" t="s">
        <v>170</v>
      </c>
      <c r="B29" s="127">
        <f>Assumptions!B21/(Assumptions!B8-Assumptions!B44-Assumptions!B45*Assumptions!B8)</f>
        <v>2.7086949106632288</v>
      </c>
    </row>
    <row r="30" spans="1:3" x14ac:dyDescent="0.25">
      <c r="A30" s="29" t="s">
        <v>182</v>
      </c>
      <c r="B30" s="30" t="str">
        <f>IF(B29&lt;B6,"YES ✔","NO ✘")</f>
        <v>YES ✔</v>
      </c>
    </row>
    <row r="31" spans="1:3" x14ac:dyDescent="0.25">
      <c r="A31" s="40" t="s">
        <v>183</v>
      </c>
      <c r="B31" s="69">
        <f>B15/B7</f>
        <v>0.30657046979865771</v>
      </c>
    </row>
    <row r="32" spans="1:3" x14ac:dyDescent="0.25">
      <c r="A32" s="29" t="s">
        <v>247</v>
      </c>
      <c r="B32" s="128">
        <f>B7/B12</f>
        <v>2.7592592592592591</v>
      </c>
    </row>
    <row r="33" spans="1:5" ht="60" customHeight="1" x14ac:dyDescent="0.25">
      <c r="A33" s="140" t="s">
        <v>258</v>
      </c>
      <c r="B33" s="139"/>
      <c r="C33" s="139"/>
      <c r="D33" s="139"/>
      <c r="E33" s="139"/>
    </row>
    <row r="34" spans="1:5" x14ac:dyDescent="0.25">
      <c r="A34" s="93" t="s">
        <v>248</v>
      </c>
      <c r="B34" s="129"/>
      <c r="C34" s="129"/>
      <c r="D34" s="129"/>
      <c r="E34" s="129"/>
    </row>
    <row r="35" spans="1:5" x14ac:dyDescent="0.25">
      <c r="A35" s="40" t="s">
        <v>230</v>
      </c>
      <c r="B35" s="64">
        <f>SUM('Patient Growth'!C2:C13)</f>
        <v>192000</v>
      </c>
    </row>
    <row r="36" spans="1:5" x14ac:dyDescent="0.25">
      <c r="A36" s="29" t="s">
        <v>231</v>
      </c>
      <c r="B36" s="63">
        <f>SUM('Patient Growth'!C14:C25)</f>
        <v>558000</v>
      </c>
    </row>
    <row r="37" spans="1:5" ht="15.75" x14ac:dyDescent="0.25">
      <c r="A37" s="93" t="s">
        <v>232</v>
      </c>
      <c r="B37" s="130">
        <f>B35+B36</f>
        <v>750000</v>
      </c>
    </row>
    <row r="39" spans="1:5" x14ac:dyDescent="0.25">
      <c r="A39" s="40" t="s">
        <v>249</v>
      </c>
      <c r="B39" s="81">
        <f>Assumptions!B50*24</f>
        <v>6600</v>
      </c>
    </row>
    <row r="40" spans="1:5" x14ac:dyDescent="0.25">
      <c r="A40" s="29" t="s">
        <v>250</v>
      </c>
      <c r="B40" s="58">
        <f>'P&amp;L Summary'!B32</f>
        <v>-11587.028999999999</v>
      </c>
    </row>
    <row r="41" spans="1:5" x14ac:dyDescent="0.25">
      <c r="A41" s="40" t="s">
        <v>164</v>
      </c>
      <c r="B41" s="131">
        <f>'P&amp;L Summary'!B33</f>
        <v>8</v>
      </c>
    </row>
    <row r="42" spans="1:5" x14ac:dyDescent="0.25">
      <c r="A42" s="30" t="s">
        <v>251</v>
      </c>
      <c r="B42" s="63">
        <f>-MIN('P&amp;L Summary'!G2:G4)</f>
        <v>9265.4459999999999</v>
      </c>
    </row>
    <row r="44" spans="1:5" ht="18.75" x14ac:dyDescent="0.3">
      <c r="A44" s="124" t="s">
        <v>161</v>
      </c>
      <c r="B44" s="125">
        <f>'P&amp;L Summary'!G25</f>
        <v>1082975.9450000001</v>
      </c>
    </row>
    <row r="46" spans="1:5" ht="60" customHeight="1" x14ac:dyDescent="0.25">
      <c r="A46" s="136" t="s">
        <v>254</v>
      </c>
      <c r="B46" s="135"/>
      <c r="C46" s="135"/>
      <c r="D46" s="135"/>
      <c r="E46" s="135"/>
    </row>
  </sheetData>
  <mergeCells count="3">
    <mergeCell ref="A1:E1"/>
    <mergeCell ref="A46:E46"/>
    <mergeCell ref="A33:E3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5502F-9BC3-4269-B6AA-F92C3F11A314}">
  <sheetPr>
    <tabColor rgb="FF808080"/>
  </sheetPr>
  <dimension ref="A1:I35"/>
  <sheetViews>
    <sheetView workbookViewId="0">
      <pane ySplit="1" topLeftCell="A2" activePane="bottomLeft" state="frozen"/>
      <selection pane="bottomLeft" activeCell="G14" sqref="G14"/>
    </sheetView>
  </sheetViews>
  <sheetFormatPr defaultRowHeight="15" x14ac:dyDescent="0.25"/>
  <cols>
    <col min="1" max="1" width="35.42578125" customWidth="1"/>
    <col min="2" max="2" width="17.140625" customWidth="1"/>
    <col min="3" max="8" width="22.85546875" customWidth="1"/>
    <col min="9" max="9" width="28.5703125" customWidth="1"/>
  </cols>
  <sheetData>
    <row r="1" spans="1:9" x14ac:dyDescent="0.25">
      <c r="A1" s="68" t="s">
        <v>6</v>
      </c>
      <c r="B1" s="68" t="s">
        <v>7</v>
      </c>
      <c r="C1" s="68" t="s">
        <v>14</v>
      </c>
      <c r="D1" s="68" t="s">
        <v>21</v>
      </c>
      <c r="E1" s="68" t="s">
        <v>22</v>
      </c>
      <c r="F1" s="68" t="s">
        <v>23</v>
      </c>
      <c r="G1" s="68" t="s">
        <v>157</v>
      </c>
      <c r="H1" s="68" t="s">
        <v>158</v>
      </c>
      <c r="I1" s="68" t="s">
        <v>255</v>
      </c>
    </row>
    <row r="2" spans="1:9" s="146" customFormat="1" x14ac:dyDescent="0.25">
      <c r="A2" s="141">
        <f>'Patient Growth'!A2</f>
        <v>1</v>
      </c>
      <c r="B2" s="97">
        <f>'Patient Growth'!B2</f>
        <v>46023</v>
      </c>
      <c r="C2" s="142">
        <f>'Revenue Model'!D2</f>
        <v>2831</v>
      </c>
      <c r="D2" s="142">
        <f>'Cost Model'!J2</f>
        <v>6212.0990000000002</v>
      </c>
      <c r="E2" s="143">
        <f>C2-D2</f>
        <v>-3381.0990000000002</v>
      </c>
      <c r="F2" s="144">
        <f>IF(C2=0,0,E2/C2)</f>
        <v>-1.194312610385023</v>
      </c>
      <c r="G2" s="143">
        <f>E2</f>
        <v>-3381.0990000000002</v>
      </c>
      <c r="H2" s="142">
        <f>IF('Patient Growth'!G2=0,0,E2/'Patient Growth'!G2)</f>
        <v>-177.95257894736844</v>
      </c>
      <c r="I2" s="145">
        <f>IF('Cost Model'!G2=0, 0, ('Patient Growth'!G2*'Unit Economics'!$B$15)/'Cost Model'!G2)</f>
        <v>0.86790099999999981</v>
      </c>
    </row>
    <row r="3" spans="1:9" s="146" customFormat="1" x14ac:dyDescent="0.25">
      <c r="A3" s="141">
        <f>'Patient Growth'!A3</f>
        <v>2</v>
      </c>
      <c r="B3" s="97">
        <f>'Patient Growth'!B3</f>
        <v>46054</v>
      </c>
      <c r="C3" s="142">
        <f>'Revenue Model'!D3</f>
        <v>6109</v>
      </c>
      <c r="D3" s="142">
        <f>'Cost Model'!J3</f>
        <v>9297.1610000000001</v>
      </c>
      <c r="E3" s="143">
        <f t="shared" ref="E3:E25" si="0">C3-D3</f>
        <v>-3188.1610000000001</v>
      </c>
      <c r="F3" s="144">
        <f t="shared" ref="F3:F25" si="1">IF(C3=0,0,E3/C3)</f>
        <v>-0.52187935832378463</v>
      </c>
      <c r="G3" s="143">
        <f>G2+E3</f>
        <v>-6569.26</v>
      </c>
      <c r="H3" s="142">
        <f>IF('Patient Growth'!G3=0,0,E3/'Patient Growth'!G3)</f>
        <v>-122.62157692307693</v>
      </c>
      <c r="I3" s="145">
        <f>IF('Cost Model'!G3=0, 0, ('Patient Growth'!G3*'Unit Economics'!$B$15)/'Cost Model'!G3)</f>
        <v>0.84832428571428564</v>
      </c>
    </row>
    <row r="4" spans="1:9" s="146" customFormat="1" x14ac:dyDescent="0.25">
      <c r="A4" s="141">
        <f>'Patient Growth'!A4</f>
        <v>3</v>
      </c>
      <c r="B4" s="97">
        <f>'Patient Growth'!B4</f>
        <v>46082</v>
      </c>
      <c r="C4" s="142">
        <f>'Revenue Model'!D4</f>
        <v>9834</v>
      </c>
      <c r="D4" s="142">
        <f>'Cost Model'!J4</f>
        <v>12530.186</v>
      </c>
      <c r="E4" s="143">
        <f t="shared" si="0"/>
        <v>-2696.1859999999997</v>
      </c>
      <c r="F4" s="144">
        <f t="shared" si="1"/>
        <v>-0.27416981899532233</v>
      </c>
      <c r="G4" s="143">
        <f t="shared" ref="G4:G25" si="2">G3+E4</f>
        <v>-9265.4459999999999</v>
      </c>
      <c r="H4" s="142">
        <f>IF('Patient Growth'!G4=0,0,E4/'Patient Growth'!G4)</f>
        <v>-81.702606060606058</v>
      </c>
      <c r="I4" s="145">
        <f>IF('Cost Model'!G4=0, 0, ('Patient Growth'!G4*'Unit Economics'!$B$15)/'Cost Model'!G4)</f>
        <v>0.83744833333333335</v>
      </c>
    </row>
    <row r="5" spans="1:9" s="146" customFormat="1" x14ac:dyDescent="0.25">
      <c r="A5" s="141">
        <f>'Patient Growth'!A5</f>
        <v>4</v>
      </c>
      <c r="B5" s="97">
        <f>'Patient Growth'!B5</f>
        <v>46113</v>
      </c>
      <c r="C5" s="142">
        <f>'Revenue Model'!D5</f>
        <v>14304</v>
      </c>
      <c r="D5" s="142">
        <f>'Cost Model'!J5</f>
        <v>16009.815999999999</v>
      </c>
      <c r="E5" s="143">
        <f t="shared" si="0"/>
        <v>-1705.8159999999989</v>
      </c>
      <c r="F5" s="144">
        <f t="shared" si="1"/>
        <v>-0.11925447427293057</v>
      </c>
      <c r="G5" s="143">
        <f t="shared" si="2"/>
        <v>-10971.261999999999</v>
      </c>
      <c r="H5" s="142">
        <f>IF('Patient Growth'!E5=0,0,E5/'Patient Growth'!E5)</f>
        <v>-852.90799999999945</v>
      </c>
      <c r="I5" s="145">
        <f>IF('Cost Model'!G5=0, 0, ('Patient Growth'!G5*'Unit Economics'!$B$15)/'Cost Model'!G5)</f>
        <v>0.89281681818181802</v>
      </c>
    </row>
    <row r="6" spans="1:9" s="146" customFormat="1" x14ac:dyDescent="0.25">
      <c r="A6" s="141">
        <f>'Patient Growth'!A6</f>
        <v>5</v>
      </c>
      <c r="B6" s="97">
        <f>'Patient Growth'!B6</f>
        <v>46143</v>
      </c>
      <c r="C6" s="142">
        <f>'Revenue Model'!D6</f>
        <v>18923</v>
      </c>
      <c r="D6" s="142">
        <f>'Cost Model'!J6</f>
        <v>19538.767</v>
      </c>
      <c r="E6" s="143">
        <f t="shared" si="0"/>
        <v>-615.76699999999983</v>
      </c>
      <c r="F6" s="144">
        <f t="shared" si="1"/>
        <v>-3.2540664799450392E-2</v>
      </c>
      <c r="G6" s="143">
        <f t="shared" si="2"/>
        <v>-11587.028999999999</v>
      </c>
      <c r="H6" s="142">
        <f>IF('Patient Growth'!E6=0,0,E6/'Patient Growth'!E6)</f>
        <v>-307.88349999999991</v>
      </c>
      <c r="I6" s="145">
        <f>IF('Cost Model'!G6=0, 0, ('Patient Growth'!G6*'Unit Economics'!$B$15)/'Cost Model'!G6)</f>
        <v>0.87844230769230769</v>
      </c>
    </row>
    <row r="7" spans="1:9" s="146" customFormat="1" x14ac:dyDescent="0.25">
      <c r="A7" s="141">
        <f>'Patient Growth'!A7</f>
        <v>6</v>
      </c>
      <c r="B7" s="97">
        <f>'Patient Growth'!B7</f>
        <v>46174</v>
      </c>
      <c r="C7" s="142">
        <f>'Revenue Model'!D7</f>
        <v>25032</v>
      </c>
      <c r="D7" s="142">
        <f>'Cost Model'!J7</f>
        <v>23560.928</v>
      </c>
      <c r="E7" s="143">
        <f t="shared" si="0"/>
        <v>1471.0720000000001</v>
      </c>
      <c r="F7" s="144">
        <f t="shared" si="1"/>
        <v>5.8767657398529884E-2</v>
      </c>
      <c r="G7" s="143">
        <f t="shared" si="2"/>
        <v>-10115.956999999999</v>
      </c>
      <c r="H7" s="142">
        <f>IF('Patient Growth'!E7=0,0,E7/'Patient Growth'!E7)</f>
        <v>490.35733333333337</v>
      </c>
      <c r="I7" s="145">
        <f>IF('Cost Model'!G7=0, 0, ('Patient Growth'!G7*'Unit Economics'!$B$15)/'Cost Model'!G7)</f>
        <v>0.94403266666666652</v>
      </c>
    </row>
    <row r="8" spans="1:9" s="146" customFormat="1" x14ac:dyDescent="0.25">
      <c r="A8" s="141">
        <f>'Patient Growth'!A8</f>
        <v>7</v>
      </c>
      <c r="B8" s="97">
        <f>'Patient Growth'!B8</f>
        <v>46204</v>
      </c>
      <c r="C8" s="142">
        <f>'Revenue Model'!D8</f>
        <v>32184</v>
      </c>
      <c r="D8" s="142">
        <f>'Cost Model'!J8</f>
        <v>27928.335999999999</v>
      </c>
      <c r="E8" s="143">
        <f t="shared" si="0"/>
        <v>4255.6640000000007</v>
      </c>
      <c r="F8" s="144">
        <f t="shared" si="1"/>
        <v>0.13222918220233659</v>
      </c>
      <c r="G8" s="143">
        <f t="shared" si="2"/>
        <v>-5860.2929999999978</v>
      </c>
      <c r="H8" s="142">
        <f>IF('Patient Growth'!E8=0,0,E8/'Patient Growth'!E8)</f>
        <v>472.85155555555565</v>
      </c>
      <c r="I8" s="145">
        <f>IF('Cost Model'!G8=0, 0, ('Patient Growth'!G8*'Unit Economics'!$B$15)/'Cost Model'!G8)</f>
        <v>1.007625</v>
      </c>
    </row>
    <row r="9" spans="1:9" s="146" customFormat="1" x14ac:dyDescent="0.25">
      <c r="A9" s="141">
        <f>'Patient Growth'!A9</f>
        <v>8</v>
      </c>
      <c r="B9" s="97">
        <f>'Patient Growth'!B9</f>
        <v>46235</v>
      </c>
      <c r="C9" s="142">
        <f>'Revenue Model'!D9</f>
        <v>39932</v>
      </c>
      <c r="D9" s="142">
        <f>'Cost Model'!J9</f>
        <v>32493.027999999998</v>
      </c>
      <c r="E9" s="143">
        <f t="shared" si="0"/>
        <v>7438.9720000000016</v>
      </c>
      <c r="F9" s="144">
        <f t="shared" si="1"/>
        <v>0.18629099469097471</v>
      </c>
      <c r="G9" s="143">
        <f t="shared" si="2"/>
        <v>1578.6790000000037</v>
      </c>
      <c r="H9" s="142">
        <f>IF('Patient Growth'!E9=0,0,E9/'Patient Growth'!E9)</f>
        <v>676.27018181818198</v>
      </c>
      <c r="I9" s="145">
        <f>IF('Cost Model'!G9=0, 0, ('Patient Growth'!G9*'Unit Economics'!$B$15)/'Cost Model'!G9)</f>
        <v>1.0217671052631578</v>
      </c>
    </row>
    <row r="10" spans="1:9" s="146" customFormat="1" x14ac:dyDescent="0.25">
      <c r="A10" s="141">
        <f>'Patient Growth'!A10</f>
        <v>9</v>
      </c>
      <c r="B10" s="97">
        <f>'Patient Growth'!B10</f>
        <v>46266</v>
      </c>
      <c r="C10" s="142">
        <f>'Revenue Model'!D10</f>
        <v>48127</v>
      </c>
      <c r="D10" s="142">
        <f>'Cost Model'!J10</f>
        <v>37205.683000000005</v>
      </c>
      <c r="E10" s="143">
        <f t="shared" si="0"/>
        <v>10921.316999999995</v>
      </c>
      <c r="F10" s="144">
        <f t="shared" si="1"/>
        <v>0.22692702640929199</v>
      </c>
      <c r="G10" s="143">
        <f t="shared" si="2"/>
        <v>12499.995999999999</v>
      </c>
      <c r="H10" s="142">
        <f>IF('Patient Growth'!E10=0,0,E10/'Patient Growth'!E10)</f>
        <v>910.10974999999962</v>
      </c>
      <c r="I10" s="145">
        <f>IF('Cost Model'!G10=0, 0, ('Patient Growth'!G10*'Unit Economics'!$B$15)/'Cost Model'!G10)</f>
        <v>1.0223395238095236</v>
      </c>
    </row>
    <row r="11" spans="1:9" s="146" customFormat="1" x14ac:dyDescent="0.25">
      <c r="A11" s="141">
        <f>'Patient Growth'!A11</f>
        <v>10</v>
      </c>
      <c r="B11" s="97">
        <f>'Patient Growth'!B11</f>
        <v>46296</v>
      </c>
      <c r="C11" s="142">
        <f>'Revenue Model'!D11</f>
        <v>56620</v>
      </c>
      <c r="D11" s="142">
        <f>'Cost Model'!J11</f>
        <v>42016.979999999996</v>
      </c>
      <c r="E11" s="143">
        <f t="shared" si="0"/>
        <v>14603.020000000004</v>
      </c>
      <c r="F11" s="144">
        <f t="shared" si="1"/>
        <v>0.25791275167785244</v>
      </c>
      <c r="G11" s="143">
        <f t="shared" si="2"/>
        <v>27103.016000000003</v>
      </c>
      <c r="H11" s="142">
        <f>IF('Patient Growth'!E11=0,0,E11/'Patient Growth'!E11)</f>
        <v>1123.3092307692311</v>
      </c>
      <c r="I11" s="145">
        <f>IF('Cost Model'!G11=0, 0, ('Patient Growth'!G11*'Unit Economics'!$B$15)/'Cost Model'!G11)</f>
        <v>1.0128821739130434</v>
      </c>
    </row>
    <row r="12" spans="1:9" s="146" customFormat="1" x14ac:dyDescent="0.25">
      <c r="A12" s="141">
        <f>'Patient Growth'!A12</f>
        <v>11</v>
      </c>
      <c r="B12" s="97">
        <f>'Patient Growth'!B12</f>
        <v>46327</v>
      </c>
      <c r="C12" s="142">
        <f>'Revenue Model'!D12</f>
        <v>66007</v>
      </c>
      <c r="D12" s="142">
        <f>'Cost Model'!J12</f>
        <v>47124.203000000001</v>
      </c>
      <c r="E12" s="143">
        <f t="shared" si="0"/>
        <v>18882.796999999999</v>
      </c>
      <c r="F12" s="144">
        <f t="shared" si="1"/>
        <v>0.2860726438105049</v>
      </c>
      <c r="G12" s="143">
        <f t="shared" si="2"/>
        <v>45985.813000000002</v>
      </c>
      <c r="H12" s="142">
        <f>IF('Patient Growth'!E12=0,0,E12/'Patient Growth'!E12)</f>
        <v>1348.7712142857142</v>
      </c>
      <c r="I12" s="145">
        <f>IF('Cost Model'!G12=0, 0, ('Patient Growth'!G12*'Unit Economics'!$B$15)/'Cost Model'!G12)</f>
        <v>1.0232095999999999</v>
      </c>
    </row>
    <row r="13" spans="1:9" s="146" customFormat="1" x14ac:dyDescent="0.25">
      <c r="A13" s="141">
        <f>'Patient Growth'!A13</f>
        <v>12</v>
      </c>
      <c r="B13" s="97">
        <f>'Patient Growth'!B13</f>
        <v>46357</v>
      </c>
      <c r="C13" s="142">
        <f>'Revenue Model'!D13</f>
        <v>75692</v>
      </c>
      <c r="D13" s="142">
        <f>'Cost Model'!J13</f>
        <v>52330.067999999999</v>
      </c>
      <c r="E13" s="143">
        <f t="shared" si="0"/>
        <v>23361.932000000001</v>
      </c>
      <c r="F13" s="144">
        <f t="shared" si="1"/>
        <v>0.30864466522221634</v>
      </c>
      <c r="G13" s="143">
        <f t="shared" si="2"/>
        <v>69347.744999999995</v>
      </c>
      <c r="H13" s="142">
        <f>IF('Patient Growth'!E13=0,0,E13/'Patient Growth'!E13)</f>
        <v>1557.4621333333334</v>
      </c>
      <c r="I13" s="145">
        <f>IF('Cost Model'!G13=0, 0, ('Patient Growth'!G13*'Unit Economics'!$B$15)/'Cost Model'!G13)</f>
        <v>1.0150888888888887</v>
      </c>
    </row>
    <row r="14" spans="1:9" s="146" customFormat="1" x14ac:dyDescent="0.25">
      <c r="A14" s="141">
        <f>'Patient Growth'!A14</f>
        <v>13</v>
      </c>
      <c r="B14" s="97">
        <f>'Patient Growth'!B14</f>
        <v>46388</v>
      </c>
      <c r="C14" s="142">
        <f>'Revenue Model'!D14</f>
        <v>88953</v>
      </c>
      <c r="D14" s="142">
        <f>'Cost Model'!J14</f>
        <v>59719.637000000002</v>
      </c>
      <c r="E14" s="143">
        <f t="shared" si="0"/>
        <v>29233.362999999998</v>
      </c>
      <c r="F14" s="144">
        <f t="shared" si="1"/>
        <v>0.32863830337369171</v>
      </c>
      <c r="G14" s="143">
        <f t="shared" si="2"/>
        <v>98581.107999999993</v>
      </c>
      <c r="H14" s="142">
        <f>IF('Patient Growth'!E14=0,0,E14/'Patient Growth'!E14)</f>
        <v>1044.0486785714286</v>
      </c>
      <c r="I14" s="145">
        <f>IF('Cost Model'!G14=0, 0, ('Patient Growth'!G14*'Unit Economics'!$B$15)/'Cost Model'!G14)</f>
        <v>1.1267486666666666</v>
      </c>
    </row>
    <row r="15" spans="1:9" s="146" customFormat="1" x14ac:dyDescent="0.25">
      <c r="A15" s="141">
        <f>'Patient Growth'!A15</f>
        <v>14</v>
      </c>
      <c r="B15" s="97">
        <f>'Patient Growth'!B15</f>
        <v>46419</v>
      </c>
      <c r="C15" s="142">
        <f>'Revenue Model'!D15</f>
        <v>103406</v>
      </c>
      <c r="D15" s="142">
        <f>'Cost Model'!J15</f>
        <v>67503.774000000005</v>
      </c>
      <c r="E15" s="143">
        <f t="shared" si="0"/>
        <v>35902.225999999995</v>
      </c>
      <c r="F15" s="144">
        <f t="shared" si="1"/>
        <v>0.34719673906736548</v>
      </c>
      <c r="G15" s="143">
        <f t="shared" si="2"/>
        <v>134483.33399999997</v>
      </c>
      <c r="H15" s="142">
        <f>IF('Patient Growth'!E15=0,0,E15/'Patient Growth'!E15)</f>
        <v>1158.1363225806449</v>
      </c>
      <c r="I15" s="145">
        <f>IF('Cost Model'!G15=0, 0, ('Patient Growth'!G15*'Unit Economics'!$B$15)/'Cost Model'!G15)</f>
        <v>1.1281328787878786</v>
      </c>
    </row>
    <row r="16" spans="1:9" s="146" customFormat="1" x14ac:dyDescent="0.25">
      <c r="A16" s="141">
        <f>'Patient Growth'!A16</f>
        <v>15</v>
      </c>
      <c r="B16" s="97">
        <f>'Patient Growth'!B16</f>
        <v>46447</v>
      </c>
      <c r="C16" s="142">
        <f>'Revenue Model'!D16</f>
        <v>118753</v>
      </c>
      <c r="D16" s="142">
        <f>'Cost Model'!J16</f>
        <v>75583.837</v>
      </c>
      <c r="E16" s="143">
        <f t="shared" si="0"/>
        <v>43169.163</v>
      </c>
      <c r="F16" s="144">
        <f t="shared" si="1"/>
        <v>0.36352061000564195</v>
      </c>
      <c r="G16" s="143">
        <f t="shared" si="2"/>
        <v>177652.49699999997</v>
      </c>
      <c r="H16" s="142">
        <f>IF('Patient Growth'!E16=0,0,E16/'Patient Growth'!E16)</f>
        <v>1308.1564545454546</v>
      </c>
      <c r="I16" s="145">
        <f>IF('Cost Model'!G16=0, 0, ('Patient Growth'!G16*'Unit Economics'!$B$15)/'Cost Model'!G16)</f>
        <v>1.1229420833333332</v>
      </c>
    </row>
    <row r="17" spans="1:9" s="146" customFormat="1" x14ac:dyDescent="0.25">
      <c r="A17" s="141">
        <f>'Patient Growth'!A17</f>
        <v>16</v>
      </c>
      <c r="B17" s="97">
        <f>'Patient Growth'!B17</f>
        <v>46478</v>
      </c>
      <c r="C17" s="142">
        <f>'Revenue Model'!D17</f>
        <v>135441</v>
      </c>
      <c r="D17" s="142">
        <f>'Cost Model'!J17</f>
        <v>84107.78899999999</v>
      </c>
      <c r="E17" s="143">
        <f t="shared" si="0"/>
        <v>51333.21100000001</v>
      </c>
      <c r="F17" s="144">
        <f t="shared" si="1"/>
        <v>0.37900791488544833</v>
      </c>
      <c r="G17" s="143">
        <f t="shared" si="2"/>
        <v>228985.70799999998</v>
      </c>
      <c r="H17" s="142">
        <f>IF('Patient Growth'!E17=0,0,E17/'Patient Growth'!E17)</f>
        <v>1425.922527777778</v>
      </c>
      <c r="I17" s="145">
        <f>IF('Cost Model'!G17=0, 0, ('Patient Growth'!G17*'Unit Economics'!$B$15)/'Cost Model'!G17)</f>
        <v>1.1244061538461538</v>
      </c>
    </row>
    <row r="18" spans="1:9" s="146" customFormat="1" x14ac:dyDescent="0.25">
      <c r="A18" s="141">
        <f>'Patient Growth'!A18</f>
        <v>17</v>
      </c>
      <c r="B18" s="97">
        <f>'Patient Growth'!B18</f>
        <v>46508</v>
      </c>
      <c r="C18" s="142">
        <f>'Revenue Model'!D18</f>
        <v>153321</v>
      </c>
      <c r="D18" s="142">
        <f>'Cost Model'!J18</f>
        <v>93026.309000000008</v>
      </c>
      <c r="E18" s="143">
        <f t="shared" si="0"/>
        <v>60294.690999999992</v>
      </c>
      <c r="F18" s="144">
        <f t="shared" si="1"/>
        <v>0.39325787726404077</v>
      </c>
      <c r="G18" s="143">
        <f t="shared" si="2"/>
        <v>289280.39899999998</v>
      </c>
      <c r="H18" s="142">
        <f>IF('Patient Growth'!E18=0,0,E18/'Patient Growth'!E18)</f>
        <v>1546.0177179487177</v>
      </c>
      <c r="I18" s="145">
        <f>IF('Cost Model'!G18=0, 0, ('Patient Growth'!G18*'Unit Economics'!$B$15)/'Cost Model'!G18)</f>
        <v>1.1256610714285715</v>
      </c>
    </row>
    <row r="19" spans="1:9" s="146" customFormat="1" x14ac:dyDescent="0.25">
      <c r="A19" s="141">
        <f>'Patient Growth'!A19</f>
        <v>18</v>
      </c>
      <c r="B19" s="97">
        <f>'Patient Growth'!B19</f>
        <v>46539</v>
      </c>
      <c r="C19" s="142">
        <f>'Revenue Model'!D19</f>
        <v>172542</v>
      </c>
      <c r="D19" s="142">
        <f>'Cost Model'!J19</f>
        <v>102388.71799999999</v>
      </c>
      <c r="E19" s="143">
        <f t="shared" si="0"/>
        <v>70153.282000000007</v>
      </c>
      <c r="F19" s="144">
        <f t="shared" si="1"/>
        <v>0.40658669773156686</v>
      </c>
      <c r="G19" s="143">
        <f t="shared" si="2"/>
        <v>359433.68099999998</v>
      </c>
      <c r="H19" s="142">
        <f>IF('Patient Growth'!E19=0,0,E19/'Patient Growth'!E19)</f>
        <v>1670.3162380952383</v>
      </c>
      <c r="I19" s="145">
        <f>IF('Cost Model'!G19=0, 0, ('Patient Growth'!G19*'Unit Economics'!$B$15)/'Cost Model'!G19)</f>
        <v>1.1267486666666666</v>
      </c>
    </row>
    <row r="20" spans="1:9" s="146" customFormat="1" x14ac:dyDescent="0.25">
      <c r="A20" s="141">
        <f>'Patient Growth'!A20</f>
        <v>19</v>
      </c>
      <c r="B20" s="97">
        <f>'Patient Growth'!B20</f>
        <v>46569</v>
      </c>
      <c r="C20" s="142">
        <f>'Revenue Model'!D20</f>
        <v>196382</v>
      </c>
      <c r="D20" s="142">
        <f>'Cost Model'!J20</f>
        <v>113280.07800000001</v>
      </c>
      <c r="E20" s="143">
        <f t="shared" si="0"/>
        <v>83101.921999999991</v>
      </c>
      <c r="F20" s="144">
        <f t="shared" si="1"/>
        <v>0.42316465867543862</v>
      </c>
      <c r="G20" s="143">
        <f t="shared" si="2"/>
        <v>442535.603</v>
      </c>
      <c r="H20" s="142">
        <f>IF('Patient Growth'!E20=0,0,E20/'Patient Growth'!E20)</f>
        <v>1340.3535806451612</v>
      </c>
      <c r="I20" s="145">
        <f>IF('Cost Model'!G20=0, 0, ('Patient Growth'!G20*'Unit Economics'!$B$15)/'Cost Model'!G20)</f>
        <v>1.2276231249999998</v>
      </c>
    </row>
    <row r="21" spans="1:9" s="146" customFormat="1" x14ac:dyDescent="0.25">
      <c r="A21" s="141">
        <f>'Patient Growth'!A21</f>
        <v>20</v>
      </c>
      <c r="B21" s="97">
        <f>'Patient Growth'!B21</f>
        <v>46600</v>
      </c>
      <c r="C21" s="142">
        <f>'Revenue Model'!D21</f>
        <v>221265</v>
      </c>
      <c r="D21" s="142">
        <f>'Cost Model'!J21</f>
        <v>124516.685</v>
      </c>
      <c r="E21" s="143">
        <f t="shared" si="0"/>
        <v>96748.315000000002</v>
      </c>
      <c r="F21" s="144">
        <f t="shared" si="1"/>
        <v>0.43725087564684884</v>
      </c>
      <c r="G21" s="143">
        <f t="shared" si="2"/>
        <v>539283.91800000006</v>
      </c>
      <c r="H21" s="142">
        <f>IF('Patient Growth'!E21=0,0,E21/'Patient Growth'!E21)</f>
        <v>1465.8835606060607</v>
      </c>
      <c r="I21" s="145">
        <f>IF('Cost Model'!G21=0, 0, ('Patient Growth'!G21*'Unit Economics'!$B$15)/'Cost Model'!G21)</f>
        <v>1.2270633333333332</v>
      </c>
    </row>
    <row r="22" spans="1:9" s="146" customFormat="1" x14ac:dyDescent="0.25">
      <c r="A22" s="141">
        <f>'Patient Growth'!A22</f>
        <v>21</v>
      </c>
      <c r="B22" s="97">
        <f>'Patient Growth'!B22</f>
        <v>46631</v>
      </c>
      <c r="C22" s="142">
        <f>'Revenue Model'!D22</f>
        <v>247489</v>
      </c>
      <c r="D22" s="142">
        <f>'Cost Model'!J22</f>
        <v>136197.18099999998</v>
      </c>
      <c r="E22" s="143">
        <f t="shared" si="0"/>
        <v>111291.81900000002</v>
      </c>
      <c r="F22" s="144">
        <f t="shared" si="1"/>
        <v>0.44968390110267537</v>
      </c>
      <c r="G22" s="143">
        <f t="shared" si="2"/>
        <v>650575.73700000008</v>
      </c>
      <c r="H22" s="142">
        <f>IF('Patient Growth'!E22=0,0,E22/'Patient Growth'!E22)</f>
        <v>1589.8831285714289</v>
      </c>
      <c r="I22" s="145">
        <f>IF('Cost Model'!G22=0, 0, ('Patient Growth'!G22*'Unit Economics'!$B$15)/'Cost Model'!G22)</f>
        <v>1.2265657407407404</v>
      </c>
    </row>
    <row r="23" spans="1:9" s="146" customFormat="1" x14ac:dyDescent="0.25">
      <c r="A23" s="141">
        <f>'Patient Growth'!A23</f>
        <v>22</v>
      </c>
      <c r="B23" s="97">
        <f>'Patient Growth'!B23</f>
        <v>46661</v>
      </c>
      <c r="C23" s="142">
        <f>'Revenue Model'!D23</f>
        <v>275352</v>
      </c>
      <c r="D23" s="142">
        <f>'Cost Model'!J23</f>
        <v>148420.20799999998</v>
      </c>
      <c r="E23" s="143">
        <f t="shared" si="0"/>
        <v>126931.79200000002</v>
      </c>
      <c r="F23" s="144">
        <f t="shared" si="1"/>
        <v>0.46098009820157476</v>
      </c>
      <c r="G23" s="143">
        <f t="shared" si="2"/>
        <v>777507.5290000001</v>
      </c>
      <c r="H23" s="142">
        <f>IF('Patient Growth'!E23=0,0,E23/'Patient Growth'!E23)</f>
        <v>1715.2944864864867</v>
      </c>
      <c r="I23" s="145">
        <f>IF('Cost Model'!G23=0, 0, ('Patient Growth'!G23*'Unit Economics'!$B$15)/'Cost Model'!G23)</f>
        <v>1.2261205263157895</v>
      </c>
    </row>
    <row r="24" spans="1:9" s="146" customFormat="1" x14ac:dyDescent="0.25">
      <c r="A24" s="141">
        <f>'Patient Growth'!A24</f>
        <v>23</v>
      </c>
      <c r="B24" s="97">
        <f>'Patient Growth'!B24</f>
        <v>46692</v>
      </c>
      <c r="C24" s="142">
        <f>'Revenue Model'!D24</f>
        <v>304854</v>
      </c>
      <c r="D24" s="142">
        <f>'Cost Model'!J24</f>
        <v>161185.766</v>
      </c>
      <c r="E24" s="143">
        <f t="shared" si="0"/>
        <v>143668.234</v>
      </c>
      <c r="F24" s="144">
        <f t="shared" si="1"/>
        <v>0.47126898121723843</v>
      </c>
      <c r="G24" s="143">
        <f t="shared" si="2"/>
        <v>921175.76300000004</v>
      </c>
      <c r="H24" s="142">
        <f>IF('Patient Growth'!E24=0,0,E24/'Patient Growth'!E24)</f>
        <v>1841.900435897436</v>
      </c>
      <c r="I24" s="145">
        <f>IF('Cost Model'!G24=0, 0, ('Patient Growth'!G24*'Unit Economics'!$B$15)/'Cost Model'!G24)</f>
        <v>1.2257198333333332</v>
      </c>
    </row>
    <row r="25" spans="1:9" s="146" customFormat="1" ht="15.75" thickBot="1" x14ac:dyDescent="0.3">
      <c r="A25" s="147">
        <f>'Patient Growth'!A25</f>
        <v>24</v>
      </c>
      <c r="B25" s="148">
        <f>'Patient Growth'!B25</f>
        <v>46722</v>
      </c>
      <c r="C25" s="149">
        <f>'Revenue Model'!D25</f>
        <v>336442</v>
      </c>
      <c r="D25" s="149">
        <f>'Cost Model'!J25</f>
        <v>174641.818</v>
      </c>
      <c r="E25" s="150">
        <f t="shared" si="0"/>
        <v>161800.182</v>
      </c>
      <c r="F25" s="151">
        <f t="shared" si="1"/>
        <v>0.48091552778785052</v>
      </c>
      <c r="G25" s="150">
        <f t="shared" si="2"/>
        <v>1082975.9450000001</v>
      </c>
      <c r="H25" s="149">
        <f>IF('Patient Growth'!E25=0,0,E25/'Patient Growth'!E25)</f>
        <v>1973.1729512195122</v>
      </c>
      <c r="I25" s="145">
        <f>IF('Cost Model'!G25=0, 0, ('Patient Growth'!G25*'Unit Economics'!$B$15)/'Cost Model'!G25)</f>
        <v>1.2253573015873016</v>
      </c>
    </row>
    <row r="27" spans="1:9" x14ac:dyDescent="0.25">
      <c r="A27" s="67" t="s">
        <v>17</v>
      </c>
      <c r="B27" s="5"/>
      <c r="C27" s="5"/>
      <c r="D27" s="5"/>
      <c r="E27" s="5"/>
      <c r="F27" s="5"/>
      <c r="G27" s="5"/>
      <c r="H27" s="5"/>
    </row>
    <row r="28" spans="1:9" x14ac:dyDescent="0.25">
      <c r="A28" s="30" t="s">
        <v>159</v>
      </c>
      <c r="B28" s="63">
        <f>SUM(E2:E13)</f>
        <v>69347.744999999995</v>
      </c>
    </row>
    <row r="29" spans="1:9" x14ac:dyDescent="0.25">
      <c r="A29" s="55" t="s">
        <v>160</v>
      </c>
      <c r="B29" s="64">
        <f>SUM(E14:E25)</f>
        <v>1013628.2000000002</v>
      </c>
    </row>
    <row r="30" spans="1:9" x14ac:dyDescent="0.25">
      <c r="A30" s="30" t="s">
        <v>161</v>
      </c>
      <c r="B30" s="63">
        <f>G25</f>
        <v>1082975.9450000001</v>
      </c>
    </row>
    <row r="31" spans="1:9" x14ac:dyDescent="0.25">
      <c r="A31" s="55" t="s">
        <v>162</v>
      </c>
      <c r="B31" s="66">
        <f>B29/SUM(C14:C25)</f>
        <v>0.43056163452552892</v>
      </c>
    </row>
    <row r="32" spans="1:9" x14ac:dyDescent="0.25">
      <c r="A32" s="30" t="s">
        <v>163</v>
      </c>
      <c r="B32" s="70">
        <f>MIN(G2:G25)</f>
        <v>-11587.028999999999</v>
      </c>
    </row>
    <row r="33" spans="1:2" x14ac:dyDescent="0.25">
      <c r="A33" s="55" t="s">
        <v>164</v>
      </c>
      <c r="B33" s="71" cm="1">
        <f t="array" ref="B33">MATCH(TRUE,INDEX(G2:G25&gt;0,0),0)</f>
        <v>8</v>
      </c>
    </row>
    <row r="34" spans="1:2" x14ac:dyDescent="0.25">
      <c r="A34" s="30" t="s">
        <v>256</v>
      </c>
      <c r="B34" s="137">
        <f>AVERAGE(I14:I25)</f>
        <v>1.1760907817533139</v>
      </c>
    </row>
    <row r="35" spans="1:2" x14ac:dyDescent="0.25">
      <c r="A35" s="55" t="s">
        <v>257</v>
      </c>
      <c r="B35" s="138">
        <f>MIN(I2:I25)</f>
        <v>0.83744833333333335</v>
      </c>
    </row>
  </sheetData>
  <conditionalFormatting sqref="G2:G25">
    <cfRule type="cellIs" dxfId="7" priority="1" operator="lessThan">
      <formula>0</formula>
    </cfRule>
  </conditionalFormatting>
  <conditionalFormatting sqref="I2:I25">
    <cfRule type="cellIs" dxfId="3" priority="2" operator="lessThan">
      <formula>1</formula>
    </cfRule>
  </conditionalFormatting>
  <conditionalFormatting sqref="I2:I25">
    <cfRule type="cellIs" dxfId="2" priority="3" operator="between">
      <formula>1</formula>
      <formula>1.5</formula>
    </cfRule>
  </conditionalFormatting>
  <conditionalFormatting sqref="I2:I25">
    <cfRule type="cellIs" dxfId="1" priority="4" operator="between">
      <formula>1.5</formula>
      <formula>2</formula>
    </cfRule>
  </conditionalFormatting>
  <conditionalFormatting sqref="I2:I25">
    <cfRule type="cellIs" dxfId="0" priority="5" operator="greaterThanOrEqual">
      <formula>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E9BC0-E02A-46DE-B410-04C47D84FFE4}">
  <sheetPr>
    <tabColor rgb="FFFFFFFF"/>
  </sheetPr>
  <dimension ref="A1:AM50"/>
  <sheetViews>
    <sheetView zoomScale="75" zoomScaleNormal="75" workbookViewId="0">
      <selection activeCell="B50" sqref="B50:AM50"/>
    </sheetView>
  </sheetViews>
  <sheetFormatPr defaultRowHeight="15" outlineLevelRow="2" x14ac:dyDescent="0.25"/>
  <cols>
    <col min="1" max="1" width="23.5703125" customWidth="1"/>
    <col min="2" max="2" width="29.140625" bestFit="1" customWidth="1"/>
    <col min="3" max="4" width="22.85546875" customWidth="1"/>
    <col min="5" max="11" width="9.28515625" bestFit="1" customWidth="1"/>
    <col min="12" max="12" width="9.42578125" bestFit="1" customWidth="1"/>
    <col min="13" max="13" width="9.28515625" bestFit="1" customWidth="1"/>
    <col min="15" max="15" width="29.140625" bestFit="1" customWidth="1"/>
    <col min="16" max="16" width="11.5703125" bestFit="1" customWidth="1"/>
    <col min="17" max="20" width="9.28515625" bestFit="1" customWidth="1"/>
    <col min="29" max="29" width="15" bestFit="1" customWidth="1"/>
  </cols>
  <sheetData>
    <row r="1" spans="2:39" ht="18.75" x14ac:dyDescent="0.3">
      <c r="B1" s="79" t="s">
        <v>171</v>
      </c>
      <c r="C1" s="78"/>
      <c r="D1" s="78"/>
      <c r="E1" s="78"/>
      <c r="F1" s="78"/>
      <c r="G1" s="78"/>
      <c r="H1" s="78"/>
      <c r="I1" s="78"/>
      <c r="J1" s="78"/>
      <c r="K1" s="78"/>
      <c r="L1" s="78"/>
      <c r="M1" s="78"/>
      <c r="O1" s="77" t="s">
        <v>172</v>
      </c>
      <c r="P1" s="76"/>
      <c r="Q1" s="76"/>
      <c r="R1" s="76"/>
      <c r="S1" s="76"/>
      <c r="T1" s="76"/>
      <c r="U1" s="76"/>
      <c r="V1" s="76"/>
      <c r="W1" s="76"/>
      <c r="X1" s="76"/>
      <c r="Y1" s="76"/>
      <c r="Z1" s="76"/>
      <c r="AB1" s="74" t="s">
        <v>173</v>
      </c>
      <c r="AC1" s="73"/>
      <c r="AD1" s="73"/>
      <c r="AE1" s="73"/>
      <c r="AF1" s="73"/>
      <c r="AG1" s="73"/>
      <c r="AH1" s="73"/>
      <c r="AI1" s="73"/>
      <c r="AJ1" s="73"/>
      <c r="AK1" s="73"/>
      <c r="AL1" s="73"/>
      <c r="AM1" s="73"/>
    </row>
    <row r="2" spans="2:39" x14ac:dyDescent="0.25">
      <c r="B2" s="108" t="s">
        <v>217</v>
      </c>
      <c r="C2" s="72"/>
      <c r="D2" s="72"/>
      <c r="E2" s="72"/>
      <c r="F2" s="72"/>
      <c r="G2" s="72"/>
      <c r="H2" s="72"/>
      <c r="I2" s="72"/>
      <c r="J2" s="72"/>
      <c r="K2" s="72"/>
      <c r="L2" s="72"/>
      <c r="M2" s="72"/>
      <c r="O2" s="108" t="s">
        <v>217</v>
      </c>
      <c r="P2" s="72"/>
      <c r="Q2" s="72"/>
      <c r="R2" s="72"/>
      <c r="S2" s="72"/>
      <c r="T2" s="72"/>
      <c r="U2" s="72"/>
      <c r="V2" s="72"/>
      <c r="W2" s="72"/>
      <c r="X2" s="72"/>
      <c r="Y2" s="72"/>
      <c r="Z2" s="72"/>
      <c r="AB2" s="108" t="s">
        <v>217</v>
      </c>
      <c r="AC2" s="72"/>
      <c r="AD2" s="72"/>
      <c r="AE2" s="72"/>
      <c r="AF2" s="72"/>
      <c r="AG2" s="72"/>
      <c r="AH2" s="72"/>
      <c r="AI2" s="72"/>
      <c r="AJ2" s="72"/>
      <c r="AK2" s="72"/>
      <c r="AL2" s="72"/>
      <c r="AM2" s="72"/>
    </row>
    <row r="3" spans="2:39" x14ac:dyDescent="0.25">
      <c r="B3" s="29" t="s">
        <v>218</v>
      </c>
      <c r="C3" s="34">
        <v>3000</v>
      </c>
      <c r="O3" s="29" t="s">
        <v>218</v>
      </c>
      <c r="P3" s="34">
        <v>5000</v>
      </c>
      <c r="AB3" s="29" t="s">
        <v>218</v>
      </c>
      <c r="AC3" s="34">
        <v>10000</v>
      </c>
    </row>
    <row r="4" spans="2:39" x14ac:dyDescent="0.25">
      <c r="B4" s="29" t="s">
        <v>219</v>
      </c>
      <c r="C4" s="34">
        <v>1000</v>
      </c>
      <c r="O4" s="29" t="s">
        <v>219</v>
      </c>
      <c r="P4" s="34">
        <v>2000</v>
      </c>
      <c r="AB4" s="29" t="s">
        <v>219</v>
      </c>
      <c r="AC4" s="34">
        <v>3000</v>
      </c>
    </row>
    <row r="5" spans="2:39" x14ac:dyDescent="0.25">
      <c r="B5" s="29" t="s">
        <v>220</v>
      </c>
      <c r="C5" s="34">
        <v>2000</v>
      </c>
      <c r="O5" s="29" t="s">
        <v>220</v>
      </c>
      <c r="P5" s="34">
        <v>3000</v>
      </c>
      <c r="AB5" s="29" t="s">
        <v>220</v>
      </c>
      <c r="AC5" s="34">
        <v>5000</v>
      </c>
    </row>
    <row r="6" spans="2:39" x14ac:dyDescent="0.25">
      <c r="B6" s="29" t="s">
        <v>221</v>
      </c>
      <c r="C6" s="34">
        <v>300</v>
      </c>
      <c r="O6" s="29" t="s">
        <v>221</v>
      </c>
      <c r="P6" s="34">
        <v>270</v>
      </c>
      <c r="AB6" s="29" t="s">
        <v>221</v>
      </c>
      <c r="AC6" s="34">
        <v>220</v>
      </c>
    </row>
    <row r="7" spans="2:39" x14ac:dyDescent="0.25">
      <c r="B7" s="29" t="s">
        <v>5</v>
      </c>
      <c r="C7" s="87">
        <v>0.25</v>
      </c>
      <c r="O7" s="29" t="s">
        <v>5</v>
      </c>
      <c r="P7" s="87">
        <v>0.2</v>
      </c>
      <c r="AB7" s="29" t="s">
        <v>5</v>
      </c>
      <c r="AC7" s="87">
        <v>0.12</v>
      </c>
    </row>
    <row r="8" spans="2:39" x14ac:dyDescent="0.25">
      <c r="B8" s="29" t="s">
        <v>222</v>
      </c>
      <c r="C8" s="87">
        <v>0.1</v>
      </c>
      <c r="O8" s="29" t="s">
        <v>222</v>
      </c>
      <c r="P8" s="87">
        <v>0.15</v>
      </c>
      <c r="AB8" s="29" t="s">
        <v>222</v>
      </c>
      <c r="AC8" s="87">
        <v>0.2</v>
      </c>
    </row>
    <row r="10" spans="2:39" x14ac:dyDescent="0.25">
      <c r="B10" s="109" t="s">
        <v>6</v>
      </c>
      <c r="C10" s="109" t="s">
        <v>223</v>
      </c>
      <c r="D10" s="109" t="s">
        <v>224</v>
      </c>
      <c r="E10" s="109" t="s">
        <v>225</v>
      </c>
      <c r="F10" s="109" t="s">
        <v>226</v>
      </c>
      <c r="G10" s="109" t="s">
        <v>165</v>
      </c>
      <c r="H10" s="109" t="s">
        <v>166</v>
      </c>
      <c r="I10" s="109" t="s">
        <v>126</v>
      </c>
      <c r="J10" s="109" t="s">
        <v>227</v>
      </c>
      <c r="K10" s="109" t="s">
        <v>22</v>
      </c>
      <c r="L10" s="109" t="s">
        <v>228</v>
      </c>
      <c r="M10" s="109" t="s">
        <v>134</v>
      </c>
      <c r="O10" s="110" t="s">
        <v>6</v>
      </c>
      <c r="P10" s="110" t="s">
        <v>223</v>
      </c>
      <c r="Q10" s="110" t="s">
        <v>224</v>
      </c>
      <c r="R10" s="110" t="s">
        <v>225</v>
      </c>
      <c r="S10" s="110" t="s">
        <v>226</v>
      </c>
      <c r="T10" s="110" t="s">
        <v>165</v>
      </c>
      <c r="U10" s="110" t="s">
        <v>166</v>
      </c>
      <c r="V10" s="110" t="s">
        <v>126</v>
      </c>
      <c r="W10" s="110" t="s">
        <v>227</v>
      </c>
      <c r="X10" s="110" t="s">
        <v>22</v>
      </c>
      <c r="Y10" s="110" t="s">
        <v>228</v>
      </c>
      <c r="Z10" s="110" t="s">
        <v>134</v>
      </c>
      <c r="AB10" s="111" t="s">
        <v>6</v>
      </c>
      <c r="AC10" s="111" t="s">
        <v>223</v>
      </c>
      <c r="AD10" s="111" t="s">
        <v>224</v>
      </c>
      <c r="AE10" s="111" t="s">
        <v>225</v>
      </c>
      <c r="AF10" s="111" t="s">
        <v>226</v>
      </c>
      <c r="AG10" s="111" t="s">
        <v>165</v>
      </c>
      <c r="AH10" s="111" t="s">
        <v>166</v>
      </c>
      <c r="AI10" s="111" t="s">
        <v>126</v>
      </c>
      <c r="AJ10" s="111" t="s">
        <v>227</v>
      </c>
      <c r="AK10" s="111" t="s">
        <v>22</v>
      </c>
      <c r="AL10" s="111" t="s">
        <v>228</v>
      </c>
      <c r="AM10" s="111" t="s">
        <v>134</v>
      </c>
    </row>
    <row r="11" spans="2:39" x14ac:dyDescent="0.25">
      <c r="B11" s="112">
        <v>1</v>
      </c>
      <c r="C11" s="113">
        <f>IF(B11&lt;=12, $C$3+(B11-1)*$C$4, $C$3+11*$C$4+(B11-12)*$C$5)</f>
        <v>3000</v>
      </c>
      <c r="D11" s="114">
        <f>MAX(ROUND(C11/$C$6, 0), 1)</f>
        <v>10</v>
      </c>
      <c r="E11" s="114">
        <f>ROUND(D11*0, 0)</f>
        <v>0</v>
      </c>
      <c r="F11" s="114">
        <f>D11+E11</f>
        <v>10</v>
      </c>
      <c r="G11" s="114">
        <v>0</v>
      </c>
      <c r="H11" s="114">
        <f>F11</f>
        <v>10</v>
      </c>
      <c r="I11" s="113">
        <f>H11*149</f>
        <v>1490</v>
      </c>
      <c r="J11" s="113">
        <f>(H11*45)+(I11*0.029)+C11+275</f>
        <v>3768.21</v>
      </c>
      <c r="K11" s="115">
        <f>I11-J11</f>
        <v>-2278.21</v>
      </c>
      <c r="L11" s="115">
        <f>K11</f>
        <v>-2278.21</v>
      </c>
      <c r="M11" s="113">
        <f>IF(F11&gt;0, C11/F11, 0)</f>
        <v>300</v>
      </c>
      <c r="O11" s="112">
        <v>1</v>
      </c>
      <c r="P11" s="113">
        <f>IF(O11&lt;=12, $P$3+(O11-1)*$P$4, $P$3+11*$P$4+(O11-12)*$P$5)</f>
        <v>5000</v>
      </c>
      <c r="Q11" s="114">
        <f>MAX(ROUND(P11/$P$6, 0), 1)</f>
        <v>19</v>
      </c>
      <c r="R11" s="114">
        <f>ROUND(Q11*0, 0)</f>
        <v>0</v>
      </c>
      <c r="S11" s="114">
        <f>Q11+R11</f>
        <v>19</v>
      </c>
      <c r="T11" s="114">
        <v>0</v>
      </c>
      <c r="U11" s="114">
        <f>S11</f>
        <v>19</v>
      </c>
      <c r="V11" s="113">
        <f>U11*149</f>
        <v>2831</v>
      </c>
      <c r="W11" s="113">
        <f>(U11*45)+(V11*0.029)+P11+275</f>
        <v>6212.0990000000002</v>
      </c>
      <c r="X11" s="115">
        <f>V11-W11</f>
        <v>-3381.0990000000002</v>
      </c>
      <c r="Y11" s="115">
        <f>X11</f>
        <v>-3381.0990000000002</v>
      </c>
      <c r="Z11" s="113">
        <f>IF(S11&gt;0, P11/S11, 0)</f>
        <v>263.15789473684208</v>
      </c>
      <c r="AB11" s="112">
        <v>1</v>
      </c>
      <c r="AC11" s="113">
        <f>IF(AB11&lt;=12, $AC$3+(AB11-1)*$AC$4, $AC$3+11*$AC$4+(AB11-12)*$AC$5)</f>
        <v>10000</v>
      </c>
      <c r="AD11" s="114">
        <f>MAX(ROUND(AC11/$AC$6, 0), 1)</f>
        <v>45</v>
      </c>
      <c r="AE11" s="114">
        <f>ROUND(AD11*0, 0)</f>
        <v>0</v>
      </c>
      <c r="AF11" s="114">
        <f>AD11+AE11</f>
        <v>45</v>
      </c>
      <c r="AG11" s="114">
        <v>0</v>
      </c>
      <c r="AH11" s="114">
        <f>AF11</f>
        <v>45</v>
      </c>
      <c r="AI11" s="113">
        <f>AH11*149</f>
        <v>6705</v>
      </c>
      <c r="AJ11" s="113">
        <f>(AH11*45)+(AI11*0.029)+AC11+275</f>
        <v>12494.445</v>
      </c>
      <c r="AK11" s="115">
        <f>AI11-AJ11</f>
        <v>-5789.4449999999997</v>
      </c>
      <c r="AL11" s="115">
        <f>AK11</f>
        <v>-5789.4449999999997</v>
      </c>
      <c r="AM11" s="113">
        <f>IF(AF11&gt;0, AC11/AF11, 0)</f>
        <v>222.22222222222223</v>
      </c>
    </row>
    <row r="12" spans="2:39" x14ac:dyDescent="0.25">
      <c r="B12" s="116">
        <v>2</v>
      </c>
      <c r="C12" s="117">
        <f>IF(B12&lt;=12, $C$3+(B12-1)*$C$4, $C$3+11*$C$4+(B12-12)*$C$5)</f>
        <v>4000</v>
      </c>
      <c r="D12" s="118">
        <f>MAX(ROUND(C12/$C$6, 0), 1)</f>
        <v>13</v>
      </c>
      <c r="E12" s="118">
        <f>ROUND(D12*0, 0)</f>
        <v>0</v>
      </c>
      <c r="F12" s="118">
        <f>D12+E12</f>
        <v>13</v>
      </c>
      <c r="G12" s="118">
        <f>ROUND(H11*$C$7, 0)</f>
        <v>3</v>
      </c>
      <c r="H12" s="118">
        <f>H11+F12-G12</f>
        <v>20</v>
      </c>
      <c r="I12" s="117">
        <f>H12*149</f>
        <v>2980</v>
      </c>
      <c r="J12" s="117">
        <f>(H12*45)+(I12*0.029)+C12+275</f>
        <v>5261.42</v>
      </c>
      <c r="K12" s="119">
        <f>I12-J12</f>
        <v>-2281.42</v>
      </c>
      <c r="L12" s="119">
        <f>L11+K12</f>
        <v>-4559.63</v>
      </c>
      <c r="M12" s="117">
        <f>IF(F12&gt;0, C12/F12, 0)</f>
        <v>307.69230769230768</v>
      </c>
      <c r="O12" s="116">
        <v>2</v>
      </c>
      <c r="P12" s="117">
        <f>IF(O12&lt;=12, $P$3+(O12-1)*$P$4, $P$3+11*$P$4+(O12-12)*$P$5)</f>
        <v>7000</v>
      </c>
      <c r="Q12" s="118">
        <f>MAX(ROUND(P12/$P$6, 0), 1)</f>
        <v>26</v>
      </c>
      <c r="R12" s="118">
        <f>ROUND(Q12*0, 0)</f>
        <v>0</v>
      </c>
      <c r="S12" s="118">
        <f>Q12+R12</f>
        <v>26</v>
      </c>
      <c r="T12" s="118">
        <f>ROUND(U11*$P$7, 0)</f>
        <v>4</v>
      </c>
      <c r="U12" s="118">
        <f>U11+S12-T12</f>
        <v>41</v>
      </c>
      <c r="V12" s="117">
        <f>U12*149</f>
        <v>6109</v>
      </c>
      <c r="W12" s="117">
        <f>(U12*45)+(V12*0.029)+P12+275</f>
        <v>9297.1610000000001</v>
      </c>
      <c r="X12" s="119">
        <f>V12-W12</f>
        <v>-3188.1610000000001</v>
      </c>
      <c r="Y12" s="119">
        <f>Y11+X12</f>
        <v>-6569.26</v>
      </c>
      <c r="Z12" s="117">
        <f>IF(S12&gt;0, P12/S12, 0)</f>
        <v>269.23076923076923</v>
      </c>
      <c r="AB12" s="116">
        <v>2</v>
      </c>
      <c r="AC12" s="117">
        <f>IF(AB12&lt;=12, $AC$3+(AB12-1)*$AC$4, $AC$3+11*$AC$4+(AB12-12)*$AC$5)</f>
        <v>13000</v>
      </c>
      <c r="AD12" s="118">
        <f>MAX(ROUND(AC12/$AC$6, 0), 1)</f>
        <v>59</v>
      </c>
      <c r="AE12" s="118">
        <f>ROUND(AD12*0, 0)</f>
        <v>0</v>
      </c>
      <c r="AF12" s="118">
        <f>AD12+AE12</f>
        <v>59</v>
      </c>
      <c r="AG12" s="118">
        <f>ROUND(AH11*$AC$7, 0)</f>
        <v>5</v>
      </c>
      <c r="AH12" s="118">
        <f>AH11+AF12-AG12</f>
        <v>99</v>
      </c>
      <c r="AI12" s="117">
        <f>AH12*149</f>
        <v>14751</v>
      </c>
      <c r="AJ12" s="117">
        <f>(AH12*45)+(AI12*0.029)+AC12+275</f>
        <v>18157.779000000002</v>
      </c>
      <c r="AK12" s="119">
        <f>AI12-AJ12</f>
        <v>-3406.7790000000023</v>
      </c>
      <c r="AL12" s="119">
        <f>AL11+AK12</f>
        <v>-9196.224000000002</v>
      </c>
      <c r="AM12" s="117">
        <f>IF(AF12&gt;0, AC12/AF12, 0)</f>
        <v>220.33898305084745</v>
      </c>
    </row>
    <row r="13" spans="2:39" x14ac:dyDescent="0.25">
      <c r="B13" s="112">
        <v>3</v>
      </c>
      <c r="C13" s="113">
        <f>IF(B13&lt;=12, $C$3+(B13-1)*$C$4, $C$3+11*$C$4+(B13-12)*$C$5)</f>
        <v>5000</v>
      </c>
      <c r="D13" s="114">
        <f>MAX(ROUND(C13/$C$6, 0), 1)</f>
        <v>17</v>
      </c>
      <c r="E13" s="114">
        <f>ROUND(D13*0, 0)</f>
        <v>0</v>
      </c>
      <c r="F13" s="114">
        <f>D13+E13</f>
        <v>17</v>
      </c>
      <c r="G13" s="114">
        <f>ROUND(H12*$C$7, 0)</f>
        <v>5</v>
      </c>
      <c r="H13" s="114">
        <f>H12+F13-G13</f>
        <v>32</v>
      </c>
      <c r="I13" s="113">
        <f>H13*149</f>
        <v>4768</v>
      </c>
      <c r="J13" s="113">
        <f>(H13*45)+(I13*0.029)+C13+275</f>
        <v>6853.2719999999999</v>
      </c>
      <c r="K13" s="115">
        <f>I13-J13</f>
        <v>-2085.2719999999999</v>
      </c>
      <c r="L13" s="115">
        <f>L12+K13</f>
        <v>-6644.902</v>
      </c>
      <c r="M13" s="113">
        <f>IF(F13&gt;0, C13/F13, 0)</f>
        <v>294.11764705882354</v>
      </c>
      <c r="O13" s="112">
        <v>3</v>
      </c>
      <c r="P13" s="113">
        <f>IF(O13&lt;=12, $P$3+(O13-1)*$P$4, $P$3+11*$P$4+(O13-12)*$P$5)</f>
        <v>9000</v>
      </c>
      <c r="Q13" s="114">
        <f>MAX(ROUND(P13/$P$6, 0), 1)</f>
        <v>33</v>
      </c>
      <c r="R13" s="114">
        <f>ROUND(Q13*0, 0)</f>
        <v>0</v>
      </c>
      <c r="S13" s="114">
        <f>Q13+R13</f>
        <v>33</v>
      </c>
      <c r="T13" s="114">
        <f>ROUND(U12*$P$7, 0)</f>
        <v>8</v>
      </c>
      <c r="U13" s="114">
        <f>U12+S13-T13</f>
        <v>66</v>
      </c>
      <c r="V13" s="113">
        <f>U13*149</f>
        <v>9834</v>
      </c>
      <c r="W13" s="113">
        <f>(U13*45)+(V13*0.029)+P13+275</f>
        <v>12530.186</v>
      </c>
      <c r="X13" s="115">
        <f>V13-W13</f>
        <v>-2696.1859999999997</v>
      </c>
      <c r="Y13" s="115">
        <f>Y12+X13</f>
        <v>-9265.4459999999999</v>
      </c>
      <c r="Z13" s="113">
        <f>IF(S13&gt;0, P13/S13, 0)</f>
        <v>272.72727272727275</v>
      </c>
      <c r="AB13" s="112">
        <v>3</v>
      </c>
      <c r="AC13" s="113">
        <f>IF(AB13&lt;=12, $AC$3+(AB13-1)*$AC$4, $AC$3+11*$AC$4+(AB13-12)*$AC$5)</f>
        <v>16000</v>
      </c>
      <c r="AD13" s="114">
        <f>MAX(ROUND(AC13/$AC$6, 0), 1)</f>
        <v>73</v>
      </c>
      <c r="AE13" s="114">
        <f>ROUND(AD13*0, 0)</f>
        <v>0</v>
      </c>
      <c r="AF13" s="114">
        <f>AD13+AE13</f>
        <v>73</v>
      </c>
      <c r="AG13" s="114">
        <f>ROUND(AH12*$AC$7, 0)</f>
        <v>12</v>
      </c>
      <c r="AH13" s="114">
        <f>AH12+AF13-AG13</f>
        <v>160</v>
      </c>
      <c r="AI13" s="113">
        <f>AH13*149</f>
        <v>23840</v>
      </c>
      <c r="AJ13" s="113">
        <f>(AH13*45)+(AI13*0.029)+AC13+275</f>
        <v>24166.36</v>
      </c>
      <c r="AK13" s="115">
        <f>AI13-AJ13</f>
        <v>-326.36000000000058</v>
      </c>
      <c r="AL13" s="115">
        <f>AL12+AK13</f>
        <v>-9522.5840000000026</v>
      </c>
      <c r="AM13" s="113">
        <f>IF(AF13&gt;0, AC13/AF13, 0)</f>
        <v>219.17808219178082</v>
      </c>
    </row>
    <row r="14" spans="2:39" x14ac:dyDescent="0.25">
      <c r="B14" s="116">
        <v>4</v>
      </c>
      <c r="C14" s="117">
        <f>IF(B14&lt;=12, $C$3+(B14-1)*$C$4, $C$3+11*$C$4+(B14-12)*$C$5)</f>
        <v>6000</v>
      </c>
      <c r="D14" s="118">
        <f>MAX(ROUND(C14/$C$6, 0), 1)</f>
        <v>20</v>
      </c>
      <c r="E14" s="118">
        <f>ROUND(D14*0.02, 0)</f>
        <v>0</v>
      </c>
      <c r="F14" s="118">
        <f>D14+E14</f>
        <v>20</v>
      </c>
      <c r="G14" s="118">
        <f>ROUND(H13*$C$7, 0)</f>
        <v>8</v>
      </c>
      <c r="H14" s="118">
        <f>H13+F14-G14</f>
        <v>44</v>
      </c>
      <c r="I14" s="117">
        <f>H14*149</f>
        <v>6556</v>
      </c>
      <c r="J14" s="117">
        <f>(H14*45)+(I14*0.029)+C14+275</f>
        <v>8445.1239999999998</v>
      </c>
      <c r="K14" s="119">
        <f>I14-J14</f>
        <v>-1889.1239999999998</v>
      </c>
      <c r="L14" s="119">
        <f>L13+K14</f>
        <v>-8534.0259999999998</v>
      </c>
      <c r="M14" s="117">
        <f>IF(F14&gt;0, C14/F14, 0)</f>
        <v>300</v>
      </c>
      <c r="O14" s="116">
        <v>4</v>
      </c>
      <c r="P14" s="117">
        <f>IF(O14&lt;=12, $P$3+(O14-1)*$P$4, $P$3+11*$P$4+(O14-12)*$P$5)</f>
        <v>11000</v>
      </c>
      <c r="Q14" s="118">
        <f>MAX(ROUND(P14/$P$6, 0), 1)</f>
        <v>41</v>
      </c>
      <c r="R14" s="118">
        <f>ROUND(Q14*0.05, 0)</f>
        <v>2</v>
      </c>
      <c r="S14" s="118">
        <f>Q14+R14</f>
        <v>43</v>
      </c>
      <c r="T14" s="118">
        <f>ROUND(U13*$P$7, 0)</f>
        <v>13</v>
      </c>
      <c r="U14" s="118">
        <f>U13+S14-T14</f>
        <v>96</v>
      </c>
      <c r="V14" s="117">
        <f>U14*149</f>
        <v>14304</v>
      </c>
      <c r="W14" s="117">
        <f>(U14*45)+(V14*0.029)+P14+275</f>
        <v>16009.815999999999</v>
      </c>
      <c r="X14" s="119">
        <f>V14-W14</f>
        <v>-1705.8159999999989</v>
      </c>
      <c r="Y14" s="119">
        <f>Y13+X14</f>
        <v>-10971.261999999999</v>
      </c>
      <c r="Z14" s="117">
        <f>IF(S14&gt;0, P14/S14, 0)</f>
        <v>255.81395348837211</v>
      </c>
      <c r="AB14" s="116">
        <v>4</v>
      </c>
      <c r="AC14" s="117">
        <f>IF(AB14&lt;=12, $AC$3+(AB14-1)*$AC$4, $AC$3+11*$AC$4+(AB14-12)*$AC$5)</f>
        <v>19000</v>
      </c>
      <c r="AD14" s="118">
        <f>MAX(ROUND(AC14/$AC$6, 0), 1)</f>
        <v>86</v>
      </c>
      <c r="AE14" s="118">
        <f>ROUND(AD14*0.08, 0)</f>
        <v>7</v>
      </c>
      <c r="AF14" s="118">
        <f>AD14+AE14</f>
        <v>93</v>
      </c>
      <c r="AG14" s="118">
        <f>ROUND(AH13*$AC$7, 0)</f>
        <v>19</v>
      </c>
      <c r="AH14" s="118">
        <f>AH13+AF14-AG14</f>
        <v>234</v>
      </c>
      <c r="AI14" s="117">
        <f>AH14*149</f>
        <v>34866</v>
      </c>
      <c r="AJ14" s="117">
        <f>(AH14*45)+(AI14*0.029)+AC14+275</f>
        <v>30816.114000000001</v>
      </c>
      <c r="AK14" s="119">
        <f>AI14-AJ14</f>
        <v>4049.8859999999986</v>
      </c>
      <c r="AL14" s="119">
        <f>AL13+AK14</f>
        <v>-5472.698000000004</v>
      </c>
      <c r="AM14" s="117">
        <f>IF(AF14&gt;0, AC14/AF14, 0)</f>
        <v>204.30107526881721</v>
      </c>
    </row>
    <row r="15" spans="2:39" x14ac:dyDescent="0.25">
      <c r="B15" s="112">
        <v>5</v>
      </c>
      <c r="C15" s="113">
        <f>IF(B15&lt;=12, $C$3+(B15-1)*$C$4, $C$3+11*$C$4+(B15-12)*$C$5)</f>
        <v>7000</v>
      </c>
      <c r="D15" s="114">
        <f>MAX(ROUND(C15/$C$6, 0), 1)</f>
        <v>23</v>
      </c>
      <c r="E15" s="114">
        <f>ROUND(D15*0.02, 0)</f>
        <v>0</v>
      </c>
      <c r="F15" s="114">
        <f>D15+E15</f>
        <v>23</v>
      </c>
      <c r="G15" s="114">
        <f>ROUND(H14*$C$7, 0)</f>
        <v>11</v>
      </c>
      <c r="H15" s="114">
        <f>H14+F15-G15</f>
        <v>56</v>
      </c>
      <c r="I15" s="113">
        <f>H15*149</f>
        <v>8344</v>
      </c>
      <c r="J15" s="113">
        <f>(H15*45)+(I15*0.029)+C15+275</f>
        <v>10036.976000000001</v>
      </c>
      <c r="K15" s="115">
        <f>I15-J15</f>
        <v>-1692.9760000000006</v>
      </c>
      <c r="L15" s="115">
        <f>L14+K15</f>
        <v>-10227.002</v>
      </c>
      <c r="M15" s="113">
        <f>IF(F15&gt;0, C15/F15, 0)</f>
        <v>304.3478260869565</v>
      </c>
      <c r="O15" s="112">
        <v>5</v>
      </c>
      <c r="P15" s="113">
        <f>IF(O15&lt;=12, $P$3+(O15-1)*$P$4, $P$3+11*$P$4+(O15-12)*$P$5)</f>
        <v>13000</v>
      </c>
      <c r="Q15" s="114">
        <f>MAX(ROUND(P15/$P$6, 0), 1)</f>
        <v>48</v>
      </c>
      <c r="R15" s="114">
        <f>ROUND(Q15*0.05, 0)</f>
        <v>2</v>
      </c>
      <c r="S15" s="114">
        <f>Q15+R15</f>
        <v>50</v>
      </c>
      <c r="T15" s="114">
        <f>ROUND(U14*$P$7, 0)</f>
        <v>19</v>
      </c>
      <c r="U15" s="114">
        <f>U14+S15-T15</f>
        <v>127</v>
      </c>
      <c r="V15" s="113">
        <f>U15*149</f>
        <v>18923</v>
      </c>
      <c r="W15" s="113">
        <f>(U15*45)+(V15*0.029)+P15+275</f>
        <v>19538.767</v>
      </c>
      <c r="X15" s="115">
        <f>V15-W15</f>
        <v>-615.76699999999983</v>
      </c>
      <c r="Y15" s="115">
        <f>Y14+X15</f>
        <v>-11587.028999999999</v>
      </c>
      <c r="Z15" s="113">
        <f>IF(S15&gt;0, P15/S15, 0)</f>
        <v>260</v>
      </c>
      <c r="AB15" s="112">
        <v>5</v>
      </c>
      <c r="AC15" s="113">
        <f>IF(AB15&lt;=12, $AC$3+(AB15-1)*$AC$4, $AC$3+11*$AC$4+(AB15-12)*$AC$5)</f>
        <v>22000</v>
      </c>
      <c r="AD15" s="114">
        <f>MAX(ROUND(AC15/$AC$6, 0), 1)</f>
        <v>100</v>
      </c>
      <c r="AE15" s="114">
        <f>ROUND(AD15*0.08, 0)</f>
        <v>8</v>
      </c>
      <c r="AF15" s="114">
        <f>AD15+AE15</f>
        <v>108</v>
      </c>
      <c r="AG15" s="114">
        <f>ROUND(AH14*$AC$7, 0)</f>
        <v>28</v>
      </c>
      <c r="AH15" s="114">
        <f>AH14+AF15-AG15</f>
        <v>314</v>
      </c>
      <c r="AI15" s="113">
        <f>AH15*149</f>
        <v>46786</v>
      </c>
      <c r="AJ15" s="113">
        <f>(AH15*45)+(AI15*0.029)+AC15+275</f>
        <v>37761.794000000002</v>
      </c>
      <c r="AK15" s="115">
        <f>AI15-AJ15</f>
        <v>9024.2059999999983</v>
      </c>
      <c r="AL15" s="115">
        <f>AL14+AK15</f>
        <v>3551.5079999999944</v>
      </c>
      <c r="AM15" s="113">
        <f>IF(AF15&gt;0, AC15/AF15, 0)</f>
        <v>203.7037037037037</v>
      </c>
    </row>
    <row r="16" spans="2:39" x14ac:dyDescent="0.25">
      <c r="B16" s="116">
        <v>6</v>
      </c>
      <c r="C16" s="117">
        <f>IF(B16&lt;=12, $C$3+(B16-1)*$C$4, $C$3+11*$C$4+(B16-12)*$C$5)</f>
        <v>8000</v>
      </c>
      <c r="D16" s="118">
        <f>MAX(ROUND(C16/$C$6, 0), 1)</f>
        <v>27</v>
      </c>
      <c r="E16" s="118">
        <f>ROUND(D16*0.05, 0)</f>
        <v>1</v>
      </c>
      <c r="F16" s="118">
        <f>D16+E16</f>
        <v>28</v>
      </c>
      <c r="G16" s="118">
        <f>ROUND(H15*$C$7, 0)</f>
        <v>14</v>
      </c>
      <c r="H16" s="118">
        <f>H15+F16-G16</f>
        <v>70</v>
      </c>
      <c r="I16" s="117">
        <f>H16*149</f>
        <v>10430</v>
      </c>
      <c r="J16" s="117">
        <f>(H16*45)+(I16*0.029)+C16+275</f>
        <v>11727.470000000001</v>
      </c>
      <c r="K16" s="119">
        <f>I16-J16</f>
        <v>-1297.4700000000012</v>
      </c>
      <c r="L16" s="119">
        <f>L15+K16</f>
        <v>-11524.472000000002</v>
      </c>
      <c r="M16" s="117">
        <f>IF(F16&gt;0, C16/F16, 0)</f>
        <v>285.71428571428572</v>
      </c>
      <c r="O16" s="116">
        <v>6</v>
      </c>
      <c r="P16" s="117">
        <f>IF(O16&lt;=12, $P$3+(O16-1)*$P$4, $P$3+11*$P$4+(O16-12)*$P$5)</f>
        <v>15000</v>
      </c>
      <c r="Q16" s="118">
        <f>MAX(ROUND(P16/$P$6, 0), 1)</f>
        <v>56</v>
      </c>
      <c r="R16" s="118">
        <f>ROUND(Q16*0.1, 0)</f>
        <v>6</v>
      </c>
      <c r="S16" s="118">
        <f>Q16+R16</f>
        <v>62</v>
      </c>
      <c r="T16" s="118">
        <f>ROUND(U15*$P$7, 0)</f>
        <v>25</v>
      </c>
      <c r="U16" s="118">
        <f>U15+S16-T16</f>
        <v>164</v>
      </c>
      <c r="V16" s="117">
        <f>U16*149</f>
        <v>24436</v>
      </c>
      <c r="W16" s="117">
        <f>(U16*45)+(V16*0.029)+P16+275</f>
        <v>23363.644</v>
      </c>
      <c r="X16" s="119">
        <f>V16-W16</f>
        <v>1072.3559999999998</v>
      </c>
      <c r="Y16" s="119">
        <f>Y15+X16</f>
        <v>-10514.672999999999</v>
      </c>
      <c r="Z16" s="117">
        <f>IF(S16&gt;0, P16/S16, 0)</f>
        <v>241.93548387096774</v>
      </c>
      <c r="AB16" s="116">
        <v>6</v>
      </c>
      <c r="AC16" s="117">
        <f>IF(AB16&lt;=12, $AC$3+(AB16-1)*$AC$4, $AC$3+11*$AC$4+(AB16-12)*$AC$5)</f>
        <v>25000</v>
      </c>
      <c r="AD16" s="118">
        <f>MAX(ROUND(AC16/$AC$6, 0), 1)</f>
        <v>114</v>
      </c>
      <c r="AE16" s="118">
        <f>ROUND(AD16*0.15, 0)</f>
        <v>17</v>
      </c>
      <c r="AF16" s="118">
        <f>AD16+AE16</f>
        <v>131</v>
      </c>
      <c r="AG16" s="118">
        <f>ROUND(AH15*$AC$7, 0)</f>
        <v>38</v>
      </c>
      <c r="AH16" s="118">
        <f>AH15+AF16-AG16</f>
        <v>407</v>
      </c>
      <c r="AI16" s="117">
        <f>AH16*149</f>
        <v>60643</v>
      </c>
      <c r="AJ16" s="117">
        <f>(AH16*45)+(AI16*0.029)+AC16+275</f>
        <v>45348.646999999997</v>
      </c>
      <c r="AK16" s="119">
        <f>AI16-AJ16</f>
        <v>15294.353000000003</v>
      </c>
      <c r="AL16" s="119">
        <f>AL15+AK16</f>
        <v>18845.860999999997</v>
      </c>
      <c r="AM16" s="117">
        <f>IF(AF16&gt;0, AC16/AF16, 0)</f>
        <v>190.83969465648855</v>
      </c>
    </row>
    <row r="17" spans="2:39" x14ac:dyDescent="0.25">
      <c r="B17" s="112">
        <v>7</v>
      </c>
      <c r="C17" s="113">
        <f>IF(B17&lt;=12, $C$3+(B17-1)*$C$4, $C$3+11*$C$4+(B17-12)*$C$5)</f>
        <v>9000</v>
      </c>
      <c r="D17" s="114">
        <f>MAX(ROUND(C17/$C$6, 0), 1)</f>
        <v>30</v>
      </c>
      <c r="E17" s="114">
        <f>ROUND(D17*0.13, 0)</f>
        <v>4</v>
      </c>
      <c r="F17" s="114">
        <f>D17+E17</f>
        <v>34</v>
      </c>
      <c r="G17" s="114">
        <f>ROUND(H16*$C$7, 0)</f>
        <v>18</v>
      </c>
      <c r="H17" s="114">
        <f>H16+F17-G17</f>
        <v>86</v>
      </c>
      <c r="I17" s="113">
        <f>H17*149</f>
        <v>12814</v>
      </c>
      <c r="J17" s="113">
        <f>(H17*45)+(I17*0.029)+C17+275</f>
        <v>13516.606</v>
      </c>
      <c r="K17" s="115">
        <f>I17-J17</f>
        <v>-702.60599999999977</v>
      </c>
      <c r="L17" s="115">
        <f>L16+K17</f>
        <v>-12227.078000000001</v>
      </c>
      <c r="M17" s="113">
        <f>IF(F17&gt;0, C17/F17, 0)</f>
        <v>264.70588235294116</v>
      </c>
      <c r="O17" s="112">
        <v>7</v>
      </c>
      <c r="P17" s="113">
        <f>IF(O17&lt;=12, $P$3+(O17-1)*$P$4, $P$3+11*$P$4+(O17-12)*$P$5)</f>
        <v>17000</v>
      </c>
      <c r="Q17" s="114">
        <f>MAX(ROUND(P17/$P$6, 0), 1)</f>
        <v>63</v>
      </c>
      <c r="R17" s="114">
        <f>ROUND(Q17*0.2, 0)</f>
        <v>13</v>
      </c>
      <c r="S17" s="114">
        <f>Q17+R17</f>
        <v>76</v>
      </c>
      <c r="T17" s="114">
        <f>ROUND(U16*$P$7, 0)</f>
        <v>33</v>
      </c>
      <c r="U17" s="114">
        <f>U16+S17-T17</f>
        <v>207</v>
      </c>
      <c r="V17" s="113">
        <f>U17*149</f>
        <v>30843</v>
      </c>
      <c r="W17" s="113">
        <f>(U17*45)+(V17*0.029)+P17+275</f>
        <v>27484.447</v>
      </c>
      <c r="X17" s="115">
        <f>V17-W17</f>
        <v>3358.5529999999999</v>
      </c>
      <c r="Y17" s="115">
        <f>Y16+X17</f>
        <v>-7156.119999999999</v>
      </c>
      <c r="Z17" s="113">
        <f>IF(S17&gt;0, P17/S17, 0)</f>
        <v>223.68421052631578</v>
      </c>
      <c r="AB17" s="112">
        <v>7</v>
      </c>
      <c r="AC17" s="113">
        <f>IF(AB17&lt;=12, $AC$3+(AB17-1)*$AC$4, $AC$3+11*$AC$4+(AB17-12)*$AC$5)</f>
        <v>28000</v>
      </c>
      <c r="AD17" s="114">
        <f>MAX(ROUND(AC17/$AC$6, 0), 1)</f>
        <v>127</v>
      </c>
      <c r="AE17" s="114">
        <f>ROUND(AD17*0.27, 0)</f>
        <v>34</v>
      </c>
      <c r="AF17" s="114">
        <f>AD17+AE17</f>
        <v>161</v>
      </c>
      <c r="AG17" s="114">
        <f>ROUND(AH16*$AC$7, 0)</f>
        <v>49</v>
      </c>
      <c r="AH17" s="114">
        <f>AH16+AF17-AG17</f>
        <v>519</v>
      </c>
      <c r="AI17" s="113">
        <f>AH17*149</f>
        <v>77331</v>
      </c>
      <c r="AJ17" s="113">
        <f>(AH17*45)+(AI17*0.029)+AC17+275</f>
        <v>53872.599000000002</v>
      </c>
      <c r="AK17" s="115">
        <f>AI17-AJ17</f>
        <v>23458.400999999998</v>
      </c>
      <c r="AL17" s="115">
        <f>AL16+AK17</f>
        <v>42304.261999999995</v>
      </c>
      <c r="AM17" s="113">
        <f>IF(AF17&gt;0, AC17/AF17, 0)</f>
        <v>173.91304347826087</v>
      </c>
    </row>
    <row r="18" spans="2:39" x14ac:dyDescent="0.25">
      <c r="B18" s="116">
        <v>8</v>
      </c>
      <c r="C18" s="117">
        <f>IF(B18&lt;=12, $C$3+(B18-1)*$C$4, $C$3+11*$C$4+(B18-12)*$C$5)</f>
        <v>10000</v>
      </c>
      <c r="D18" s="118">
        <f>MAX(ROUND(C18/$C$6, 0), 1)</f>
        <v>33</v>
      </c>
      <c r="E18" s="118">
        <f>ROUND(D18*0.13, 0)</f>
        <v>4</v>
      </c>
      <c r="F18" s="118">
        <f>D18+E18</f>
        <v>37</v>
      </c>
      <c r="G18" s="118">
        <f>ROUND(H17*$C$7, 0)</f>
        <v>22</v>
      </c>
      <c r="H18" s="118">
        <f>H17+F18-G18</f>
        <v>101</v>
      </c>
      <c r="I18" s="117">
        <f>H18*149</f>
        <v>15049</v>
      </c>
      <c r="J18" s="117">
        <f>(H18*45)+(I18*0.029)+C18+275</f>
        <v>15256.421</v>
      </c>
      <c r="K18" s="119">
        <f>I18-J18</f>
        <v>-207.42100000000028</v>
      </c>
      <c r="L18" s="119">
        <f>L17+K18</f>
        <v>-12434.499000000002</v>
      </c>
      <c r="M18" s="117">
        <f>IF(F18&gt;0, C18/F18, 0)</f>
        <v>270.27027027027026</v>
      </c>
      <c r="O18" s="116">
        <v>8</v>
      </c>
      <c r="P18" s="117">
        <f>IF(O18&lt;=12, $P$3+(O18-1)*$P$4, $P$3+11*$P$4+(O18-12)*$P$5)</f>
        <v>19000</v>
      </c>
      <c r="Q18" s="118">
        <f>MAX(ROUND(P18/$P$6, 0), 1)</f>
        <v>70</v>
      </c>
      <c r="R18" s="118">
        <f>ROUND(Q18*0.2, 0)</f>
        <v>14</v>
      </c>
      <c r="S18" s="118">
        <f>Q18+R18</f>
        <v>84</v>
      </c>
      <c r="T18" s="118">
        <f>ROUND(U17*$P$7, 0)</f>
        <v>41</v>
      </c>
      <c r="U18" s="118">
        <f>U17+S18-T18</f>
        <v>250</v>
      </c>
      <c r="V18" s="117">
        <f>U18*149</f>
        <v>37250</v>
      </c>
      <c r="W18" s="117">
        <f>(U18*45)+(V18*0.029)+P18+275</f>
        <v>31605.25</v>
      </c>
      <c r="X18" s="119">
        <f>V18-W18</f>
        <v>5644.75</v>
      </c>
      <c r="Y18" s="119">
        <f>Y17+X18</f>
        <v>-1511.369999999999</v>
      </c>
      <c r="Z18" s="117">
        <f>IF(S18&gt;0, P18/S18, 0)</f>
        <v>226.1904761904762</v>
      </c>
      <c r="AB18" s="116">
        <v>8</v>
      </c>
      <c r="AC18" s="117">
        <f>IF(AB18&lt;=12, $AC$3+(AB18-1)*$AC$4, $AC$3+11*$AC$4+(AB18-12)*$AC$5)</f>
        <v>31000</v>
      </c>
      <c r="AD18" s="118">
        <f>MAX(ROUND(AC18/$AC$6, 0), 1)</f>
        <v>141</v>
      </c>
      <c r="AE18" s="118">
        <f>ROUND(AD18*0.27, 0)</f>
        <v>38</v>
      </c>
      <c r="AF18" s="118">
        <f>AD18+AE18</f>
        <v>179</v>
      </c>
      <c r="AG18" s="118">
        <f>ROUND(AH17*$AC$7, 0)</f>
        <v>62</v>
      </c>
      <c r="AH18" s="118">
        <f>AH17+AF18-AG18</f>
        <v>636</v>
      </c>
      <c r="AI18" s="117">
        <f>AH18*149</f>
        <v>94764</v>
      </c>
      <c r="AJ18" s="117">
        <f>(AH18*45)+(AI18*0.029)+AC18+275</f>
        <v>62643.156000000003</v>
      </c>
      <c r="AK18" s="119">
        <f>AI18-AJ18</f>
        <v>32120.843999999997</v>
      </c>
      <c r="AL18" s="119">
        <f>AL17+AK18</f>
        <v>74425.106</v>
      </c>
      <c r="AM18" s="117">
        <f>IF(AF18&gt;0, AC18/AF18, 0)</f>
        <v>173.18435754189943</v>
      </c>
    </row>
    <row r="19" spans="2:39" x14ac:dyDescent="0.25">
      <c r="B19" s="112">
        <v>9</v>
      </c>
      <c r="C19" s="113">
        <f>IF(B19&lt;=12, $C$3+(B19-1)*$C$4, $C$3+11*$C$4+(B19-12)*$C$5)</f>
        <v>11000</v>
      </c>
      <c r="D19" s="114">
        <f>MAX(ROUND(C19/$C$6, 0), 1)</f>
        <v>37</v>
      </c>
      <c r="E19" s="114">
        <f>ROUND(D19*0.13, 0)</f>
        <v>5</v>
      </c>
      <c r="F19" s="114">
        <f>D19+E19</f>
        <v>42</v>
      </c>
      <c r="G19" s="114">
        <f>ROUND(H18*$C$7, 0)</f>
        <v>25</v>
      </c>
      <c r="H19" s="114">
        <f>H18+F19-G19</f>
        <v>118</v>
      </c>
      <c r="I19" s="113">
        <f>H19*149</f>
        <v>17582</v>
      </c>
      <c r="J19" s="113">
        <f>(H19*45)+(I19*0.029)+C19+275</f>
        <v>17094.878000000001</v>
      </c>
      <c r="K19" s="115">
        <f>I19-J19</f>
        <v>487.12199999999939</v>
      </c>
      <c r="L19" s="115">
        <f>L18+K19</f>
        <v>-11947.377000000002</v>
      </c>
      <c r="M19" s="113">
        <f>IF(F19&gt;0, C19/F19, 0)</f>
        <v>261.90476190476193</v>
      </c>
      <c r="O19" s="112">
        <v>9</v>
      </c>
      <c r="P19" s="113">
        <f>IF(O19&lt;=12, $P$3+(O19-1)*$P$4, $P$3+11*$P$4+(O19-12)*$P$5)</f>
        <v>21000</v>
      </c>
      <c r="Q19" s="114">
        <f>MAX(ROUND(P19/$P$6, 0), 1)</f>
        <v>78</v>
      </c>
      <c r="R19" s="114">
        <f>ROUND(Q19*0.2, 0)</f>
        <v>16</v>
      </c>
      <c r="S19" s="114">
        <f>Q19+R19</f>
        <v>94</v>
      </c>
      <c r="T19" s="114">
        <f>ROUND(U18*$P$7, 0)</f>
        <v>50</v>
      </c>
      <c r="U19" s="114">
        <f>U18+S19-T19</f>
        <v>294</v>
      </c>
      <c r="V19" s="113">
        <f>U19*149</f>
        <v>43806</v>
      </c>
      <c r="W19" s="113">
        <f>(U19*45)+(V19*0.029)+P19+275</f>
        <v>35775.373999999996</v>
      </c>
      <c r="X19" s="115">
        <f>V19-W19</f>
        <v>8030.6260000000038</v>
      </c>
      <c r="Y19" s="115">
        <f>Y18+X19</f>
        <v>6519.2560000000049</v>
      </c>
      <c r="Z19" s="113">
        <f>IF(S19&gt;0, P19/S19, 0)</f>
        <v>223.40425531914894</v>
      </c>
      <c r="AB19" s="112">
        <v>9</v>
      </c>
      <c r="AC19" s="113">
        <f>IF(AB19&lt;=12, $AC$3+(AB19-1)*$AC$4, $AC$3+11*$AC$4+(AB19-12)*$AC$5)</f>
        <v>34000</v>
      </c>
      <c r="AD19" s="114">
        <f>MAX(ROUND(AC19/$AC$6, 0), 1)</f>
        <v>155</v>
      </c>
      <c r="AE19" s="114">
        <f>ROUND(AD19*0.27, 0)</f>
        <v>42</v>
      </c>
      <c r="AF19" s="114">
        <f>AD19+AE19</f>
        <v>197</v>
      </c>
      <c r="AG19" s="114">
        <f>ROUND(AH18*$AC$7, 0)</f>
        <v>76</v>
      </c>
      <c r="AH19" s="114">
        <f>AH18+AF19-AG19</f>
        <v>757</v>
      </c>
      <c r="AI19" s="113">
        <f>AH19*149</f>
        <v>112793</v>
      </c>
      <c r="AJ19" s="113">
        <f>(AH19*45)+(AI19*0.029)+AC19+275</f>
        <v>71610.997000000003</v>
      </c>
      <c r="AK19" s="115">
        <f>AI19-AJ19</f>
        <v>41182.002999999997</v>
      </c>
      <c r="AL19" s="115">
        <f>AL18+AK19</f>
        <v>115607.109</v>
      </c>
      <c r="AM19" s="113">
        <f>IF(AF19&gt;0, AC19/AF19, 0)</f>
        <v>172.58883248730965</v>
      </c>
    </row>
    <row r="20" spans="2:39" hidden="1" outlineLevel="2" x14ac:dyDescent="0.25">
      <c r="B20" s="116">
        <v>10</v>
      </c>
      <c r="C20" s="117">
        <f>IF(B20&lt;=12, $C$3+(B20-1)*$C$4, $C$3+11*$C$4+(B20-12)*$C$5)</f>
        <v>12000</v>
      </c>
      <c r="D20" s="118">
        <f>MAX(ROUND(C20/$C$6, 0), 1)</f>
        <v>40</v>
      </c>
      <c r="E20" s="118">
        <f>ROUND(D20*0.13, 0)</f>
        <v>5</v>
      </c>
      <c r="F20" s="118">
        <f>D20+E20</f>
        <v>45</v>
      </c>
      <c r="G20" s="118">
        <f>ROUND(H19*$C$7, 0)</f>
        <v>30</v>
      </c>
      <c r="H20" s="118">
        <f>H19+F20-G20</f>
        <v>133</v>
      </c>
      <c r="I20" s="117">
        <f>H20*149</f>
        <v>19817</v>
      </c>
      <c r="J20" s="117">
        <f>(H20*45)+(I20*0.029)+C20+275</f>
        <v>18834.692999999999</v>
      </c>
      <c r="K20" s="119">
        <f>I20-J20</f>
        <v>982.3070000000007</v>
      </c>
      <c r="L20" s="119">
        <f>L19+K20</f>
        <v>-10965.070000000002</v>
      </c>
      <c r="M20" s="117">
        <f>IF(F20&gt;0, C20/F20, 0)</f>
        <v>266.66666666666669</v>
      </c>
      <c r="O20" s="116">
        <v>10</v>
      </c>
      <c r="P20" s="117">
        <f>IF(O20&lt;=12, $P$3+(O20-1)*$P$4, $P$3+11*$P$4+(O20-12)*$P$5)</f>
        <v>23000</v>
      </c>
      <c r="Q20" s="118">
        <f>MAX(ROUND(P20/$P$6, 0), 1)</f>
        <v>85</v>
      </c>
      <c r="R20" s="118">
        <f>ROUND(Q20*0.2, 0)</f>
        <v>17</v>
      </c>
      <c r="S20" s="118">
        <f>Q20+R20</f>
        <v>102</v>
      </c>
      <c r="T20" s="118">
        <f>ROUND(U19*$P$7, 0)</f>
        <v>59</v>
      </c>
      <c r="U20" s="118">
        <f>U19+S20-T20</f>
        <v>337</v>
      </c>
      <c r="V20" s="117">
        <f>U20*149</f>
        <v>50213</v>
      </c>
      <c r="W20" s="117">
        <f>(U20*45)+(V20*0.029)+P20+275</f>
        <v>39896.176999999996</v>
      </c>
      <c r="X20" s="119">
        <f>V20-W20</f>
        <v>10316.823000000004</v>
      </c>
      <c r="Y20" s="119">
        <f>Y19+X20</f>
        <v>16836.079000000009</v>
      </c>
      <c r="Z20" s="117">
        <f>IF(S20&gt;0, P20/S20, 0)</f>
        <v>225.49019607843138</v>
      </c>
      <c r="AB20" s="116">
        <v>10</v>
      </c>
      <c r="AC20" s="117">
        <f>IF(AB20&lt;=12, $AC$3+(AB20-1)*$AC$4, $AC$3+11*$AC$4+(AB20-12)*$AC$5)</f>
        <v>37000</v>
      </c>
      <c r="AD20" s="118">
        <f>MAX(ROUND(AC20/$AC$6, 0), 1)</f>
        <v>168</v>
      </c>
      <c r="AE20" s="118">
        <f>ROUND(AD20*0.27, 0)</f>
        <v>45</v>
      </c>
      <c r="AF20" s="118">
        <f>AD20+AE20</f>
        <v>213</v>
      </c>
      <c r="AG20" s="118">
        <f>ROUND(AH19*$AC$7, 0)</f>
        <v>91</v>
      </c>
      <c r="AH20" s="118">
        <f>AH19+AF20-AG20</f>
        <v>879</v>
      </c>
      <c r="AI20" s="117">
        <f>AH20*149</f>
        <v>130971</v>
      </c>
      <c r="AJ20" s="117">
        <f>(AH20*45)+(AI20*0.029)+AC20+275</f>
        <v>80628.159</v>
      </c>
      <c r="AK20" s="119">
        <f>AI20-AJ20</f>
        <v>50342.841</v>
      </c>
      <c r="AL20" s="119">
        <f>AL19+AK20</f>
        <v>165949.95000000001</v>
      </c>
      <c r="AM20" s="117">
        <f>IF(AF20&gt;0, AC20/AF20, 0)</f>
        <v>173.70892018779344</v>
      </c>
    </row>
    <row r="21" spans="2:39" hidden="1" outlineLevel="2" x14ac:dyDescent="0.25">
      <c r="B21" s="112">
        <v>11</v>
      </c>
      <c r="C21" s="113">
        <f>IF(B21&lt;=12, $C$3+(B21-1)*$C$4, $C$3+11*$C$4+(B21-12)*$C$5)</f>
        <v>13000</v>
      </c>
      <c r="D21" s="114">
        <f>MAX(ROUND(C21/$C$6, 0), 1)</f>
        <v>43</v>
      </c>
      <c r="E21" s="114">
        <f>ROUND(D21*0.13, 0)</f>
        <v>6</v>
      </c>
      <c r="F21" s="114">
        <f>D21+E21</f>
        <v>49</v>
      </c>
      <c r="G21" s="114">
        <f>ROUND(H20*$C$7, 0)</f>
        <v>33</v>
      </c>
      <c r="H21" s="114">
        <f>H20+F21-G21</f>
        <v>149</v>
      </c>
      <c r="I21" s="113">
        <f>H21*149</f>
        <v>22201</v>
      </c>
      <c r="J21" s="113">
        <f>(H21*45)+(I21*0.029)+C21+275</f>
        <v>20623.828999999998</v>
      </c>
      <c r="K21" s="115">
        <f>I21-J21</f>
        <v>1577.1710000000021</v>
      </c>
      <c r="L21" s="115">
        <f>L20+K21</f>
        <v>-9387.8989999999994</v>
      </c>
      <c r="M21" s="113">
        <f>IF(F21&gt;0, C21/F21, 0)</f>
        <v>265.30612244897958</v>
      </c>
      <c r="O21" s="112">
        <v>11</v>
      </c>
      <c r="P21" s="113">
        <f>IF(O21&lt;=12, $P$3+(O21-1)*$P$4, $P$3+11*$P$4+(O21-12)*$P$5)</f>
        <v>25000</v>
      </c>
      <c r="Q21" s="114">
        <f>MAX(ROUND(P21/$P$6, 0), 1)</f>
        <v>93</v>
      </c>
      <c r="R21" s="114">
        <f>ROUND(Q21*0.2, 0)</f>
        <v>19</v>
      </c>
      <c r="S21" s="114">
        <f>Q21+R21</f>
        <v>112</v>
      </c>
      <c r="T21" s="114">
        <f>ROUND(U20*$P$7, 0)</f>
        <v>67</v>
      </c>
      <c r="U21" s="114">
        <f>U20+S21-T21</f>
        <v>382</v>
      </c>
      <c r="V21" s="113">
        <f>U21*149</f>
        <v>56918</v>
      </c>
      <c r="W21" s="113">
        <f>(U21*45)+(V21*0.029)+P21+275</f>
        <v>44115.622000000003</v>
      </c>
      <c r="X21" s="115">
        <f>V21-W21</f>
        <v>12802.377999999997</v>
      </c>
      <c r="Y21" s="115">
        <f>Y20+X21</f>
        <v>29638.457000000006</v>
      </c>
      <c r="Z21" s="113">
        <f>IF(S21&gt;0, P21/S21, 0)</f>
        <v>223.21428571428572</v>
      </c>
      <c r="AB21" s="112">
        <v>11</v>
      </c>
      <c r="AC21" s="113">
        <f>IF(AB21&lt;=12, $AC$3+(AB21-1)*$AC$4, $AC$3+11*$AC$4+(AB21-12)*$AC$5)</f>
        <v>40000</v>
      </c>
      <c r="AD21" s="114">
        <f>MAX(ROUND(AC21/$AC$6, 0), 1)</f>
        <v>182</v>
      </c>
      <c r="AE21" s="114">
        <f>ROUND(AD21*0.27, 0)</f>
        <v>49</v>
      </c>
      <c r="AF21" s="114">
        <f>AD21+AE21</f>
        <v>231</v>
      </c>
      <c r="AG21" s="114">
        <f>ROUND(AH20*$AC$7, 0)</f>
        <v>105</v>
      </c>
      <c r="AH21" s="114">
        <f>AH20+AF21-AG21</f>
        <v>1005</v>
      </c>
      <c r="AI21" s="113">
        <f>AH21*149</f>
        <v>149745</v>
      </c>
      <c r="AJ21" s="113">
        <f>(AH21*45)+(AI21*0.029)+AC21+275</f>
        <v>89842.60500000001</v>
      </c>
      <c r="AK21" s="115">
        <f>AI21-AJ21</f>
        <v>59902.39499999999</v>
      </c>
      <c r="AL21" s="115">
        <f>AL20+AK21</f>
        <v>225852.345</v>
      </c>
      <c r="AM21" s="113">
        <f>IF(AF21&gt;0, AC21/AF21, 0)</f>
        <v>173.16017316017317</v>
      </c>
    </row>
    <row r="22" spans="2:39" hidden="1" outlineLevel="2" x14ac:dyDescent="0.25">
      <c r="B22" s="116">
        <v>12</v>
      </c>
      <c r="C22" s="117">
        <f>IF(B22&lt;=12, $C$3+(B22-1)*$C$4, $C$3+11*$C$4+(B22-12)*$C$5)</f>
        <v>14000</v>
      </c>
      <c r="D22" s="118">
        <f>MAX(ROUND(C22/$C$6, 0), 1)</f>
        <v>47</v>
      </c>
      <c r="E22" s="118">
        <f>ROUND(D22*0.13, 0)</f>
        <v>6</v>
      </c>
      <c r="F22" s="118">
        <f>D22+E22</f>
        <v>53</v>
      </c>
      <c r="G22" s="118">
        <f>ROUND(H21*$C$7, 0)</f>
        <v>37</v>
      </c>
      <c r="H22" s="118">
        <f>H21+F22-G22</f>
        <v>165</v>
      </c>
      <c r="I22" s="117">
        <f>H22*149</f>
        <v>24585</v>
      </c>
      <c r="J22" s="117">
        <f>(H22*45)+(I22*0.029)+C22+275</f>
        <v>22412.965</v>
      </c>
      <c r="K22" s="119">
        <f>I22-J22</f>
        <v>2172.0349999999999</v>
      </c>
      <c r="L22" s="119">
        <f>L21+K22</f>
        <v>-7215.8639999999996</v>
      </c>
      <c r="M22" s="117">
        <f>IF(F22&gt;0, C22/F22, 0)</f>
        <v>264.15094339622641</v>
      </c>
      <c r="O22" s="116">
        <v>12</v>
      </c>
      <c r="P22" s="117">
        <f>IF(O22&lt;=12, $P$3+(O22-1)*$P$4, $P$3+11*$P$4+(O22-12)*$P$5)</f>
        <v>27000</v>
      </c>
      <c r="Q22" s="118">
        <f>MAX(ROUND(P22/$P$6, 0), 1)</f>
        <v>100</v>
      </c>
      <c r="R22" s="118">
        <f>ROUND(Q22*0.2, 0)</f>
        <v>20</v>
      </c>
      <c r="S22" s="118">
        <f>Q22+R22</f>
        <v>120</v>
      </c>
      <c r="T22" s="118">
        <f>ROUND(U21*$P$7, 0)</f>
        <v>76</v>
      </c>
      <c r="U22" s="118">
        <f>U21+S22-T22</f>
        <v>426</v>
      </c>
      <c r="V22" s="117">
        <f>U22*149</f>
        <v>63474</v>
      </c>
      <c r="W22" s="117">
        <f>(U22*45)+(V22*0.029)+P22+275</f>
        <v>48285.745999999999</v>
      </c>
      <c r="X22" s="119">
        <f>V22-W22</f>
        <v>15188.254000000001</v>
      </c>
      <c r="Y22" s="119">
        <f>Y21+X22</f>
        <v>44826.71100000001</v>
      </c>
      <c r="Z22" s="117">
        <f>IF(S22&gt;0, P22/S22, 0)</f>
        <v>225</v>
      </c>
      <c r="AB22" s="116">
        <v>12</v>
      </c>
      <c r="AC22" s="117">
        <f>IF(AB22&lt;=12, $AC$3+(AB22-1)*$AC$4, $AC$3+11*$AC$4+(AB22-12)*$AC$5)</f>
        <v>43000</v>
      </c>
      <c r="AD22" s="118">
        <f>MAX(ROUND(AC22/$AC$6, 0), 1)</f>
        <v>195</v>
      </c>
      <c r="AE22" s="118">
        <f>ROUND(AD22*0.27, 0)</f>
        <v>53</v>
      </c>
      <c r="AF22" s="118">
        <f>AD22+AE22</f>
        <v>248</v>
      </c>
      <c r="AG22" s="118">
        <f>ROUND(AH21*$AC$7, 0)</f>
        <v>121</v>
      </c>
      <c r="AH22" s="118">
        <f>AH21+AF22-AG22</f>
        <v>1132</v>
      </c>
      <c r="AI22" s="117">
        <f>AH22*149</f>
        <v>168668</v>
      </c>
      <c r="AJ22" s="117">
        <f>(AH22*45)+(AI22*0.029)+AC22+275</f>
        <v>99106.372000000003</v>
      </c>
      <c r="AK22" s="119">
        <f>AI22-AJ22</f>
        <v>69561.627999999997</v>
      </c>
      <c r="AL22" s="119">
        <f>AL21+AK22</f>
        <v>295413.973</v>
      </c>
      <c r="AM22" s="117">
        <f>IF(AF22&gt;0, AC22/AF22, 0)</f>
        <v>173.38709677419354</v>
      </c>
    </row>
    <row r="23" spans="2:39" hidden="1" outlineLevel="2" x14ac:dyDescent="0.25">
      <c r="B23" s="112">
        <v>13</v>
      </c>
      <c r="C23" s="113">
        <f>IF(B23&lt;=12, $C$3+(B23-1)*$C$4, $C$3+11*$C$4+(B23-12)*$C$5)</f>
        <v>16000</v>
      </c>
      <c r="D23" s="114">
        <f>MAX(ROUND(C23/$C$6, 0), 1)</f>
        <v>53</v>
      </c>
      <c r="E23" s="114">
        <f>ROUND(D23*0.229999999999999, 0)</f>
        <v>12</v>
      </c>
      <c r="F23" s="114">
        <f>D23+E23</f>
        <v>65</v>
      </c>
      <c r="G23" s="114">
        <f>ROUND(H22*$C$7, 0)</f>
        <v>41</v>
      </c>
      <c r="H23" s="114">
        <f>H22+F23-G23</f>
        <v>189</v>
      </c>
      <c r="I23" s="113">
        <f>H23*149</f>
        <v>28161</v>
      </c>
      <c r="J23" s="113">
        <f>(H23*45)+(I23*0.029)+C23+275</f>
        <v>25596.669000000002</v>
      </c>
      <c r="K23" s="115">
        <f>I23-J23</f>
        <v>2564.3309999999983</v>
      </c>
      <c r="L23" s="115">
        <f>L22+K23</f>
        <v>-4651.5330000000013</v>
      </c>
      <c r="M23" s="113">
        <f>IF(F23&gt;0, C23/F23, 0)</f>
        <v>246.15384615384616</v>
      </c>
      <c r="O23" s="112">
        <v>13</v>
      </c>
      <c r="P23" s="113">
        <f>IF(O23&lt;=12, $P$3+(O23-1)*$P$4, $P$3+11*$P$4+(O23-12)*$P$5)</f>
        <v>30000</v>
      </c>
      <c r="Q23" s="114">
        <f>MAX(ROUND(P23/$P$6, 0), 1)</f>
        <v>111</v>
      </c>
      <c r="R23" s="114">
        <f>ROUND(Q23*0.33, 0)</f>
        <v>37</v>
      </c>
      <c r="S23" s="114">
        <f>Q23+R23</f>
        <v>148</v>
      </c>
      <c r="T23" s="114">
        <f>ROUND(U22*$P$7, 0)</f>
        <v>85</v>
      </c>
      <c r="U23" s="114">
        <f>U22+S23-T23</f>
        <v>489</v>
      </c>
      <c r="V23" s="113">
        <f>U23*149</f>
        <v>72861</v>
      </c>
      <c r="W23" s="113">
        <f>(U23*45)+(V23*0.029)+P23+275</f>
        <v>54392.968999999997</v>
      </c>
      <c r="X23" s="115">
        <f>V23-W23</f>
        <v>18468.031000000003</v>
      </c>
      <c r="Y23" s="115">
        <f>Y22+X23</f>
        <v>63294.742000000013</v>
      </c>
      <c r="Z23" s="113">
        <f>IF(S23&gt;0, P23/S23, 0)</f>
        <v>202.70270270270271</v>
      </c>
      <c r="AB23" s="112">
        <v>13</v>
      </c>
      <c r="AC23" s="113">
        <f>IF(AB23&lt;=12, $AC$3+(AB23-1)*$AC$4, $AC$3+11*$AC$4+(AB23-12)*$AC$5)</f>
        <v>48000</v>
      </c>
      <c r="AD23" s="114">
        <f>MAX(ROUND(AC23/$AC$6, 0), 1)</f>
        <v>218</v>
      </c>
      <c r="AE23" s="114">
        <f>ROUND(AD23*0.4, 0)</f>
        <v>87</v>
      </c>
      <c r="AF23" s="114">
        <f>AD23+AE23</f>
        <v>305</v>
      </c>
      <c r="AG23" s="114">
        <f>ROUND(AH22*$AC$7, 0)</f>
        <v>136</v>
      </c>
      <c r="AH23" s="114">
        <f>AH22+AF23-AG23</f>
        <v>1301</v>
      </c>
      <c r="AI23" s="113">
        <f>AH23*149</f>
        <v>193849</v>
      </c>
      <c r="AJ23" s="113">
        <f>(AH23*45)+(AI23*0.029)+AC23+275</f>
        <v>112441.621</v>
      </c>
      <c r="AK23" s="115">
        <f>AI23-AJ23</f>
        <v>81407.379000000001</v>
      </c>
      <c r="AL23" s="115">
        <f>AL22+AK23</f>
        <v>376821.35200000001</v>
      </c>
      <c r="AM23" s="113">
        <f>IF(AF23&gt;0, AC23/AF23, 0)</f>
        <v>157.37704918032787</v>
      </c>
    </row>
    <row r="24" spans="2:39" hidden="1" outlineLevel="2" x14ac:dyDescent="0.25">
      <c r="B24" s="116">
        <v>14</v>
      </c>
      <c r="C24" s="117">
        <f>IF(B24&lt;=12, $C$3+(B24-1)*$C$4, $C$3+11*$C$4+(B24-12)*$C$5)</f>
        <v>18000</v>
      </c>
      <c r="D24" s="118">
        <f>MAX(ROUND(C24/$C$6, 0), 1)</f>
        <v>60</v>
      </c>
      <c r="E24" s="118">
        <f>ROUND(D24*0.229999999999999, 0)</f>
        <v>14</v>
      </c>
      <c r="F24" s="118">
        <f>D24+E24</f>
        <v>74</v>
      </c>
      <c r="G24" s="118">
        <f>ROUND(H23*$C$7, 0)</f>
        <v>47</v>
      </c>
      <c r="H24" s="118">
        <f>H23+F24-G24</f>
        <v>216</v>
      </c>
      <c r="I24" s="117">
        <f>H24*149</f>
        <v>32184</v>
      </c>
      <c r="J24" s="117">
        <f>(H24*45)+(I24*0.029)+C24+275</f>
        <v>28928.335999999999</v>
      </c>
      <c r="K24" s="119">
        <f>I24-J24</f>
        <v>3255.6640000000007</v>
      </c>
      <c r="L24" s="119">
        <f>L23+K24</f>
        <v>-1395.8690000000006</v>
      </c>
      <c r="M24" s="117">
        <f>IF(F24&gt;0, C24/F24, 0)</f>
        <v>243.24324324324326</v>
      </c>
      <c r="O24" s="116">
        <v>14</v>
      </c>
      <c r="P24" s="117">
        <f>IF(O24&lt;=12, $P$3+(O24-1)*$P$4, $P$3+11*$P$4+(O24-12)*$P$5)</f>
        <v>33000</v>
      </c>
      <c r="Q24" s="118">
        <f>MAX(ROUND(P24/$P$6, 0), 1)</f>
        <v>122</v>
      </c>
      <c r="R24" s="118">
        <f>ROUND(Q24*0.33, 0)</f>
        <v>40</v>
      </c>
      <c r="S24" s="118">
        <f>Q24+R24</f>
        <v>162</v>
      </c>
      <c r="T24" s="118">
        <f>ROUND(U23*$P$7, 0)</f>
        <v>98</v>
      </c>
      <c r="U24" s="118">
        <f>U23+S24-T24</f>
        <v>553</v>
      </c>
      <c r="V24" s="117">
        <f>U24*149</f>
        <v>82397</v>
      </c>
      <c r="W24" s="117">
        <f>(U24*45)+(V24*0.029)+P24+275</f>
        <v>60549.512999999999</v>
      </c>
      <c r="X24" s="119">
        <f>V24-W24</f>
        <v>21847.487000000001</v>
      </c>
      <c r="Y24" s="119">
        <f>Y23+X24</f>
        <v>85142.229000000021</v>
      </c>
      <c r="Z24" s="117">
        <f>IF(S24&gt;0, P24/S24, 0)</f>
        <v>203.7037037037037</v>
      </c>
      <c r="AB24" s="116">
        <v>14</v>
      </c>
      <c r="AC24" s="117">
        <f>IF(AB24&lt;=12, $AC$3+(AB24-1)*$AC$4, $AC$3+11*$AC$4+(AB24-12)*$AC$5)</f>
        <v>53000</v>
      </c>
      <c r="AD24" s="118">
        <f>MAX(ROUND(AC24/$AC$6, 0), 1)</f>
        <v>241</v>
      </c>
      <c r="AE24" s="118">
        <f>ROUND(AD24*0.4, 0)</f>
        <v>96</v>
      </c>
      <c r="AF24" s="118">
        <f>AD24+AE24</f>
        <v>337</v>
      </c>
      <c r="AG24" s="118">
        <f>ROUND(AH23*$AC$7, 0)</f>
        <v>156</v>
      </c>
      <c r="AH24" s="118">
        <f>AH23+AF24-AG24</f>
        <v>1482</v>
      </c>
      <c r="AI24" s="117">
        <f>AH24*149</f>
        <v>220818</v>
      </c>
      <c r="AJ24" s="117">
        <f>(AH24*45)+(AI24*0.029)+AC24+275</f>
        <v>126368.72199999999</v>
      </c>
      <c r="AK24" s="119">
        <f>AI24-AJ24</f>
        <v>94449.278000000006</v>
      </c>
      <c r="AL24" s="119">
        <f>AL23+AK24</f>
        <v>471270.63</v>
      </c>
      <c r="AM24" s="117">
        <f>IF(AF24&gt;0, AC24/AF24, 0)</f>
        <v>157.2700296735905</v>
      </c>
    </row>
    <row r="25" spans="2:39" hidden="1" outlineLevel="2" x14ac:dyDescent="0.25">
      <c r="B25" s="112">
        <v>15</v>
      </c>
      <c r="C25" s="113">
        <f>IF(B25&lt;=12, $C$3+(B25-1)*$C$4, $C$3+11*$C$4+(B25-12)*$C$5)</f>
        <v>20000</v>
      </c>
      <c r="D25" s="114">
        <f>MAX(ROUND(C25/$C$6, 0), 1)</f>
        <v>67</v>
      </c>
      <c r="E25" s="114">
        <f>ROUND(D25*0.229999999999999, 0)</f>
        <v>15</v>
      </c>
      <c r="F25" s="114">
        <f>D25+E25</f>
        <v>82</v>
      </c>
      <c r="G25" s="114">
        <f>ROUND(H24*$C$7, 0)</f>
        <v>54</v>
      </c>
      <c r="H25" s="114">
        <f>H24+F25-G25</f>
        <v>244</v>
      </c>
      <c r="I25" s="113">
        <f>H25*149</f>
        <v>36356</v>
      </c>
      <c r="J25" s="113">
        <f>(H25*45)+(I25*0.029)+C25+275</f>
        <v>32309.324000000001</v>
      </c>
      <c r="K25" s="115">
        <f>I25-J25</f>
        <v>4046.6759999999995</v>
      </c>
      <c r="L25" s="115">
        <f>L24+K25</f>
        <v>2650.8069999999989</v>
      </c>
      <c r="M25" s="113">
        <f>IF(F25&gt;0, C25/F25, 0)</f>
        <v>243.90243902439025</v>
      </c>
      <c r="O25" s="112">
        <v>15</v>
      </c>
      <c r="P25" s="113">
        <f>IF(O25&lt;=12, $P$3+(O25-1)*$P$4, $P$3+11*$P$4+(O25-12)*$P$5)</f>
        <v>36000</v>
      </c>
      <c r="Q25" s="114">
        <f>MAX(ROUND(P25/$P$6, 0), 1)</f>
        <v>133</v>
      </c>
      <c r="R25" s="114">
        <f>ROUND(Q25*0.33, 0)</f>
        <v>44</v>
      </c>
      <c r="S25" s="114">
        <f>Q25+R25</f>
        <v>177</v>
      </c>
      <c r="T25" s="114">
        <f>ROUND(U24*$P$7, 0)</f>
        <v>111</v>
      </c>
      <c r="U25" s="114">
        <f>U24+S25-T25</f>
        <v>619</v>
      </c>
      <c r="V25" s="113">
        <f>U25*149</f>
        <v>92231</v>
      </c>
      <c r="W25" s="113">
        <f>(U25*45)+(V25*0.029)+P25+275</f>
        <v>66804.698999999993</v>
      </c>
      <c r="X25" s="115">
        <f>V25-W25</f>
        <v>25426.301000000007</v>
      </c>
      <c r="Y25" s="115">
        <f>Y24+X25</f>
        <v>110568.53000000003</v>
      </c>
      <c r="Z25" s="113">
        <f>IF(S25&gt;0, P25/S25, 0)</f>
        <v>203.38983050847457</v>
      </c>
      <c r="AB25" s="112">
        <v>15</v>
      </c>
      <c r="AC25" s="113">
        <f>IF(AB25&lt;=12, $AC$3+(AB25-1)*$AC$4, $AC$3+11*$AC$4+(AB25-12)*$AC$5)</f>
        <v>58000</v>
      </c>
      <c r="AD25" s="114">
        <f>MAX(ROUND(AC25/$AC$6, 0), 1)</f>
        <v>264</v>
      </c>
      <c r="AE25" s="114">
        <f>ROUND(AD25*0.4, 0)</f>
        <v>106</v>
      </c>
      <c r="AF25" s="114">
        <f>AD25+AE25</f>
        <v>370</v>
      </c>
      <c r="AG25" s="114">
        <f>ROUND(AH24*$AC$7, 0)</f>
        <v>178</v>
      </c>
      <c r="AH25" s="114">
        <f>AH24+AF25-AG25</f>
        <v>1674</v>
      </c>
      <c r="AI25" s="113">
        <f>AH25*149</f>
        <v>249426</v>
      </c>
      <c r="AJ25" s="113">
        <f>(AH25*45)+(AI25*0.029)+AC25+275</f>
        <v>140838.35399999999</v>
      </c>
      <c r="AK25" s="115">
        <f>AI25-AJ25</f>
        <v>108587.64600000001</v>
      </c>
      <c r="AL25" s="115">
        <f>AL24+AK25</f>
        <v>579858.27600000007</v>
      </c>
      <c r="AM25" s="113">
        <f>IF(AF25&gt;0, AC25/AF25, 0)</f>
        <v>156.75675675675674</v>
      </c>
    </row>
    <row r="26" spans="2:39" hidden="1" outlineLevel="2" x14ac:dyDescent="0.25">
      <c r="B26" s="116">
        <v>16</v>
      </c>
      <c r="C26" s="117">
        <f>IF(B26&lt;=12, $C$3+(B26-1)*$C$4, $C$3+11*$C$4+(B26-12)*$C$5)</f>
        <v>22000</v>
      </c>
      <c r="D26" s="118">
        <f>MAX(ROUND(C26/$C$6, 0), 1)</f>
        <v>73</v>
      </c>
      <c r="E26" s="118">
        <f>ROUND(D26*0.229999999999999, 0)</f>
        <v>17</v>
      </c>
      <c r="F26" s="118">
        <f>D26+E26</f>
        <v>90</v>
      </c>
      <c r="G26" s="118">
        <f>ROUND(H25*$C$7, 0)</f>
        <v>61</v>
      </c>
      <c r="H26" s="118">
        <f>H25+F26-G26</f>
        <v>273</v>
      </c>
      <c r="I26" s="117">
        <f>H26*149</f>
        <v>40677</v>
      </c>
      <c r="J26" s="117">
        <f>(H26*45)+(I26*0.029)+C26+275</f>
        <v>35739.633000000002</v>
      </c>
      <c r="K26" s="119">
        <f>I26-J26</f>
        <v>4937.3669999999984</v>
      </c>
      <c r="L26" s="119">
        <f>L25+K26</f>
        <v>7588.1739999999972</v>
      </c>
      <c r="M26" s="117">
        <f>IF(F26&gt;0, C26/F26, 0)</f>
        <v>244.44444444444446</v>
      </c>
      <c r="O26" s="116">
        <v>16</v>
      </c>
      <c r="P26" s="117">
        <f>IF(O26&lt;=12, $P$3+(O26-1)*$P$4, $P$3+11*$P$4+(O26-12)*$P$5)</f>
        <v>39000</v>
      </c>
      <c r="Q26" s="118">
        <f>MAX(ROUND(P26/$P$6, 0), 1)</f>
        <v>144</v>
      </c>
      <c r="R26" s="118">
        <f>ROUND(Q26*0.33, 0)</f>
        <v>48</v>
      </c>
      <c r="S26" s="118">
        <f>Q26+R26</f>
        <v>192</v>
      </c>
      <c r="T26" s="118">
        <f>ROUND(U25*$P$7, 0)</f>
        <v>124</v>
      </c>
      <c r="U26" s="118">
        <f>U25+S26-T26</f>
        <v>687</v>
      </c>
      <c r="V26" s="117">
        <f>U26*149</f>
        <v>102363</v>
      </c>
      <c r="W26" s="117">
        <f>(U26*45)+(V26*0.029)+P26+275</f>
        <v>73158.527000000002</v>
      </c>
      <c r="X26" s="119">
        <f>V26-W26</f>
        <v>29204.472999999998</v>
      </c>
      <c r="Y26" s="119">
        <f>Y25+X26</f>
        <v>139773.00300000003</v>
      </c>
      <c r="Z26" s="117">
        <f>IF(S26&gt;0, P26/S26, 0)</f>
        <v>203.125</v>
      </c>
      <c r="AB26" s="116">
        <v>16</v>
      </c>
      <c r="AC26" s="117">
        <f>IF(AB26&lt;=12, $AC$3+(AB26-1)*$AC$4, $AC$3+11*$AC$4+(AB26-12)*$AC$5)</f>
        <v>63000</v>
      </c>
      <c r="AD26" s="118">
        <f>MAX(ROUND(AC26/$AC$6, 0), 1)</f>
        <v>286</v>
      </c>
      <c r="AE26" s="118">
        <f>ROUND(AD26*0.4, 0)</f>
        <v>114</v>
      </c>
      <c r="AF26" s="118">
        <f>AD26+AE26</f>
        <v>400</v>
      </c>
      <c r="AG26" s="118">
        <f>ROUND(AH25*$AC$7, 0)</f>
        <v>201</v>
      </c>
      <c r="AH26" s="118">
        <f>AH25+AF26-AG26</f>
        <v>1873</v>
      </c>
      <c r="AI26" s="117">
        <f>AH26*149</f>
        <v>279077</v>
      </c>
      <c r="AJ26" s="117">
        <f>(AH26*45)+(AI26*0.029)+AC26+275</f>
        <v>155653.23300000001</v>
      </c>
      <c r="AK26" s="119">
        <f>AI26-AJ26</f>
        <v>123423.76699999999</v>
      </c>
      <c r="AL26" s="119">
        <f>AL25+AK26</f>
        <v>703282.04300000006</v>
      </c>
      <c r="AM26" s="117">
        <f>IF(AF26&gt;0, AC26/AF26, 0)</f>
        <v>157.5</v>
      </c>
    </row>
    <row r="27" spans="2:39" hidden="1" outlineLevel="2" x14ac:dyDescent="0.25">
      <c r="B27" s="112">
        <v>17</v>
      </c>
      <c r="C27" s="113">
        <f>IF(B27&lt;=12, $C$3+(B27-1)*$C$4, $C$3+11*$C$4+(B27-12)*$C$5)</f>
        <v>24000</v>
      </c>
      <c r="D27" s="114">
        <f>MAX(ROUND(C27/$C$6, 0), 1)</f>
        <v>80</v>
      </c>
      <c r="E27" s="114">
        <f>ROUND(D27*0.229999999999999, 0)</f>
        <v>18</v>
      </c>
      <c r="F27" s="114">
        <f>D27+E27</f>
        <v>98</v>
      </c>
      <c r="G27" s="114">
        <f>ROUND(H26*$C$7, 0)</f>
        <v>68</v>
      </c>
      <c r="H27" s="114">
        <f>H26+F27-G27</f>
        <v>303</v>
      </c>
      <c r="I27" s="113">
        <f>H27*149</f>
        <v>45147</v>
      </c>
      <c r="J27" s="113">
        <f>(H27*45)+(I27*0.029)+C27+275</f>
        <v>39219.262999999999</v>
      </c>
      <c r="K27" s="115">
        <f>I27-J27</f>
        <v>5927.737000000001</v>
      </c>
      <c r="L27" s="115">
        <f>L26+K27</f>
        <v>13515.910999999998</v>
      </c>
      <c r="M27" s="113">
        <f>IF(F27&gt;0, C27/F27, 0)</f>
        <v>244.89795918367346</v>
      </c>
      <c r="O27" s="112">
        <v>17</v>
      </c>
      <c r="P27" s="113">
        <f>IF(O27&lt;=12, $P$3+(O27-1)*$P$4, $P$3+11*$P$4+(O27-12)*$P$5)</f>
        <v>42000</v>
      </c>
      <c r="Q27" s="114">
        <f>MAX(ROUND(P27/$P$6, 0), 1)</f>
        <v>156</v>
      </c>
      <c r="R27" s="114">
        <f>ROUND(Q27*0.33, 0)</f>
        <v>51</v>
      </c>
      <c r="S27" s="114">
        <f>Q27+R27</f>
        <v>207</v>
      </c>
      <c r="T27" s="114">
        <f>ROUND(U26*$P$7, 0)</f>
        <v>137</v>
      </c>
      <c r="U27" s="114">
        <f>U26+S27-T27</f>
        <v>757</v>
      </c>
      <c r="V27" s="113">
        <f>U27*149</f>
        <v>112793</v>
      </c>
      <c r="W27" s="113">
        <f>(U27*45)+(V27*0.029)+P27+275</f>
        <v>79610.997000000003</v>
      </c>
      <c r="X27" s="115">
        <f>V27-W27</f>
        <v>33182.002999999997</v>
      </c>
      <c r="Y27" s="115">
        <f>Y26+X27</f>
        <v>172955.00600000002</v>
      </c>
      <c r="Z27" s="113">
        <f>IF(S27&gt;0, P27/S27, 0)</f>
        <v>202.89855072463769</v>
      </c>
      <c r="AB27" s="112">
        <v>17</v>
      </c>
      <c r="AC27" s="113">
        <f>IF(AB27&lt;=12, $AC$3+(AB27-1)*$AC$4, $AC$3+11*$AC$4+(AB27-12)*$AC$5)</f>
        <v>68000</v>
      </c>
      <c r="AD27" s="114">
        <f>MAX(ROUND(AC27/$AC$6, 0), 1)</f>
        <v>309</v>
      </c>
      <c r="AE27" s="114">
        <f>ROUND(AD27*0.4, 0)</f>
        <v>124</v>
      </c>
      <c r="AF27" s="114">
        <f>AD27+AE27</f>
        <v>433</v>
      </c>
      <c r="AG27" s="114">
        <f>ROUND(AH26*$AC$7, 0)</f>
        <v>225</v>
      </c>
      <c r="AH27" s="114">
        <f>AH26+AF27-AG27</f>
        <v>2081</v>
      </c>
      <c r="AI27" s="113">
        <f>AH27*149</f>
        <v>310069</v>
      </c>
      <c r="AJ27" s="113">
        <f>(AH27*45)+(AI27*0.029)+AC27+275</f>
        <v>170912.00099999999</v>
      </c>
      <c r="AK27" s="115">
        <f>AI27-AJ27</f>
        <v>139156.99900000001</v>
      </c>
      <c r="AL27" s="115">
        <f>AL26+AK27</f>
        <v>842439.04200000013</v>
      </c>
      <c r="AM27" s="113">
        <f>IF(AF27&gt;0, AC27/AF27, 0)</f>
        <v>157.04387990762126</v>
      </c>
    </row>
    <row r="28" spans="2:39" hidden="1" outlineLevel="2" x14ac:dyDescent="0.25">
      <c r="B28" s="116">
        <v>18</v>
      </c>
      <c r="C28" s="117">
        <f>IF(B28&lt;=12, $C$3+(B28-1)*$C$4, $C$3+11*$C$4+(B28-12)*$C$5)</f>
        <v>26000</v>
      </c>
      <c r="D28" s="118">
        <f>MAX(ROUND(C28/$C$6, 0), 1)</f>
        <v>87</v>
      </c>
      <c r="E28" s="118">
        <f>ROUND(D28*0.229999999999999, 0)</f>
        <v>20</v>
      </c>
      <c r="F28" s="118">
        <f>D28+E28</f>
        <v>107</v>
      </c>
      <c r="G28" s="118">
        <f>ROUND(H27*$C$7, 0)</f>
        <v>76</v>
      </c>
      <c r="H28" s="118">
        <f>H27+F28-G28</f>
        <v>334</v>
      </c>
      <c r="I28" s="117">
        <f>H28*149</f>
        <v>49766</v>
      </c>
      <c r="J28" s="117">
        <f>(H28*45)+(I28*0.029)+C28+275</f>
        <v>42748.214</v>
      </c>
      <c r="K28" s="119">
        <f>I28-J28</f>
        <v>7017.7860000000001</v>
      </c>
      <c r="L28" s="119">
        <f>L27+K28</f>
        <v>20533.697</v>
      </c>
      <c r="M28" s="117">
        <f>IF(F28&gt;0, C28/F28, 0)</f>
        <v>242.99065420560748</v>
      </c>
      <c r="O28" s="116">
        <v>18</v>
      </c>
      <c r="P28" s="117">
        <f>IF(O28&lt;=12, $P$3+(O28-1)*$P$4, $P$3+11*$P$4+(O28-12)*$P$5)</f>
        <v>45000</v>
      </c>
      <c r="Q28" s="118">
        <f>MAX(ROUND(P28/$P$6, 0), 1)</f>
        <v>167</v>
      </c>
      <c r="R28" s="118">
        <f>ROUND(Q28*0.33, 0)</f>
        <v>55</v>
      </c>
      <c r="S28" s="118">
        <f>Q28+R28</f>
        <v>222</v>
      </c>
      <c r="T28" s="118">
        <f>ROUND(U27*$P$7, 0)</f>
        <v>151</v>
      </c>
      <c r="U28" s="118">
        <f>U27+S28-T28</f>
        <v>828</v>
      </c>
      <c r="V28" s="117">
        <f>U28*149</f>
        <v>123372</v>
      </c>
      <c r="W28" s="117">
        <f>(U28*45)+(V28*0.029)+P28+275</f>
        <v>86112.788</v>
      </c>
      <c r="X28" s="119">
        <f>V28-W28</f>
        <v>37259.212</v>
      </c>
      <c r="Y28" s="119">
        <f>Y27+X28</f>
        <v>210214.21800000002</v>
      </c>
      <c r="Z28" s="117">
        <f>IF(S28&gt;0, P28/S28, 0)</f>
        <v>202.70270270270271</v>
      </c>
      <c r="AB28" s="116">
        <v>18</v>
      </c>
      <c r="AC28" s="117">
        <f>IF(AB28&lt;=12, $AC$3+(AB28-1)*$AC$4, $AC$3+11*$AC$4+(AB28-12)*$AC$5)</f>
        <v>73000</v>
      </c>
      <c r="AD28" s="118">
        <f>MAX(ROUND(AC28/$AC$6, 0), 1)</f>
        <v>332</v>
      </c>
      <c r="AE28" s="118">
        <f>ROUND(AD28*0.4, 0)</f>
        <v>133</v>
      </c>
      <c r="AF28" s="118">
        <f>AD28+AE28</f>
        <v>465</v>
      </c>
      <c r="AG28" s="118">
        <f>ROUND(AH27*$AC$7, 0)</f>
        <v>250</v>
      </c>
      <c r="AH28" s="118">
        <f>AH27+AF28-AG28</f>
        <v>2296</v>
      </c>
      <c r="AI28" s="117">
        <f>AH28*149</f>
        <v>342104</v>
      </c>
      <c r="AJ28" s="117">
        <f>(AH28*45)+(AI28*0.029)+AC28+275</f>
        <v>186516.016</v>
      </c>
      <c r="AK28" s="119">
        <f>AI28-AJ28</f>
        <v>155587.984</v>
      </c>
      <c r="AL28" s="119">
        <f>AL27+AK28</f>
        <v>998027.02600000007</v>
      </c>
      <c r="AM28" s="117">
        <f>IF(AF28&gt;0, AC28/AF28, 0)</f>
        <v>156.98924731182797</v>
      </c>
    </row>
    <row r="29" spans="2:39" hidden="1" outlineLevel="2" x14ac:dyDescent="0.25">
      <c r="B29" s="112">
        <v>19</v>
      </c>
      <c r="C29" s="113">
        <f>IF(B29&lt;=12, $C$3+(B29-1)*$C$4, $C$3+11*$C$4+(B29-12)*$C$5)</f>
        <v>28000</v>
      </c>
      <c r="D29" s="114">
        <f>MAX(ROUND(C29/$C$6, 0), 1)</f>
        <v>93</v>
      </c>
      <c r="E29" s="114">
        <f>ROUND(D29*0.33, 0)</f>
        <v>31</v>
      </c>
      <c r="F29" s="114">
        <f>D29+E29</f>
        <v>124</v>
      </c>
      <c r="G29" s="114">
        <f>ROUND(H28*$C$7, 0)</f>
        <v>84</v>
      </c>
      <c r="H29" s="114">
        <f>H28+F29-G29</f>
        <v>374</v>
      </c>
      <c r="I29" s="113">
        <f>H29*149</f>
        <v>55726</v>
      </c>
      <c r="J29" s="113">
        <f>(H29*45)+(I29*0.029)+C29+275</f>
        <v>46721.054000000004</v>
      </c>
      <c r="K29" s="115">
        <f>I29-J29</f>
        <v>9004.9459999999963</v>
      </c>
      <c r="L29" s="115">
        <f>L28+K29</f>
        <v>29538.642999999996</v>
      </c>
      <c r="M29" s="113">
        <f>IF(F29&gt;0, C29/F29, 0)</f>
        <v>225.80645161290323</v>
      </c>
      <c r="O29" s="112">
        <v>19</v>
      </c>
      <c r="P29" s="113">
        <f>IF(O29&lt;=12, $P$3+(O29-1)*$P$4, $P$3+11*$P$4+(O29-12)*$P$5)</f>
        <v>48000</v>
      </c>
      <c r="Q29" s="114">
        <f>MAX(ROUND(P29/$P$6, 0), 1)</f>
        <v>178</v>
      </c>
      <c r="R29" s="114">
        <f>ROUND(Q29*0.449999999999999, 0)</f>
        <v>80</v>
      </c>
      <c r="S29" s="114">
        <f>Q29+R29</f>
        <v>258</v>
      </c>
      <c r="T29" s="114">
        <f>ROUND(U28*$P$7, 0)</f>
        <v>166</v>
      </c>
      <c r="U29" s="114">
        <f>U28+S29-T29</f>
        <v>920</v>
      </c>
      <c r="V29" s="113">
        <f>U29*149</f>
        <v>137080</v>
      </c>
      <c r="W29" s="113">
        <f>(U29*45)+(V29*0.029)+P29+275</f>
        <v>93650.32</v>
      </c>
      <c r="X29" s="115">
        <f>V29-W29</f>
        <v>43429.679999999993</v>
      </c>
      <c r="Y29" s="115">
        <f>Y28+X29</f>
        <v>253643.89800000002</v>
      </c>
      <c r="Z29" s="113">
        <f>IF(S29&gt;0, P29/S29, 0)</f>
        <v>186.04651162790697</v>
      </c>
      <c r="AB29" s="112">
        <v>19</v>
      </c>
      <c r="AC29" s="113">
        <f>IF(AB29&lt;=12, $AC$3+(AB29-1)*$AC$4, $AC$3+11*$AC$4+(AB29-12)*$AC$5)</f>
        <v>78000</v>
      </c>
      <c r="AD29" s="114">
        <f>MAX(ROUND(AC29/$AC$6, 0), 1)</f>
        <v>355</v>
      </c>
      <c r="AE29" s="114">
        <f>ROUND(AD29*0.52, 0)</f>
        <v>185</v>
      </c>
      <c r="AF29" s="114">
        <f>AD29+AE29</f>
        <v>540</v>
      </c>
      <c r="AG29" s="114">
        <f>ROUND(AH28*$AC$7, 0)</f>
        <v>276</v>
      </c>
      <c r="AH29" s="114">
        <f>AH28+AF29-AG29</f>
        <v>2560</v>
      </c>
      <c r="AI29" s="113">
        <f>AH29*149</f>
        <v>381440</v>
      </c>
      <c r="AJ29" s="113">
        <f>(AH29*45)+(AI29*0.029)+AC29+275</f>
        <v>204536.76</v>
      </c>
      <c r="AK29" s="115">
        <f>AI29-AJ29</f>
        <v>176903.24</v>
      </c>
      <c r="AL29" s="115">
        <f>AL28+AK29</f>
        <v>1174930.2660000001</v>
      </c>
      <c r="AM29" s="113">
        <f>IF(AF29&gt;0, AC29/AF29, 0)</f>
        <v>144.44444444444446</v>
      </c>
    </row>
    <row r="30" spans="2:39" hidden="1" outlineLevel="2" x14ac:dyDescent="0.25">
      <c r="B30" s="116">
        <v>20</v>
      </c>
      <c r="C30" s="117">
        <f>IF(B30&lt;=12, $C$3+(B30-1)*$C$4, $C$3+11*$C$4+(B30-12)*$C$5)</f>
        <v>30000</v>
      </c>
      <c r="D30" s="118">
        <f>MAX(ROUND(C30/$C$6, 0), 1)</f>
        <v>100</v>
      </c>
      <c r="E30" s="118">
        <f>ROUND(D30*0.33, 0)</f>
        <v>33</v>
      </c>
      <c r="F30" s="118">
        <f>D30+E30</f>
        <v>133</v>
      </c>
      <c r="G30" s="118">
        <f>ROUND(H29*$C$7, 0)</f>
        <v>94</v>
      </c>
      <c r="H30" s="118">
        <f>H29+F30-G30</f>
        <v>413</v>
      </c>
      <c r="I30" s="117">
        <f>H30*149</f>
        <v>61537</v>
      </c>
      <c r="J30" s="117">
        <f>(H30*45)+(I30*0.029)+C30+275</f>
        <v>50644.573000000004</v>
      </c>
      <c r="K30" s="119">
        <f>I30-J30</f>
        <v>10892.426999999996</v>
      </c>
      <c r="L30" s="119">
        <f>L29+K30</f>
        <v>40431.069999999992</v>
      </c>
      <c r="M30" s="117">
        <f>IF(F30&gt;0, C30/F30, 0)</f>
        <v>225.5639097744361</v>
      </c>
      <c r="O30" s="116">
        <v>20</v>
      </c>
      <c r="P30" s="117">
        <f>IF(O30&lt;=12, $P$3+(O30-1)*$P$4, $P$3+11*$P$4+(O30-12)*$P$5)</f>
        <v>51000</v>
      </c>
      <c r="Q30" s="118">
        <f>MAX(ROUND(P30/$P$6, 0), 1)</f>
        <v>189</v>
      </c>
      <c r="R30" s="118">
        <f>ROUND(Q30*0.449999999999999, 0)</f>
        <v>85</v>
      </c>
      <c r="S30" s="118">
        <f>Q30+R30</f>
        <v>274</v>
      </c>
      <c r="T30" s="118">
        <f>ROUND(U29*$P$7, 0)</f>
        <v>184</v>
      </c>
      <c r="U30" s="118">
        <f>U29+S30-T30</f>
        <v>1010</v>
      </c>
      <c r="V30" s="117">
        <f>U30*149</f>
        <v>150490</v>
      </c>
      <c r="W30" s="117">
        <f>(U30*45)+(V30*0.029)+P30+275</f>
        <v>101089.20999999999</v>
      </c>
      <c r="X30" s="119">
        <f>V30-W30</f>
        <v>49400.790000000008</v>
      </c>
      <c r="Y30" s="119">
        <f>Y29+X30</f>
        <v>303044.68800000002</v>
      </c>
      <c r="Z30" s="117">
        <f>IF(S30&gt;0, P30/S30, 0)</f>
        <v>186.13138686131387</v>
      </c>
      <c r="AB30" s="116">
        <v>20</v>
      </c>
      <c r="AC30" s="117">
        <f>IF(AB30&lt;=12, $AC$3+(AB30-1)*$AC$4, $AC$3+11*$AC$4+(AB30-12)*$AC$5)</f>
        <v>83000</v>
      </c>
      <c r="AD30" s="118">
        <f>MAX(ROUND(AC30/$AC$6, 0), 1)</f>
        <v>377</v>
      </c>
      <c r="AE30" s="118">
        <f>ROUND(AD30*0.52, 0)</f>
        <v>196</v>
      </c>
      <c r="AF30" s="118">
        <f>AD30+AE30</f>
        <v>573</v>
      </c>
      <c r="AG30" s="118">
        <f>ROUND(AH29*$AC$7, 0)</f>
        <v>307</v>
      </c>
      <c r="AH30" s="118">
        <f>AH29+AF30-AG30</f>
        <v>2826</v>
      </c>
      <c r="AI30" s="117">
        <f>AH30*149</f>
        <v>421074</v>
      </c>
      <c r="AJ30" s="117">
        <f>(AH30*45)+(AI30*0.029)+AC30+275</f>
        <v>222656.14600000001</v>
      </c>
      <c r="AK30" s="119">
        <f>AI30-AJ30</f>
        <v>198417.85399999999</v>
      </c>
      <c r="AL30" s="119">
        <f>AL29+AK30</f>
        <v>1373348.12</v>
      </c>
      <c r="AM30" s="117">
        <f>IF(AF30&gt;0, AC30/AF30, 0)</f>
        <v>144.85165794066319</v>
      </c>
    </row>
    <row r="31" spans="2:39" hidden="1" outlineLevel="2" x14ac:dyDescent="0.25">
      <c r="B31" s="112">
        <v>21</v>
      </c>
      <c r="C31" s="113">
        <f>IF(B31&lt;=12, $C$3+(B31-1)*$C$4, $C$3+11*$C$4+(B31-12)*$C$5)</f>
        <v>32000</v>
      </c>
      <c r="D31" s="114">
        <f>MAX(ROUND(C31/$C$6, 0), 1)</f>
        <v>107</v>
      </c>
      <c r="E31" s="114">
        <f>ROUND(D31*0.33, 0)</f>
        <v>35</v>
      </c>
      <c r="F31" s="114">
        <f>D31+E31</f>
        <v>142</v>
      </c>
      <c r="G31" s="114">
        <f>ROUND(H30*$C$7, 0)</f>
        <v>103</v>
      </c>
      <c r="H31" s="114">
        <f>H30+F31-G31</f>
        <v>452</v>
      </c>
      <c r="I31" s="113">
        <f>H31*149</f>
        <v>67348</v>
      </c>
      <c r="J31" s="113">
        <f>(H31*45)+(I31*0.029)+C31+275</f>
        <v>54568.092000000004</v>
      </c>
      <c r="K31" s="115">
        <f>I31-J31</f>
        <v>12779.907999999996</v>
      </c>
      <c r="L31" s="115">
        <f>L30+K31</f>
        <v>53210.977999999988</v>
      </c>
      <c r="M31" s="113">
        <f>IF(F31&gt;0, C31/F31, 0)</f>
        <v>225.35211267605635</v>
      </c>
      <c r="O31" s="112">
        <v>21</v>
      </c>
      <c r="P31" s="113">
        <f>IF(O31&lt;=12, $P$3+(O31-1)*$P$4, $P$3+11*$P$4+(O31-12)*$P$5)</f>
        <v>54000</v>
      </c>
      <c r="Q31" s="114">
        <f>MAX(ROUND(P31/$P$6, 0), 1)</f>
        <v>200</v>
      </c>
      <c r="R31" s="114">
        <f>ROUND(Q31*0.449999999999999, 0)</f>
        <v>90</v>
      </c>
      <c r="S31" s="114">
        <f>Q31+R31</f>
        <v>290</v>
      </c>
      <c r="T31" s="114">
        <f>ROUND(U30*$P$7, 0)</f>
        <v>202</v>
      </c>
      <c r="U31" s="114">
        <f>U30+S31-T31</f>
        <v>1098</v>
      </c>
      <c r="V31" s="113">
        <f>U31*149</f>
        <v>163602</v>
      </c>
      <c r="W31" s="113">
        <f>(U31*45)+(V31*0.029)+P31+275</f>
        <v>108429.458</v>
      </c>
      <c r="X31" s="115">
        <f>V31-W31</f>
        <v>55172.542000000001</v>
      </c>
      <c r="Y31" s="115">
        <f>Y30+X31</f>
        <v>358217.23000000004</v>
      </c>
      <c r="Z31" s="113">
        <f>IF(S31&gt;0, P31/S31, 0)</f>
        <v>186.20689655172413</v>
      </c>
      <c r="AB31" s="112">
        <v>21</v>
      </c>
      <c r="AC31" s="113">
        <f>IF(AB31&lt;=12, $AC$3+(AB31-1)*$AC$4, $AC$3+11*$AC$4+(AB31-12)*$AC$5)</f>
        <v>88000</v>
      </c>
      <c r="AD31" s="114">
        <f>MAX(ROUND(AC31/$AC$6, 0), 1)</f>
        <v>400</v>
      </c>
      <c r="AE31" s="114">
        <f>ROUND(AD31*0.52, 0)</f>
        <v>208</v>
      </c>
      <c r="AF31" s="114">
        <f>AD31+AE31</f>
        <v>608</v>
      </c>
      <c r="AG31" s="114">
        <f>ROUND(AH30*$AC$7, 0)</f>
        <v>339</v>
      </c>
      <c r="AH31" s="114">
        <f>AH30+AF31-AG31</f>
        <v>3095</v>
      </c>
      <c r="AI31" s="113">
        <f>AH31*149</f>
        <v>461155</v>
      </c>
      <c r="AJ31" s="113">
        <f>(AH31*45)+(AI31*0.029)+AC31+275</f>
        <v>240923.495</v>
      </c>
      <c r="AK31" s="115">
        <f>AI31-AJ31</f>
        <v>220231.505</v>
      </c>
      <c r="AL31" s="115">
        <f>AL30+AK31</f>
        <v>1593579.625</v>
      </c>
      <c r="AM31" s="113">
        <f>IF(AF31&gt;0, AC31/AF31, 0)</f>
        <v>144.73684210526315</v>
      </c>
    </row>
    <row r="32" spans="2:39" hidden="1" outlineLevel="2" x14ac:dyDescent="0.25">
      <c r="B32" s="116">
        <v>22</v>
      </c>
      <c r="C32" s="117">
        <f>IF(B32&lt;=12, $C$3+(B32-1)*$C$4, $C$3+11*$C$4+(B32-12)*$C$5)</f>
        <v>34000</v>
      </c>
      <c r="D32" s="118">
        <f>MAX(ROUND(C32/$C$6, 0), 1)</f>
        <v>113</v>
      </c>
      <c r="E32" s="118">
        <f>ROUND(D32*0.33, 0)</f>
        <v>37</v>
      </c>
      <c r="F32" s="118">
        <f>D32+E32</f>
        <v>150</v>
      </c>
      <c r="G32" s="118">
        <f>ROUND(H31*$C$7, 0)</f>
        <v>113</v>
      </c>
      <c r="H32" s="118">
        <f>H31+F32-G32</f>
        <v>489</v>
      </c>
      <c r="I32" s="117">
        <f>H32*149</f>
        <v>72861</v>
      </c>
      <c r="J32" s="117">
        <f>(H32*45)+(I32*0.029)+C32+275</f>
        <v>58392.968999999997</v>
      </c>
      <c r="K32" s="119">
        <f>I32-J32</f>
        <v>14468.031000000003</v>
      </c>
      <c r="L32" s="119">
        <f>L31+K32</f>
        <v>67679.008999999991</v>
      </c>
      <c r="M32" s="117">
        <f>IF(F32&gt;0, C32/F32, 0)</f>
        <v>226.66666666666666</v>
      </c>
      <c r="O32" s="116">
        <v>22</v>
      </c>
      <c r="P32" s="117">
        <f>IF(O32&lt;=12, $P$3+(O32-1)*$P$4, $P$3+11*$P$4+(O32-12)*$P$5)</f>
        <v>57000</v>
      </c>
      <c r="Q32" s="118">
        <f>MAX(ROUND(P32/$P$6, 0), 1)</f>
        <v>211</v>
      </c>
      <c r="R32" s="118">
        <f>ROUND(Q32*0.449999999999999, 0)</f>
        <v>95</v>
      </c>
      <c r="S32" s="118">
        <f>Q32+R32</f>
        <v>306</v>
      </c>
      <c r="T32" s="118">
        <f>ROUND(U31*$P$7, 0)</f>
        <v>220</v>
      </c>
      <c r="U32" s="118">
        <f>U31+S32-T32</f>
        <v>1184</v>
      </c>
      <c r="V32" s="117">
        <f>U32*149</f>
        <v>176416</v>
      </c>
      <c r="W32" s="117">
        <f>(U32*45)+(V32*0.029)+P32+275</f>
        <v>115671.064</v>
      </c>
      <c r="X32" s="119">
        <f>V32-W32</f>
        <v>60744.936000000002</v>
      </c>
      <c r="Y32" s="119">
        <f>Y31+X32</f>
        <v>418962.16600000003</v>
      </c>
      <c r="Z32" s="117">
        <f>IF(S32&gt;0, P32/S32, 0)</f>
        <v>186.27450980392157</v>
      </c>
      <c r="AB32" s="116">
        <v>22</v>
      </c>
      <c r="AC32" s="117">
        <f>IF(AB32&lt;=12, $AC$3+(AB32-1)*$AC$4, $AC$3+11*$AC$4+(AB32-12)*$AC$5)</f>
        <v>93000</v>
      </c>
      <c r="AD32" s="118">
        <f>MAX(ROUND(AC32/$AC$6, 0), 1)</f>
        <v>423</v>
      </c>
      <c r="AE32" s="118">
        <f>ROUND(AD32*0.52, 0)</f>
        <v>220</v>
      </c>
      <c r="AF32" s="118">
        <f>AD32+AE32</f>
        <v>643</v>
      </c>
      <c r="AG32" s="118">
        <f>ROUND(AH31*$AC$7, 0)</f>
        <v>371</v>
      </c>
      <c r="AH32" s="118">
        <f>AH31+AF32-AG32</f>
        <v>3367</v>
      </c>
      <c r="AI32" s="117">
        <f>AH32*149</f>
        <v>501683</v>
      </c>
      <c r="AJ32" s="117">
        <f>(AH32*45)+(AI32*0.029)+AC32+275</f>
        <v>259338.807</v>
      </c>
      <c r="AK32" s="119">
        <f>AI32-AJ32</f>
        <v>242344.193</v>
      </c>
      <c r="AL32" s="119">
        <f>AL31+AK32</f>
        <v>1835923.818</v>
      </c>
      <c r="AM32" s="117">
        <f>IF(AF32&gt;0, AC32/AF32, 0)</f>
        <v>144.63452566096424</v>
      </c>
    </row>
    <row r="33" spans="2:39" hidden="1" outlineLevel="2" x14ac:dyDescent="0.25">
      <c r="B33" s="112">
        <v>23</v>
      </c>
      <c r="C33" s="113">
        <f>IF(B33&lt;=12, $C$3+(B33-1)*$C$4, $C$3+11*$C$4+(B33-12)*$C$5)</f>
        <v>36000</v>
      </c>
      <c r="D33" s="114">
        <f>MAX(ROUND(C33/$C$6, 0), 1)</f>
        <v>120</v>
      </c>
      <c r="E33" s="114">
        <f>ROUND(D33*0.33, 0)</f>
        <v>40</v>
      </c>
      <c r="F33" s="114">
        <f>D33+E33</f>
        <v>160</v>
      </c>
      <c r="G33" s="114">
        <f>ROUND(H32*$C$7, 0)</f>
        <v>122</v>
      </c>
      <c r="H33" s="114">
        <f>H32+F33-G33</f>
        <v>527</v>
      </c>
      <c r="I33" s="113">
        <f>H33*149</f>
        <v>78523</v>
      </c>
      <c r="J33" s="113">
        <f>(H33*45)+(I33*0.029)+C33+275</f>
        <v>62267.167000000001</v>
      </c>
      <c r="K33" s="115">
        <f>I33-J33</f>
        <v>16255.832999999999</v>
      </c>
      <c r="L33" s="115">
        <f>L32+K33</f>
        <v>83934.84199999999</v>
      </c>
      <c r="M33" s="113">
        <f>IF(F33&gt;0, C33/F33, 0)</f>
        <v>225</v>
      </c>
      <c r="O33" s="112">
        <v>23</v>
      </c>
      <c r="P33" s="113">
        <f>IF(O33&lt;=12, $P$3+(O33-1)*$P$4, $P$3+11*$P$4+(O33-12)*$P$5)</f>
        <v>60000</v>
      </c>
      <c r="Q33" s="114">
        <f>MAX(ROUND(P33/$P$6, 0), 1)</f>
        <v>222</v>
      </c>
      <c r="R33" s="114">
        <f>ROUND(Q33*0.449999999999999, 0)</f>
        <v>100</v>
      </c>
      <c r="S33" s="114">
        <f>Q33+R33</f>
        <v>322</v>
      </c>
      <c r="T33" s="114">
        <f>ROUND(U32*$P$7, 0)</f>
        <v>237</v>
      </c>
      <c r="U33" s="114">
        <f>U32+S33-T33</f>
        <v>1269</v>
      </c>
      <c r="V33" s="113">
        <f>U33*149</f>
        <v>189081</v>
      </c>
      <c r="W33" s="113">
        <f>(U33*45)+(V33*0.029)+P33+275</f>
        <v>122863.349</v>
      </c>
      <c r="X33" s="115">
        <f>V33-W33</f>
        <v>66217.650999999998</v>
      </c>
      <c r="Y33" s="115">
        <f>Y32+X33</f>
        <v>485179.81700000004</v>
      </c>
      <c r="Z33" s="113">
        <f>IF(S33&gt;0, P33/S33, 0)</f>
        <v>186.33540372670808</v>
      </c>
      <c r="AB33" s="112">
        <v>23</v>
      </c>
      <c r="AC33" s="113">
        <f>IF(AB33&lt;=12, $AC$3+(AB33-1)*$AC$4, $AC$3+11*$AC$4+(AB33-12)*$AC$5)</f>
        <v>98000</v>
      </c>
      <c r="AD33" s="114">
        <f>MAX(ROUND(AC33/$AC$6, 0), 1)</f>
        <v>445</v>
      </c>
      <c r="AE33" s="114">
        <f>ROUND(AD33*0.52, 0)</f>
        <v>231</v>
      </c>
      <c r="AF33" s="114">
        <f>AD33+AE33</f>
        <v>676</v>
      </c>
      <c r="AG33" s="114">
        <f>ROUND(AH32*$AC$7, 0)</f>
        <v>404</v>
      </c>
      <c r="AH33" s="114">
        <f>AH32+AF33-AG33</f>
        <v>3639</v>
      </c>
      <c r="AI33" s="113">
        <f>AH33*149</f>
        <v>542211</v>
      </c>
      <c r="AJ33" s="113">
        <f>(AH33*45)+(AI33*0.029)+AC33+275</f>
        <v>277754.11900000001</v>
      </c>
      <c r="AK33" s="115">
        <f>AI33-AJ33</f>
        <v>264456.88099999999</v>
      </c>
      <c r="AL33" s="115">
        <f>AL32+AK33</f>
        <v>2100380.699</v>
      </c>
      <c r="AM33" s="113">
        <f>IF(AF33&gt;0, AC33/AF33, 0)</f>
        <v>144.97041420118344</v>
      </c>
    </row>
    <row r="34" spans="2:39" hidden="1" outlineLevel="2" x14ac:dyDescent="0.25">
      <c r="B34" s="116">
        <v>24</v>
      </c>
      <c r="C34" s="117">
        <f>IF(B34&lt;=12, $C$3+(B34-1)*$C$4, $C$3+11*$C$4+(B34-12)*$C$5)</f>
        <v>38000</v>
      </c>
      <c r="D34" s="118">
        <f>MAX(ROUND(C34/$C$6, 0), 1)</f>
        <v>127</v>
      </c>
      <c r="E34" s="118">
        <f>ROUND(D34*0.33, 0)</f>
        <v>42</v>
      </c>
      <c r="F34" s="118">
        <f>D34+E34</f>
        <v>169</v>
      </c>
      <c r="G34" s="118">
        <f>ROUND(H33*$C$7, 0)</f>
        <v>132</v>
      </c>
      <c r="H34" s="118">
        <f>H33+F34-G34</f>
        <v>564</v>
      </c>
      <c r="I34" s="117">
        <f>H34*149</f>
        <v>84036</v>
      </c>
      <c r="J34" s="117">
        <f>(H34*45)+(I34*0.029)+C34+275</f>
        <v>66092.043999999994</v>
      </c>
      <c r="K34" s="119">
        <f>I34-J34</f>
        <v>17943.956000000006</v>
      </c>
      <c r="L34" s="119">
        <f>L33+K34</f>
        <v>101878.798</v>
      </c>
      <c r="M34" s="117">
        <f>IF(F34&gt;0, C34/F34, 0)</f>
        <v>224.85207100591717</v>
      </c>
      <c r="O34" s="116">
        <v>24</v>
      </c>
      <c r="P34" s="117">
        <f>IF(O34&lt;=12, $P$3+(O34-1)*$P$4, $P$3+11*$P$4+(O34-12)*$P$5)</f>
        <v>63000</v>
      </c>
      <c r="Q34" s="118">
        <f>MAX(ROUND(P34/$P$6, 0), 1)</f>
        <v>233</v>
      </c>
      <c r="R34" s="118">
        <f>ROUND(Q34*0.449999999999999, 0)</f>
        <v>105</v>
      </c>
      <c r="S34" s="118">
        <f>Q34+R34</f>
        <v>338</v>
      </c>
      <c r="T34" s="118">
        <f>ROUND(U33*$P$7, 0)</f>
        <v>254</v>
      </c>
      <c r="U34" s="118">
        <f>U33+S34-T34</f>
        <v>1353</v>
      </c>
      <c r="V34" s="117">
        <f>U34*149</f>
        <v>201597</v>
      </c>
      <c r="W34" s="117">
        <f>(U34*45)+(V34*0.029)+P34+275</f>
        <v>130006.31299999999</v>
      </c>
      <c r="X34" s="119">
        <f>V34-W34</f>
        <v>71590.687000000005</v>
      </c>
      <c r="Y34" s="119">
        <f>Y33+X34</f>
        <v>556770.50400000007</v>
      </c>
      <c r="Z34" s="117">
        <f>IF(S34&gt;0, P34/S34, 0)</f>
        <v>186.39053254437869</v>
      </c>
      <c r="AB34" s="116">
        <v>24</v>
      </c>
      <c r="AC34" s="117">
        <f>IF(AB34&lt;=12, $AC$3+(AB34-1)*$AC$4, $AC$3+11*$AC$4+(AB34-12)*$AC$5)</f>
        <v>103000</v>
      </c>
      <c r="AD34" s="118">
        <f>MAX(ROUND(AC34/$AC$6, 0), 1)</f>
        <v>468</v>
      </c>
      <c r="AE34" s="118">
        <f>ROUND(AD34*0.52, 0)</f>
        <v>243</v>
      </c>
      <c r="AF34" s="118">
        <f>AD34+AE34</f>
        <v>711</v>
      </c>
      <c r="AG34" s="118">
        <f>ROUND(AH33*$AC$7, 0)</f>
        <v>437</v>
      </c>
      <c r="AH34" s="118">
        <f>AH33+AF34-AG34</f>
        <v>3913</v>
      </c>
      <c r="AI34" s="117">
        <f>AH34*149</f>
        <v>583037</v>
      </c>
      <c r="AJ34" s="117">
        <f>(AH34*45)+(AI34*0.029)+AC34+275</f>
        <v>296268.07299999997</v>
      </c>
      <c r="AK34" s="119">
        <f>AI34-AJ34</f>
        <v>286768.92700000003</v>
      </c>
      <c r="AL34" s="119">
        <f>AL33+AK34</f>
        <v>2387149.6260000002</v>
      </c>
      <c r="AM34" s="117">
        <f>IF(AF34&gt;0, AC34/AF34, 0)</f>
        <v>144.86638537271449</v>
      </c>
    </row>
    <row r="35" spans="2:39" hidden="1" outlineLevel="2" x14ac:dyDescent="0.25"/>
    <row r="36" spans="2:39" ht="15" hidden="1" customHeight="1" outlineLevel="2" x14ac:dyDescent="0.25">
      <c r="B36" s="108" t="s">
        <v>17</v>
      </c>
      <c r="C36" s="72"/>
      <c r="D36" s="72"/>
      <c r="E36" s="72"/>
      <c r="F36" s="72"/>
      <c r="G36" s="72"/>
      <c r="H36" s="72"/>
      <c r="I36" s="72"/>
      <c r="J36" s="72"/>
      <c r="K36" s="72"/>
      <c r="L36" s="72"/>
      <c r="M36" s="72"/>
      <c r="O36" s="108" t="s">
        <v>17</v>
      </c>
      <c r="P36" s="72"/>
      <c r="Q36" s="72"/>
      <c r="R36" s="72"/>
      <c r="S36" s="72"/>
      <c r="T36" s="72"/>
      <c r="U36" s="72"/>
      <c r="V36" s="72"/>
      <c r="W36" s="72"/>
      <c r="X36" s="72"/>
      <c r="Y36" s="72"/>
      <c r="Z36" s="72"/>
      <c r="AB36" s="108" t="s">
        <v>17</v>
      </c>
      <c r="AC36" s="72"/>
      <c r="AD36" s="72"/>
      <c r="AE36" s="72"/>
      <c r="AF36" s="72"/>
      <c r="AG36" s="72"/>
      <c r="AH36" s="72"/>
      <c r="AI36" s="72"/>
      <c r="AJ36" s="72"/>
      <c r="AK36" s="72"/>
      <c r="AL36" s="72"/>
      <c r="AM36" s="72"/>
    </row>
    <row r="37" spans="2:39" hidden="1" outlineLevel="2" x14ac:dyDescent="0.25">
      <c r="B37" s="29" t="s">
        <v>168</v>
      </c>
      <c r="C37" s="63">
        <f>SUM(I11:I22)</f>
        <v>146616</v>
      </c>
      <c r="O37" s="29" t="s">
        <v>168</v>
      </c>
      <c r="P37" s="63">
        <f>SUM(V11:V22)</f>
        <v>358941</v>
      </c>
      <c r="AB37" s="29" t="s">
        <v>168</v>
      </c>
      <c r="AC37" s="63">
        <f>SUM(AI11:AI22)</f>
        <v>921863</v>
      </c>
    </row>
    <row r="38" spans="2:39" hidden="1" outlineLevel="2" x14ac:dyDescent="0.25">
      <c r="B38" s="40" t="s">
        <v>169</v>
      </c>
      <c r="C38" s="64">
        <f>SUM(I23:I34)</f>
        <v>652322</v>
      </c>
      <c r="O38" s="40" t="s">
        <v>169</v>
      </c>
      <c r="P38" s="64">
        <f>SUM(V23:V34)</f>
        <v>1604283</v>
      </c>
      <c r="AB38" s="40" t="s">
        <v>169</v>
      </c>
      <c r="AC38" s="64">
        <f>SUM(AI23:AI34)</f>
        <v>4485943</v>
      </c>
    </row>
    <row r="39" spans="2:39" hidden="1" outlineLevel="2" x14ac:dyDescent="0.25">
      <c r="B39" s="29" t="s">
        <v>150</v>
      </c>
      <c r="C39" s="63">
        <f>SUM(I11:I34)</f>
        <v>798938</v>
      </c>
      <c r="O39" s="29" t="s">
        <v>150</v>
      </c>
      <c r="P39" s="63">
        <f>SUM(V11:V34)</f>
        <v>1963224</v>
      </c>
      <c r="AB39" s="29" t="s">
        <v>150</v>
      </c>
      <c r="AC39" s="63">
        <f>SUM(AI11:AI34)</f>
        <v>5407806</v>
      </c>
    </row>
    <row r="40" spans="2:39" hidden="1" outlineLevel="2" x14ac:dyDescent="0.25">
      <c r="B40" s="40" t="s">
        <v>153</v>
      </c>
      <c r="C40" s="64">
        <f>SUM(J11:J22)</f>
        <v>153831.86399999997</v>
      </c>
      <c r="O40" s="40" t="s">
        <v>153</v>
      </c>
      <c r="P40" s="64">
        <f>SUM(W11:W22)</f>
        <v>314114.28899999999</v>
      </c>
      <c r="AB40" s="40" t="s">
        <v>153</v>
      </c>
      <c r="AC40" s="64">
        <f>SUM(AJ11:AJ22)</f>
        <v>626449.027</v>
      </c>
    </row>
    <row r="41" spans="2:39" hidden="1" outlineLevel="2" x14ac:dyDescent="0.25">
      <c r="B41" s="29" t="s">
        <v>154</v>
      </c>
      <c r="C41" s="63">
        <f>SUM(J23:J34)</f>
        <v>543227.33799999999</v>
      </c>
      <c r="O41" s="29" t="s">
        <v>154</v>
      </c>
      <c r="P41" s="63">
        <f>SUM(W23:W34)</f>
        <v>1092339.2069999999</v>
      </c>
      <c r="AB41" s="29" t="s">
        <v>154</v>
      </c>
      <c r="AC41" s="63">
        <f>SUM(AJ23:AJ34)</f>
        <v>2394207.3469999996</v>
      </c>
    </row>
    <row r="42" spans="2:39" hidden="1" outlineLevel="2" x14ac:dyDescent="0.25">
      <c r="B42" s="40" t="s">
        <v>229</v>
      </c>
      <c r="C42" s="56">
        <f>L34</f>
        <v>101878.798</v>
      </c>
      <c r="O42" s="40" t="s">
        <v>229</v>
      </c>
      <c r="P42" s="56">
        <f>Y34</f>
        <v>556770.50400000007</v>
      </c>
      <c r="AB42" s="40" t="s">
        <v>229</v>
      </c>
      <c r="AC42" s="56">
        <f>AL34</f>
        <v>2387149.6260000002</v>
      </c>
    </row>
    <row r="43" spans="2:39" hidden="1" outlineLevel="2" x14ac:dyDescent="0.25">
      <c r="B43" s="93" t="s">
        <v>230</v>
      </c>
      <c r="C43" s="94">
        <f>SUM(C11:C22)</f>
        <v>102000</v>
      </c>
      <c r="O43" s="93" t="s">
        <v>230</v>
      </c>
      <c r="P43" s="94">
        <f>SUM(P11:P22)</f>
        <v>192000</v>
      </c>
      <c r="AB43" s="93" t="s">
        <v>230</v>
      </c>
      <c r="AC43" s="94">
        <f>SUM(AC11:AC22)</f>
        <v>318000</v>
      </c>
    </row>
    <row r="44" spans="2:39" hidden="1" outlineLevel="2" x14ac:dyDescent="0.25">
      <c r="B44" s="93" t="s">
        <v>231</v>
      </c>
      <c r="C44" s="94">
        <f>SUM(C23:C34)</f>
        <v>324000</v>
      </c>
      <c r="O44" s="93" t="s">
        <v>231</v>
      </c>
      <c r="P44" s="94">
        <f>SUM(P23:P34)</f>
        <v>558000</v>
      </c>
      <c r="AB44" s="93" t="s">
        <v>231</v>
      </c>
      <c r="AC44" s="94">
        <f>SUM(AC23:AC34)</f>
        <v>906000</v>
      </c>
    </row>
    <row r="45" spans="2:39" collapsed="1" x14ac:dyDescent="0.25">
      <c r="B45" s="93" t="s">
        <v>232</v>
      </c>
      <c r="C45" s="94">
        <f>SUM(C11:C34)</f>
        <v>426000</v>
      </c>
      <c r="O45" s="93" t="s">
        <v>232</v>
      </c>
      <c r="P45" s="94">
        <f>SUM(P11:P34)</f>
        <v>750000</v>
      </c>
      <c r="AB45" s="93" t="s">
        <v>232</v>
      </c>
      <c r="AC45" s="94">
        <f>SUM(AC11:AC34)</f>
        <v>1224000</v>
      </c>
    </row>
    <row r="46" spans="2:39" x14ac:dyDescent="0.25">
      <c r="B46" s="55" t="s">
        <v>26</v>
      </c>
      <c r="C46" s="45">
        <f>H34</f>
        <v>564</v>
      </c>
      <c r="O46" s="55" t="s">
        <v>26</v>
      </c>
      <c r="P46" s="45">
        <f>U34</f>
        <v>1353</v>
      </c>
      <c r="AB46" s="55" t="s">
        <v>26</v>
      </c>
      <c r="AC46" s="45">
        <f>AH34</f>
        <v>3913</v>
      </c>
    </row>
    <row r="47" spans="2:39" x14ac:dyDescent="0.25">
      <c r="B47" s="93" t="s">
        <v>233</v>
      </c>
      <c r="C47" s="63">
        <f>(1/C7)*149 - (45*(1/C7)) - (0.029*(1/C7)*149) - M34</f>
        <v>173.86392899408284</v>
      </c>
      <c r="O47" s="93" t="s">
        <v>233</v>
      </c>
      <c r="P47" s="63">
        <f>(1/P7)*149 - (45*(1/P7)) - (0.029*(1/P7)*149) - Z34</f>
        <v>312.0044674556213</v>
      </c>
      <c r="AB47" s="93" t="s">
        <v>233</v>
      </c>
      <c r="AC47" s="63">
        <f>(1/AC7)*149 - (45*(1/AC7)) - (0.029*(1/AC7)*149) - AM34</f>
        <v>685.79194796061893</v>
      </c>
    </row>
    <row r="48" spans="2:39" ht="15.75" x14ac:dyDescent="0.25">
      <c r="B48" s="93" t="s">
        <v>167</v>
      </c>
      <c r="C48" s="120" t="str">
        <f>IF(C47&gt;0, "YES ✔", "NO ✘")</f>
        <v>YES ✔</v>
      </c>
      <c r="O48" s="93" t="s">
        <v>167</v>
      </c>
      <c r="P48" s="120" t="str">
        <f>IF(P47&gt;0, "YES ✔", "NO ✘")</f>
        <v>YES ✔</v>
      </c>
      <c r="AB48" s="93" t="s">
        <v>167</v>
      </c>
      <c r="AC48" s="120" t="str">
        <f>IF(AC47&gt;0, "YES ✔", "NO ✘")</f>
        <v>YES ✔</v>
      </c>
    </row>
    <row r="50" spans="1:39" ht="60" customHeight="1" x14ac:dyDescent="0.25">
      <c r="A50" s="82" t="s">
        <v>145</v>
      </c>
      <c r="B50" s="122" t="s">
        <v>234</v>
      </c>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c r="AA50" s="121"/>
      <c r="AB50" s="121"/>
      <c r="AC50" s="121"/>
      <c r="AD50" s="121"/>
      <c r="AE50" s="121"/>
      <c r="AF50" s="121"/>
      <c r="AG50" s="121"/>
      <c r="AH50" s="121"/>
      <c r="AI50" s="121"/>
      <c r="AJ50" s="121"/>
      <c r="AK50" s="121"/>
      <c r="AL50" s="121"/>
      <c r="AM50" s="121"/>
    </row>
  </sheetData>
  <mergeCells count="10">
    <mergeCell ref="B50:AM50"/>
    <mergeCell ref="B1:M1"/>
    <mergeCell ref="O1:Z1"/>
    <mergeCell ref="AB1:AM1"/>
    <mergeCell ref="B2:M2"/>
    <mergeCell ref="O2:Z2"/>
    <mergeCell ref="AB2:AM2"/>
    <mergeCell ref="B36:M36"/>
    <mergeCell ref="O36:Z36"/>
    <mergeCell ref="AB36:AM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Pricing Comps</vt:lpstr>
      <vt:lpstr>Assumptions</vt:lpstr>
      <vt:lpstr>Patient Growth</vt:lpstr>
      <vt:lpstr>Revenue Model</vt:lpstr>
      <vt:lpstr>Cost Model</vt:lpstr>
      <vt:lpstr>Unit Economics</vt:lpstr>
      <vt:lpstr>P&amp;L Summary</vt:lpstr>
      <vt:lpstr>Scenarios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Ye</dc:creator>
  <cp:lastModifiedBy>Michael Ye</cp:lastModifiedBy>
  <dcterms:created xsi:type="dcterms:W3CDTF">2026-04-07T03:58:56Z</dcterms:created>
  <dcterms:modified xsi:type="dcterms:W3CDTF">2026-04-07T20:48:21Z</dcterms:modified>
</cp:coreProperties>
</file>
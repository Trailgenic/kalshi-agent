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42f0be8e8a40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dcb0dabbc484686"/>
    <x:sheet xmlns:r="http://schemas.openxmlformats.org/officeDocument/2006/relationships" name="Electrolyte_Dataset_50" sheetId="2" r:id="R986da152fc624ca3"/>
    <x:sheet xmlns:r="http://schemas.openxmlformats.org/officeDocument/2006/relationships" name="Public_24" sheetId="3" r:id="R58664f54d9584b6a"/>
    <x:sheet xmlns:r="http://schemas.openxmlformats.org/officeDocument/2006/relationships" name="Schema_Minimal" sheetId="4" r:id="R768fb143c4cc4240"/>
    <x:sheet xmlns:r="http://schemas.openxmlformats.org/officeDocument/2006/relationships" name="Playbook_Brief" sheetId="5" r:id="Rfdaa0c8391d840e4"/>
    <x:sheet xmlns:r="http://schemas.openxmlformats.org/officeDocument/2006/relationships" name="Codex_Handoff" sheetId="6" r:id="R3d2c14100c254f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b/>
      <x:color rgb="001F2937"/>
    </x:font>
    <x:font>
      <x:b/>
      <x:color rgb="00FFFFFF"/>
    </x:font>
    <x:font>
      <x:color rgb="00008000"/>
    </x:font>
    <x:font>
      <x:color rgb="00666666"/>
    </x:font>
    <x:font>
      <x:color rgb="000000FF"/>
    </x:font>
    <x:font>
      <x:b/>
      <x:sz val="13"/>
      <x:color rgb="00FFFFFF"/>
    </x:font>
    <x:font>
      <x:b/>
    </x:font>
  </x:fonts>
  <x:fills count="9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F3F4F6"/>
      </x:patternFill>
    </x:fill>
    <x:fill>
      <x:patternFill patternType="solid">
        <x:fgColor rgb="00FFFFFF"/>
      </x:patternFill>
    </x:fill>
    <x:fill>
      <x:patternFill patternType="solid">
        <x:fgColor rgb="000F766E"/>
      </x:patternFill>
    </x:fill>
    <x:fill>
      <x:patternFill patternType="solid">
        <x:fgColor rgb="00E2F0D9"/>
      </x:patternFill>
    </x:fill>
    <x:fill>
      <x:patternFill patternType="solid">
        <x:fgColor rgb="00FCE4D6"/>
      </x:patternFill>
    </x:fill>
    <x:fill>
      <x:patternFill patternType="solid">
        <x:fgColor rgb="00FFF2CC"/>
      </x:patternFill>
    </x:fill>
  </x:fills>
  <x:borders count="4">
    <x:border>
      <x:left/>
      <x:right/>
      <x:top/>
      <x:bottom/>
      <x:diagonal/>
    </x:border>
    <x:border>
      <x:bottom style="thin">
        <x:color rgb="00CBD5E1"/>
      </x:bottom>
    </x:border>
    <x:border>
      <x:bottom style="medium">
        <x:color rgb="00FFFFFF"/>
      </x:bottom>
    </x:border>
    <x:border>
      <x:bottom style="thin">
        <x:color rgb="00D1D5DB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2" borderId="0" xfId="0"/>
    <x:xf numFmtId="0" fontId="2" fillId="3" borderId="1" xfId="0"/>
    <x:xf numFmtId="0" fontId="0" fillId="3" borderId="1" xfId="0"/>
    <x:xf numFmtId="0" fontId="2" fillId="4" borderId="1" xfId="0"/>
    <x:xf numFmtId="0" fontId="0" fillId="4" borderId="1" xfId="0"/>
    <x:xf numFmtId="0" fontId="3" fillId="5" borderId="0" xfId="0"/>
    <x:xf numFmtId="0" fontId="0" fillId="0" borderId="1" xfId="0"/>
    <x:xf numFmtId="0" fontId="3" fillId="2" borderId="2" xfId="0" applyAlignment="1">
      <x:alignment horizontal="center" vertical="center" wrapText="1"/>
    </x:xf>
    <x:xf numFmtId="0" fontId="5" fillId="0" borderId="3" xfId="0" applyAlignment="1">
      <x:alignment vertical="top" wrapText="1"/>
    </x:xf>
    <x:xf numFmtId="0" fontId="0" fillId="0" borderId="3" xfId="0" applyAlignment="1">
      <x:alignment vertical="top" wrapText="1"/>
    </x:xf>
    <x:xf numFmtId="1" fontId="4" fillId="0" borderId="3" xfId="0" applyAlignment="1">
      <x:alignment vertical="top" wrapText="1"/>
    </x:xf>
    <x:xf numFmtId="0" fontId="5" fillId="6" borderId="3" xfId="0" applyAlignment="1">
      <x:alignment vertical="top" wrapText="1"/>
    </x:xf>
    <x:xf numFmtId="0" fontId="6" fillId="0" borderId="3" xfId="0" applyAlignment="1">
      <x:alignment vertical="top" wrapText="1"/>
    </x:xf>
    <x:xf numFmtId="0" fontId="4" fillId="0" borderId="3" xfId="0" applyAlignment="1">
      <x:alignment vertical="top" wrapText="1"/>
    </x:xf>
    <x:xf numFmtId="0" fontId="5" fillId="7" borderId="3" xfId="0" applyAlignment="1">
      <x:alignment vertical="top" wrapText="1"/>
    </x:xf>
    <x:xf numFmtId="0" fontId="0" fillId="7" borderId="3" xfId="0" applyAlignment="1">
      <x:alignment vertical="top" wrapText="1"/>
    </x:xf>
    <x:xf numFmtId="0" fontId="5" fillId="8" borderId="3" xfId="0" applyAlignment="1">
      <x:alignment vertical="top" wrapText="1"/>
    </x:xf>
    <x:xf numFmtId="0" fontId="0" fillId="8" borderId="3" xfId="0" applyAlignment="1">
      <x:alignment vertical="top" wrapText="1"/>
    </x:xf>
    <x:xf numFmtId="0" fontId="3" fillId="5" borderId="0" xfId="0" applyAlignment="1">
      <x:alignment horizontal="center" wrapText="1"/>
    </x:xf>
    <x:xf numFmtId="0" fontId="7" fillId="2" borderId="0" xfId="0"/>
    <x:xf numFmtId="0" fontId="8" fillId="3" borderId="1" xfId="0"/>
    <x:xf numFmtId="0" fontId="0" fillId="3" borderId="1" xfId="0" applyAlignment="1">
      <x:alignment vertical="top" wrapText="1"/>
    </x:xf>
    <x:xf numFmtId="0" fontId="8" fillId="4" borderId="1" xfId="0"/>
    <x:xf numFmtId="0" fontId="0" fillId="4" borderId="1" xfId="0" applyAlignment="1">
      <x:alignment vertical="top" wrapText="1"/>
    </x:xf>
    <x:xf numFmtId="0" fontId="0" fillId="3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2858cece8b46d4" /><Relationship Type="http://schemas.openxmlformats.org/officeDocument/2006/relationships/theme" Target="/xl/theme/theme1.xml" Id="Rdcc48d19f78047dd" /><Relationship Type="http://schemas.openxmlformats.org/officeDocument/2006/relationships/sharedStrings" Target="/xl/sharedStrings.xml" Id="R358fbb82401a4e85" /><Relationship Type="http://schemas.openxmlformats.org/officeDocument/2006/relationships/worksheet" Target="/xl/worksheets/sheet1.xml" Id="R3dcb0dabbc484686" /><Relationship Type="http://schemas.openxmlformats.org/officeDocument/2006/relationships/worksheet" Target="/xl/worksheets/sheet2.xml" Id="R986da152fc624ca3" /><Relationship Type="http://schemas.openxmlformats.org/officeDocument/2006/relationships/worksheet" Target="/xl/worksheets/sheet3.xml" Id="R58664f54d9584b6a" /><Relationship Type="http://schemas.openxmlformats.org/officeDocument/2006/relationships/worksheet" Target="/xl/worksheets/sheet4.xml" Id="R768fb143c4cc4240" /><Relationship Type="http://schemas.openxmlformats.org/officeDocument/2006/relationships/worksheet" Target="/xl/worksheets/sheet5.xml" Id="Rfdaa0c8391d840e4" /><Relationship Type="http://schemas.openxmlformats.org/officeDocument/2006/relationships/worksheet" Target="/xl/worksheets/sheet6.xml" Id="R3d2c14100c254f01" /></Relationships>
</file>

<file path=xl/tables/table1.xml><?xml version="1.0" encoding="utf-8"?>
<x:table xmlns:x="http://schemas.openxmlformats.org/spreadsheetml/2006/main" id="1" name="ElectrolyteDataset" displayName="ElectrolyteDataset" ref="A1:X51" headerRowCount="1">
  <x:autoFilter ref="A1:X51"/>
  <x:tableColumns count="24">
    <x:tableColumn id="1" name="product_id"/>
    <x:tableColumn id="2" name="product_name"/>
    <x:tableColumn id="3" name="brand"/>
    <x:tableColumn id="4" name="tg_category"/>
    <x:tableColumn id="5" name="tg_protocols"/>
    <x:tableColumn id="6" name="form_factor"/>
    <x:tableColumn id="7" name="serving_basis"/>
    <x:tableColumn id="8" name="public_24_flag"/>
    <x:tableColumn id="9" name="calories"/>
    <x:tableColumn id="10" name="carbs_g"/>
    <x:tableColumn id="11" name="sugars_g"/>
    <x:tableColumn id="12" name="sodium_mg"/>
    <x:tableColumn id="13" name="potassium_mg"/>
    <x:tableColumn id="14" name="magnesium_mg"/>
    <x:tableColumn id="15" name="calcium_mg"/>
    <x:tableColumn id="16" name="chloride_mg"/>
    <x:tableColumn id="17" name="caffeine_mg"/>
    <x:tableColumn id="18" name="sweetener_type"/>
    <x:tableColumn id="19" name="artificial_sweetener"/>
    <x:tableColumn id="20" name="data_status"/>
    <x:tableColumn id="21" name="tg_primary_use"/>
    <x:tableColumn id="22" name="tg_fit_summary"/>
    <x:tableColumn id="23" name="source_url"/>
    <x:tableColumn id="2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Public24" displayName="Public24" ref="A1:L25" headerRowCount="1">
  <x:autoFilter ref="A1:L25"/>
  <x:tableColumns count="12">
    <x:tableColumn id="1" name="product_name"/>
    <x:tableColumn id="2" name="brand"/>
    <x:tableColumn id="3" name="tg_category"/>
    <x:tableColumn id="4" name="tg_protocols"/>
    <x:tableColumn id="5" name="form_factor"/>
    <x:tableColumn id="6" name="sodium_mg"/>
    <x:tableColumn id="7" name="potassium_mg"/>
    <x:tableColumn id="8" name="magnesium_mg"/>
    <x:tableColumn id="9" name="calories"/>
    <x:tableColumn id="10" name="carbs_g"/>
    <x:tableColumn id="11" name="tg_primary_use"/>
    <x:tableColumn id="12" name="source_url"/>
  </x:tableColumns>
  <x:tableStyleInfo name="TableStyleMedium10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731193230e44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7903f0daa44b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4" customWidth="1"/>
    <x:col min="2" max="2" width="36" customWidth="1"/>
    <x:col min="3" max="3" width="20" customWidth="1"/>
    <x:col min="4" max="4" width="18" customWidth="1"/>
    <x:col min="5" max="5" width="16" customWidth="1"/>
    <x:col min="6" max="6" width="16" customWidth="1"/>
  </x:cols>
  <x:sheetData>
    <x:row r="1">
      <x:c r="A1" s="1" t="inlineStr">
        <x:is>
          <x:t xml:space="preserve">TrailGenic Longevity Electrolyte Dataset — Workbook Summary</x:t>
        </x:is>
      </x:c>
    </x:row>
    <x:row r="3">
      <x:c r="A3" s="2" t="inlineStr">
        <x:is>
          <x:t xml:space="preserve">Dataset version</x:t>
        </x:is>
      </x:c>
      <x:c r="B3" s="3" t="inlineStr">
        <x:is>
          <x:t xml:space="preserve">v1.0 (2026-03-23)</x:t>
        </x:is>
      </x:c>
    </x:row>
    <x:row r="4">
      <x:c r="A4" s="4" t="inlineStr">
        <x:is>
          <x:t xml:space="preserve">Total electrolyte products</x:t>
        </x:is>
      </x:c>
      <x:c r="B4" s="5">
        <x:f>COUNTA(Electrolyte_Dataset_50!B:B)-1</x:f>
        <x:v>50</x:v>
      </x:c>
    </x:row>
    <x:row r="5">
      <x:c r="A5" s="2" t="inlineStr">
        <x:is>
          <x:t xml:space="preserve">Public sample count</x:t>
        </x:is>
      </x:c>
      <x:c r="B5" s="3">
        <x:f>COUNTIF(Electrolyte_Dataset_50!H:H,"Y")</x:f>
        <x:v>24</x:v>
      </x:c>
    </x:row>
    <x:row r="6">
      <x:c r="A6" s="4" t="inlineStr">
        <x:is>
          <x:t xml:space="preserve">Verified exact rows</x:t>
        </x:is>
      </x:c>
      <x:c r="B6" s="5">
        <x:f>COUNTIF(Electrolyte_Dataset_50!T:T,"verified_exact")</x:f>
        <x:v>22</x:v>
      </x:c>
    </x:row>
    <x:row r="7">
      <x:c r="A7" s="2" t="inlineStr">
        <x:is>
          <x:t xml:space="preserve">Verified family-level rows</x:t>
        </x:is>
      </x:c>
      <x:c r="B7" s="3">
        <x:f>COUNTIF(Electrolyte_Dataset_50!T:T,"verified_family_level")</x:f>
        <x:v>1</x:v>
      </x:c>
    </x:row>
    <x:row r="8">
      <x:c r="A8" s="4" t="inlineStr">
        <x:is>
          <x:t xml:space="preserve">Partial rows</x:t>
        </x:is>
      </x:c>
      <x:c r="B8" s="5">
        <x:f>COUNTIF(Electrolyte_Dataset_50!T:T,"partial")</x:f>
        <x:v>27</x:v>
      </x:c>
    </x:row>
    <x:row r="9">
      <x:c r="A9" s="2" t="inlineStr">
        <x:is>
          <x:t xml:space="preserve">Public library format</x:t>
        </x:is>
      </x:c>
      <x:c r="B9" s="3" t="inlineStr">
        <x:is>
          <x:t xml:space="preserve">24 curated rows on site / 50 rows in MCP</x:t>
        </x:is>
      </x:c>
    </x:row>
    <x:row r="10">
      <x:c r="A10" s="4" t="inlineStr">
        <x:is>
          <x:t xml:space="preserve">Schema recommendation</x:t>
        </x:is>
      </x:c>
      <x:c r="B10" s="5" t="inlineStr">
        <x:is>
          <x:t xml:space="preserve">Keep page schema simple: WebPage + Dataset</x:t>
        </x:is>
      </x:c>
    </x:row>
    <x:row r="11">
      <x:c r="A11" s="2" t="inlineStr">
        <x:is>
          <x:t xml:space="preserve">Recommended public page title</x:t>
        </x:is>
      </x:c>
      <x:c r="B11" s="3" t="inlineStr">
        <x:is>
          <x:t xml:space="preserve">TrailGenic Longevity Electrolyte Playbook</x:t>
        </x:is>
      </x:c>
    </x:row>
    <x:row r="12">
      <x:c r="A12" s="4" t="inlineStr">
        <x:is>
          <x:t xml:space="preserve">Library subtitle</x:t>
        </x:is>
      </x:c>
      <x:c r="B12" s="5" t="inlineStr">
        <x:is>
          <x:t xml:space="preserve">Sample of 24 electrolyte products from the TG Hydration Dataset</x:t>
        </x:is>
      </x:c>
    </x:row>
    <x:row r="15">
      <x:c r="A15" s="6" t="inlineStr">
        <x:is>
          <x:t xml:space="preserve">Recommended sequence</x:t>
        </x:is>
      </x:c>
    </x:row>
    <x:row r="16">
      <x:c r="A16" s="7" t="inlineStr">
        <x:is>
          <x:t xml:space="preserve">1) Finalize 50-row dataset in MCP-ready format (this workbook).</x:t>
        </x:is>
      </x:c>
    </x:row>
    <x:row r="17">
      <x:c r="A17" s="7" t="inlineStr">
        <x:is>
          <x:t xml:space="preserve">2) Publish TrailGenic Longevity Electrolyte Playbook with the 24-row public subset.</x:t>
        </x:is>
      </x:c>
    </x:row>
    <x:row r="18">
      <x:c r="A18" s="7" t="inlineStr">
        <x:is>
          <x:t xml:space="preserve">3) Interlink the Playbook with the existing Science of Electrolytes page.</x:t>
        </x:is>
      </x:c>
    </x:row>
    <x:row r="19">
      <x:c r="A19" s="7" t="inlineStr">
        <x:is>
          <x:t xml:space="preserve">4) Hand the workbook to Codex to generate JSON-LD + MCP ingestion payload.</x:t>
        </x:is>
      </x:c>
    </x:row>
  </x:sheetData>
  <x:mergeCells>
    <x:mergeCell ref="A16:F16"/>
    <x:mergeCell ref="A19:F19"/>
    <x:mergeCell ref="A1:F1"/>
    <x:mergeCell ref="A17:F17"/>
    <x:mergeCell ref="A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28" customWidth="1"/>
    <x:col min="3" max="3" width="18" customWidth="1"/>
    <x:col min="4" max="4" width="24" customWidth="1"/>
    <x:col min="5" max="5" width="12" customWidth="1"/>
    <x:col min="6" max="6" width="14" customWidth="1"/>
    <x:col min="7" max="7" width="18" customWidth="1"/>
    <x:col min="8" max="8" width="12" customWidth="1"/>
    <x:col min="9" max="9" width="10" customWidth="1"/>
    <x:col min="10" max="10" width="10" customWidth="1"/>
    <x:col min="11" max="11" width="10" customWidth="1"/>
    <x:col min="12" max="12" width="12" customWidth="1"/>
    <x:col min="13" max="13" width="12" customWidth="1"/>
    <x:col min="14" max="14" width="12" customWidth="1"/>
    <x:col min="15" max="15" width="10" customWidth="1"/>
    <x:col min="16" max="16" width="12" customWidth="1"/>
    <x:col min="17" max="17" width="12" customWidth="1"/>
    <x:col min="18" max="18" width="22" customWidth="1"/>
    <x:col min="19" max="19" width="16" customWidth="1"/>
    <x:col min="20" max="20" width="18" customWidth="1"/>
    <x:col min="21" max="21" width="20" customWidth="1"/>
    <x:col min="22" max="22" width="38" customWidth="1"/>
    <x:col min="23" max="23" width="38" customWidth="1"/>
    <x:col min="24" max="24" width="34" customWidth="1"/>
  </x:cols>
  <x:sheetData>
    <x:row r="1">
      <x:c r="A1" s="8" t="inlineStr">
        <x:is>
          <x:t xml:space="preserve">product_id</x:t>
        </x:is>
      </x:c>
      <x:c r="B1" s="8" t="inlineStr">
        <x:is>
          <x:t xml:space="preserve">product_name</x:t>
        </x:is>
      </x:c>
      <x:c r="C1" s="8" t="inlineStr">
        <x:is>
          <x:t xml:space="preserve">brand</x:t>
        </x:is>
      </x:c>
      <x:c r="D1" s="8" t="inlineStr">
        <x:is>
          <x:t xml:space="preserve">tg_category</x:t>
        </x:is>
      </x:c>
      <x:c r="E1" s="8" t="inlineStr">
        <x:is>
          <x:t xml:space="preserve">tg_protocols</x:t>
        </x:is>
      </x:c>
      <x:c r="F1" s="8" t="inlineStr">
        <x:is>
          <x:t xml:space="preserve">form_factor</x:t>
        </x:is>
      </x:c>
      <x:c r="G1" s="8" t="inlineStr">
        <x:is>
          <x:t xml:space="preserve">serving_basis</x:t>
        </x:is>
      </x:c>
      <x:c r="H1" s="8" t="inlineStr">
        <x:is>
          <x:t xml:space="preserve">public_24_flag</x:t>
        </x:is>
      </x:c>
      <x:c r="I1" s="8" t="inlineStr">
        <x:is>
          <x:t xml:space="preserve">calories</x:t>
        </x:is>
      </x:c>
      <x:c r="J1" s="8" t="inlineStr">
        <x:is>
          <x:t xml:space="preserve">carbs_g</x:t>
        </x:is>
      </x:c>
      <x:c r="K1" s="8" t="inlineStr">
        <x:is>
          <x:t xml:space="preserve">sugars_g</x:t>
        </x:is>
      </x:c>
      <x:c r="L1" s="8" t="inlineStr">
        <x:is>
          <x:t xml:space="preserve">sodium_mg</x:t>
        </x:is>
      </x:c>
      <x:c r="M1" s="8" t="inlineStr">
        <x:is>
          <x:t xml:space="preserve">potassium_mg</x:t>
        </x:is>
      </x:c>
      <x:c r="N1" s="8" t="inlineStr">
        <x:is>
          <x:t xml:space="preserve">magnesium_mg</x:t>
        </x:is>
      </x:c>
      <x:c r="O1" s="8" t="inlineStr">
        <x:is>
          <x:t xml:space="preserve">calcium_mg</x:t>
        </x:is>
      </x:c>
      <x:c r="P1" s="8" t="inlineStr">
        <x:is>
          <x:t xml:space="preserve">chloride_mg</x:t>
        </x:is>
      </x:c>
      <x:c r="Q1" s="8" t="inlineStr">
        <x:is>
          <x:t xml:space="preserve">caffeine_mg</x:t>
        </x:is>
      </x:c>
      <x:c r="R1" s="8" t="inlineStr">
        <x:is>
          <x:t xml:space="preserve">sweetener_type</x:t>
        </x:is>
      </x:c>
      <x:c r="S1" s="8" t="inlineStr">
        <x:is>
          <x:t xml:space="preserve">artificial_sweetener</x:t>
        </x:is>
      </x:c>
      <x:c r="T1" s="8" t="inlineStr">
        <x:is>
          <x:t xml:space="preserve">data_status</x:t>
        </x:is>
      </x:c>
      <x:c r="U1" s="8" t="inlineStr">
        <x:is>
          <x:t xml:space="preserve">tg_primary_use</x:t>
        </x:is>
      </x:c>
      <x:c r="V1" s="8" t="inlineStr">
        <x:is>
          <x:t xml:space="preserve">tg_fit_summary</x:t>
        </x:is>
      </x:c>
      <x:c r="W1" s="8" t="inlineStr">
        <x:is>
          <x:t xml:space="preserve">source_url</x:t>
        </x:is>
      </x:c>
      <x:c r="X1" s="8" t="inlineStr">
        <x:is>
          <x:t xml:space="preserve">notes</x:t>
        </x:is>
      </x:c>
    </x:row>
    <x:row r="2">
      <x:c r="A2" s="9" t="n">
        <x:v>1</x:v>
      </x:c>
      <x:c r="B2" s="10" t="inlineStr">
        <x:is>
          <x:t xml:space="preserve">LMNT Recharge</x:t>
        </x:is>
      </x:c>
      <x:c r="C2" s="10" t="inlineStr">
        <x:is>
          <x:t xml:space="preserve">LMNT</x:t>
        </x:is>
      </x:c>
      <x:c r="D2" s="9" t="inlineStr">
        <x:is>
          <x:t xml:space="preserve">zero_sugar_high_sodium</x:t>
        </x:is>
      </x:c>
      <x:c r="E2" s="9" t="inlineStr">
        <x:is>
          <x:t xml:space="preserve">1,3,4,5</x:t>
        </x:is>
      </x:c>
      <x:c r="F2" s="9" t="inlineStr">
        <x:is>
          <x:t xml:space="preserve">powder stick</x:t>
        </x:is>
      </x:c>
      <x:c r="G2" s="9" t="inlineStr">
        <x:is>
          <x:t xml:space="preserve">1 stick / ~16 oz</x:t>
        </x:is>
      </x:c>
      <x:c r="H2" s="9" t="inlineStr">
        <x:is>
          <x:t xml:space="preserve">Y</x:t>
        </x:is>
      </x:c>
      <x:c r="I2" s="11" t="n">
        <x:v>2</x:v>
      </x:c>
      <x:c r="J2" s="11" t="n">
        <x:v>0</x:v>
      </x:c>
      <x:c r="K2" s="11" t="n">
        <x:v>0</x:v>
      </x:c>
      <x:c r="L2" s="11" t="n">
        <x:v>1000</x:v>
      </x:c>
      <x:c r="M2" s="11" t="n">
        <x:v>200</x:v>
      </x:c>
      <x:c r="N2" s="11" t="n">
        <x:v>60</x:v>
      </x:c>
      <x:c r="O2" s="11" t="n"/>
      <x:c r="P2" s="11" t="n"/>
      <x:c r="Q2" s="11" t="n">
        <x:v>0</x:v>
      </x:c>
      <x:c r="R2" s="9" t="inlineStr">
        <x:is>
          <x:t xml:space="preserve">stevia</x:t>
        </x:is>
      </x:c>
      <x:c r="S2" s="9" t="inlineStr">
        <x:is>
          <x:t xml:space="preserve">N</x:t>
        </x:is>
      </x:c>
      <x:c r="T2" s="12" t="inlineStr">
        <x:is>
          <x:t xml:space="preserve">verified_exact</x:t>
        </x:is>
      </x:c>
      <x:c r="U2" s="13" t="inlineStr">
        <x:is>
          <x:t xml:space="preserve">high-sweat fasted hydration</x:t>
        </x:is>
      </x:c>
      <x:c r="V2" s="13" t="inlineStr">
        <x:is>
          <x:t xml:space="preserve">High-sodium, zero-sugar benchmark for heat, sweat loss, and lower-carb protocols.</x:t>
        </x:is>
      </x:c>
      <x:c r="W2" s="14" t="inlineStr">
        <x:is>
          <x:t xml:space="preserve">https://drinklmnt.com/pages/ingredients</x:t>
        </x:is>
      </x:c>
      <x:c r="X2" s="10" t="inlineStr">
        <x:is>
          <x:t xml:space="preserve">Calories estimated from official science note that flavored sticks use ~1–2 calories from maltodextrin; electrolyte values exact.</x:t>
        </x:is>
      </x:c>
    </x:row>
    <x:row r="3">
      <x:c r="A3" s="9" t="n">
        <x:v>2</x:v>
      </x:c>
      <x:c r="B3" s="10" t="inlineStr">
        <x:is>
          <x:t xml:space="preserve">Nuun Sport</x:t>
        </x:is>
      </x:c>
      <x:c r="C3" s="10" t="inlineStr">
        <x:is>
          <x:t xml:space="preserve">Nuun</x:t>
        </x:is>
      </x:c>
      <x:c r="D3" s="9" t="inlineStr">
        <x:is>
          <x:t xml:space="preserve">tablet_balanced</x:t>
        </x:is>
      </x:c>
      <x:c r="E3" s="9" t="inlineStr">
        <x:is>
          <x:t xml:space="preserve">1,2,3,5</x:t>
        </x:is>
      </x:c>
      <x:c r="F3" s="9" t="inlineStr">
        <x:is>
          <x:t xml:space="preserve">tablet</x:t>
        </x:is>
      </x:c>
      <x:c r="G3" s="9" t="inlineStr">
        <x:is>
          <x:t xml:space="preserve">1 tablet / water bottle</x:t>
        </x:is>
      </x:c>
      <x:c r="H3" s="9" t="inlineStr">
        <x:is>
          <x:t xml:space="preserve">Y</x:t>
        </x:is>
      </x:c>
      <x:c r="I3" s="11" t="n">
        <x:v>15</x:v>
      </x:c>
      <x:c r="J3" s="11" t="n">
        <x:v>4</x:v>
      </x:c>
      <x:c r="K3" s="11" t="n">
        <x:v>1</x:v>
      </x:c>
      <x:c r="L3" s="11" t="n">
        <x:v>300</x:v>
      </x:c>
      <x:c r="M3" s="11" t="n">
        <x:v>150</x:v>
      </x:c>
      <x:c r="N3" s="11" t="n">
        <x:v>25</x:v>
      </x:c>
      <x:c r="O3" s="11" t="n">
        <x:v>13</x:v>
      </x:c>
      <x:c r="P3" s="11" t="n">
        <x:v>40</x:v>
      </x:c>
      <x:c r="Q3" s="11" t="n">
        <x:v>0</x:v>
      </x:c>
      <x:c r="R3" s="9" t="inlineStr">
        <x:is>
          <x:t xml:space="preserve">cane sugar + dextrose</x:t>
        </x:is>
      </x:c>
      <x:c r="S3" s="9" t="inlineStr">
        <x:is>
          <x:t xml:space="preserve">N</x:t>
        </x:is>
      </x:c>
      <x:c r="T3" s="12" t="inlineStr">
        <x:is>
          <x:t xml:space="preserve">verified_exact</x:t>
        </x:is>
      </x:c>
      <x:c r="U3" s="13" t="inlineStr">
        <x:is>
          <x:t xml:space="preserve">portable daily training hydration</x:t>
        </x:is>
      </x:c>
      <x:c r="V3" s="13" t="inlineStr">
        <x:is>
          <x:t xml:space="preserve">Portable tablet with moderate sodium and light sugar for general training and travel.</x:t>
        </x:is>
      </x:c>
      <x:c r="W3" s="14" t="inlineStr">
        <x:is>
          <x:t xml:space="preserve">https://nuunlife.com/products/nuun-sport</x:t>
        </x:is>
      </x:c>
      <x:c r="X3" s="10" t="inlineStr">
        <x:is>
          <x:t xml:space="preserve"/>
        </x:is>
      </x:c>
    </x:row>
    <x:row r="4">
      <x:c r="A4" s="9" t="n">
        <x:v>3</x:v>
      </x:c>
      <x:c r="B4" s="10" t="inlineStr">
        <x:is>
          <x:t xml:space="preserve">Nuun Instant</x:t>
        </x:is>
      </x:c>
      <x:c r="C4" s="10" t="inlineStr">
        <x:is>
          <x:t xml:space="preserve">Nuun</x:t>
        </x:is>
      </x:c>
      <x:c r="D4" s="9" t="inlineStr">
        <x:is>
          <x:t xml:space="preserve">balanced_daily_hydration</x:t>
        </x:is>
      </x:c>
      <x:c r="E4" s="9" t="inlineStr">
        <x:is>
          <x:t xml:space="preserve">1,2,3,5</x:t>
        </x:is>
      </x:c>
      <x:c r="F4" s="9" t="inlineStr">
        <x:is>
          <x:t xml:space="preserve">powder stick</x:t>
        </x:is>
      </x:c>
      <x:c r="G4" s="9" t="inlineStr">
        <x:is>
          <x:t xml:space="preserve">1 stick / ~16 oz</x:t>
        </x:is>
      </x:c>
      <x:c r="H4" s="9" t="inlineStr">
        <x:is>
          <x:t xml:space="preserve">Y</x:t>
        </x:is>
      </x:c>
      <x:c r="I4" s="11" t="n">
        <x:v>25</x:v>
      </x:c>
      <x:c r="J4" s="11" t="n">
        <x:v>7</x:v>
      </x:c>
      <x:c r="K4" s="11" t="n"/>
      <x:c r="L4" s="11" t="n">
        <x:v>520</x:v>
      </x:c>
      <x:c r="M4" s="11" t="n">
        <x:v>385</x:v>
      </x:c>
      <x:c r="N4" s="11" t="n">
        <x:v>8</x:v>
      </x:c>
      <x:c r="O4" s="11" t="n">
        <x:v>20</x:v>
      </x:c>
      <x:c r="P4" s="11" t="n">
        <x:v>250</x:v>
      </x:c>
      <x:c r="Q4" s="11" t="n">
        <x:v>0</x:v>
      </x:c>
      <x:c r="R4" s="9" t="inlineStr">
        <x:is>
          <x:t xml:space="preserve">cane sugar + dextrose</x:t>
        </x:is>
      </x:c>
      <x:c r="S4" s="9" t="inlineStr">
        <x:is>
          <x:t xml:space="preserve">N</x:t>
        </x:is>
      </x:c>
      <x:c r="T4" s="12" t="inlineStr">
        <x:is>
          <x:t xml:space="preserve">verified_exact</x:t>
        </x:is>
      </x:c>
      <x:c r="U4" s="13" t="inlineStr">
        <x:is>
          <x:t xml:space="preserve">higher-electrolyte daily hydration</x:t>
        </x:is>
      </x:c>
      <x:c r="V4" s="13" t="inlineStr">
        <x:is>
          <x:t xml:space="preserve">Higher sodium/potassium than Nuun Sport; a stronger everyday mix in single-serve format.</x:t>
        </x:is>
      </x:c>
      <x:c r="W4" s="14" t="inlineStr">
        <x:is>
          <x:t xml:space="preserve">https://nuunlife.com/blogs/news/nuun-instant-vs-nuun-sport</x:t>
        </x:is>
      </x:c>
      <x:c r="X4" s="10" t="inlineStr">
        <x:is>
          <x:t xml:space="preserve">Values taken from official Nuun comparison article.</x:t>
        </x:is>
      </x:c>
    </x:row>
    <x:row r="5">
      <x:c r="A5" s="9" t="n">
        <x:v>4</x:v>
      </x:c>
      <x:c r="B5" s="10" t="inlineStr">
        <x:is>
          <x:t xml:space="preserve">Skratch Hydration Sport Drink Mix</x:t>
        </x:is>
      </x:c>
      <x:c r="C5" s="10" t="inlineStr">
        <x:is>
          <x:t xml:space="preserve">Skratch Labs</x:t>
        </x:is>
      </x:c>
      <x:c r="D5" s="9" t="inlineStr">
        <x:is>
          <x:t xml:space="preserve">endurance_carb_electrolyte</x:t>
        </x:is>
      </x:c>
      <x:c r="E5" s="9" t="inlineStr">
        <x:is>
          <x:t xml:space="preserve">2,3,5</x:t>
        </x:is>
      </x:c>
      <x:c r="F5" s="9" t="inlineStr">
        <x:is>
          <x:t xml:space="preserve">powder</x:t>
        </x:is>
      </x:c>
      <x:c r="G5" s="9" t="inlineStr">
        <x:is>
          <x:t xml:space="preserve">1 serving</x:t>
        </x:is>
      </x:c>
      <x:c r="H5" s="9" t="inlineStr">
        <x:is>
          <x:t xml:space="preserve">Y</x:t>
        </x:is>
      </x:c>
      <x:c r="I5" s="11" t="n">
        <x:v>80</x:v>
      </x:c>
      <x:c r="J5" s="11" t="n">
        <x:v>20</x:v>
      </x:c>
      <x:c r="K5" s="11" t="n">
        <x:v>19</x:v>
      </x:c>
      <x:c r="L5" s="11" t="n">
        <x:v>400</x:v>
      </x:c>
      <x:c r="M5" s="11" t="n">
        <x:v>80</x:v>
      </x:c>
      <x:c r="N5" s="11" t="n">
        <x:v>80</x:v>
      </x:c>
      <x:c r="O5" s="11" t="n">
        <x:v>100</x:v>
      </x:c>
      <x:c r="P5" s="11" t="n"/>
      <x:c r="Q5" s="11" t="n">
        <x:v>0</x:v>
      </x:c>
      <x:c r="R5" s="9" t="inlineStr">
        <x:is>
          <x:t xml:space="preserve">cane sugar</x:t>
        </x:is>
      </x:c>
      <x:c r="S5" s="9" t="inlineStr">
        <x:is>
          <x:t xml:space="preserve">N</x:t>
        </x:is>
      </x:c>
      <x:c r="T5" s="12" t="inlineStr">
        <x:is>
          <x:t xml:space="preserve">verified_exact</x:t>
        </x:is>
      </x:c>
      <x:c r="U5" s="13" t="inlineStr">
        <x:is>
          <x:t xml:space="preserve">endurance training hydration</x:t>
        </x:is>
      </x:c>
      <x:c r="V5" s="13" t="inlineStr">
        <x:is>
          <x:t xml:space="preserve">Carb-inclusive mix for longer sessions with a sweat-matched electrolyte profile.</x:t>
        </x:is>
      </x:c>
      <x:c r="W5" s="14" t="inlineStr">
        <x:is>
          <x:t xml:space="preserve">https://www.skratchlabs.com/products/hydration-sport-drink-mix</x:t>
        </x:is>
      </x:c>
      <x:c r="X5" s="10" t="inlineStr">
        <x:is>
          <x:t xml:space="preserve">Potassium/magnesium/calcium from official sweat-profile FAQ.</x:t>
        </x:is>
      </x:c>
    </x:row>
    <x:row r="6">
      <x:c r="A6" s="9" t="n">
        <x:v>5</x:v>
      </x:c>
      <x:c r="B6" s="10" t="inlineStr">
        <x:is>
          <x:t xml:space="preserve">Skratch Unsweetened Hydration</x:t>
        </x:is>
      </x:c>
      <x:c r="C6" s="10" t="inlineStr">
        <x:is>
          <x:t xml:space="preserve">Skratch Labs</x:t>
        </x:is>
      </x:c>
      <x:c r="D6" s="9" t="inlineStr">
        <x:is>
          <x:t xml:space="preserve">zero_sugar_balanced</x:t>
        </x:is>
      </x:c>
      <x:c r="E6" s="9" t="inlineStr">
        <x:is>
          <x:t xml:space="preserve">1,2,4,5</x:t>
        </x:is>
      </x:c>
      <x:c r="F6" s="9" t="inlineStr">
        <x:is>
          <x:t xml:space="preserve">powder</x:t>
        </x:is>
      </x:c>
      <x:c r="G6" s="9" t="inlineStr">
        <x:is>
          <x:t xml:space="preserve">1 serving</x:t>
        </x:is>
      </x:c>
      <x:c r="H6" s="9" t="inlineStr">
        <x:is>
          <x:t xml:space="preserve">Y</x:t>
        </x:is>
      </x:c>
      <x:c r="I6" s="11" t="n">
        <x:v>10</x:v>
      </x:c>
      <x:c r="J6" s="11" t="n">
        <x:v>1</x:v>
      </x:c>
      <x:c r="K6" s="11" t="n">
        <x:v>0</x:v>
      </x:c>
      <x:c r="L6" s="11" t="n">
        <x:v>400</x:v>
      </x:c>
      <x:c r="M6" s="11" t="n">
        <x:v>100</x:v>
      </x:c>
      <x:c r="N6" s="11" t="n">
        <x:v>50</x:v>
      </x:c>
      <x:c r="O6" s="11" t="n">
        <x:v>50</x:v>
      </x:c>
      <x:c r="P6" s="11" t="n"/>
      <x:c r="Q6" s="11" t="n">
        <x:v>0</x:v>
      </x:c>
      <x:c r="R6" s="9" t="inlineStr">
        <x:is>
          <x:t xml:space="preserve">real fruit / no sugar</x:t>
        </x:is>
      </x:c>
      <x:c r="S6" s="9" t="inlineStr">
        <x:is>
          <x:t xml:space="preserve">N</x:t>
        </x:is>
      </x:c>
      <x:c r="T6" s="12" t="inlineStr">
        <x:is>
          <x:t xml:space="preserve">verified_exact</x:t>
        </x:is>
      </x:c>
      <x:c r="U6" s="13" t="inlineStr">
        <x:is>
          <x:t xml:space="preserve">daily or fasted hydration</x:t>
        </x:is>
      </x:c>
      <x:c r="V6" s="13" t="inlineStr">
        <x:is>
          <x:t xml:space="preserve">Zero-sugar Skratch option with balanced electrolytes for lighter sessions or everyday use.</x:t>
        </x:is>
      </x:c>
      <x:c r="W6" s="14" t="inlineStr">
        <x:is>
          <x:t xml:space="preserve">https://www.skratchlabs.com/products/unsweetened-hydration-sport-drink-mix</x:t>
        </x:is>
      </x:c>
      <x:c r="X6" s="10" t="inlineStr">
        <x:is>
          <x:t xml:space="preserve">Carbs shown as &lt;1g in official product snippet; stored as 1g for sorting simplicity.</x:t>
        </x:is>
      </x:c>
    </x:row>
    <x:row r="7">
      <x:c r="A7" s="9" t="n">
        <x:v>6</x:v>
      </x:c>
      <x:c r="B7" s="10" t="inlineStr">
        <x:is>
          <x:t xml:space="preserve">Skratch Electrolyte Booster</x:t>
        </x:is>
      </x:c>
      <x:c r="C7" s="10" t="inlineStr">
        <x:is>
          <x:t xml:space="preserve">Skratch Labs</x:t>
        </x:is>
      </x:c>
      <x:c r="D7" s="9" t="inlineStr">
        <x:is>
          <x:t xml:space="preserve">zero_sugar_balanced</x:t>
        </x:is>
      </x:c>
      <x:c r="E7" s="9" t="inlineStr">
        <x:is>
          <x:t xml:space="preserve">1,2,4,5</x:t>
        </x:is>
      </x:c>
      <x:c r="F7" s="9" t="inlineStr">
        <x:is>
          <x:t xml:space="preserve">powder stick</x:t>
        </x:is>
      </x:c>
      <x:c r="G7" s="9" t="inlineStr">
        <x:is>
          <x:t xml:space="preserve">1 stick / bottle</x:t>
        </x:is>
      </x:c>
      <x:c r="H7" s="9" t="inlineStr">
        <x:is>
          <x:t xml:space="preserve">N</x:t>
        </x:is>
      </x:c>
      <x:c r="I7" s="11" t="n">
        <x:v>0</x:v>
      </x:c>
      <x:c r="J7" s="11" t="n">
        <x:v>0</x:v>
      </x:c>
      <x:c r="K7" s="11" t="n">
        <x:v>0</x:v>
      </x:c>
      <x:c r="L7" s="11" t="n">
        <x:v>400</x:v>
      </x:c>
      <x:c r="M7" s="11" t="n"/>
      <x:c r="N7" s="11" t="n"/>
      <x:c r="O7" s="11" t="n"/>
      <x:c r="P7" s="11" t="n"/>
      <x:c r="Q7" s="11" t="n">
        <x:v>0</x:v>
      </x:c>
      <x:c r="R7" s="9" t="inlineStr">
        <x:is>
          <x:t xml:space="preserve">none listed</x:t>
        </x:is>
      </x:c>
      <x:c r="S7" s="9" t="inlineStr">
        <x:is>
          <x:t xml:space="preserve">N</x:t>
        </x:is>
      </x:c>
      <x:c r="T7" s="15" t="inlineStr">
        <x:is>
          <x:t xml:space="preserve">partial</x:t>
        </x:is>
      </x:c>
      <x:c r="U7" s="13" t="inlineStr">
        <x:is>
          <x:t xml:space="preserve">lightweight electrolyte add-on</x:t>
        </x:is>
      </x:c>
      <x:c r="V7" s="13" t="inlineStr">
        <x:is>
          <x:t xml:space="preserve">No-calorie booster for athletes who want electrolytes without fuel.</x:t>
        </x:is>
      </x:c>
      <x:c r="W7" s="14" t="inlineStr">
        <x:is>
          <x:t xml:space="preserve">https://www.skratchlabs.com/products/electrolyte-booster</x:t>
        </x:is>
      </x:c>
      <x:c r="X7" s="16" t="inlineStr">
        <x:is>
          <x:t xml:space="preserve">Official page clearly exposes sodium/calories; other minerals pending direct label capture.</x:t>
        </x:is>
      </x:c>
    </x:row>
    <x:row r="8">
      <x:c r="A8" s="9" t="n">
        <x:v>7</x:v>
      </x:c>
      <x:c r="B8" s="10" t="inlineStr">
        <x:is>
          <x:t xml:space="preserve">PH 500 Low-Cal Tablet</x:t>
        </x:is>
      </x:c>
      <x:c r="C8" s="10" t="inlineStr">
        <x:is>
          <x:t xml:space="preserve">Precision Hydration</x:t>
        </x:is>
      </x:c>
      <x:c r="D8" s="9" t="inlineStr">
        <x:is>
          <x:t xml:space="preserve">low_cal_endurance</x:t>
        </x:is>
      </x:c>
      <x:c r="E8" s="9" t="inlineStr">
        <x:is>
          <x:t xml:space="preserve">1,2,3,5</x:t>
        </x:is>
      </x:c>
      <x:c r="F8" s="9" t="inlineStr">
        <x:is>
          <x:t xml:space="preserve">tablet</x:t>
        </x:is>
      </x:c>
      <x:c r="G8" s="9" t="inlineStr">
        <x:is>
          <x:t xml:space="preserve">1 tablet / 16 oz</x:t>
        </x:is>
      </x:c>
      <x:c r="H8" s="9" t="inlineStr">
        <x:is>
          <x:t xml:space="preserve">N</x:t>
        </x:is>
      </x:c>
      <x:c r="I8" s="11" t="n">
        <x:v>0</x:v>
      </x:c>
      <x:c r="J8" s="11" t="n">
        <x:v>0</x:v>
      </x:c>
      <x:c r="K8" s="11" t="n">
        <x:v>0</x:v>
      </x:c>
      <x:c r="L8" s="11" t="n">
        <x:v>500</x:v>
      </x:c>
      <x:c r="M8" s="11" t="n"/>
      <x:c r="N8" s="11" t="n"/>
      <x:c r="O8" s="11" t="n"/>
      <x:c r="P8" s="11" t="n"/>
      <x:c r="Q8" s="11" t="n">
        <x:v>0</x:v>
      </x:c>
      <x:c r="R8" s="9" t="inlineStr">
        <x:is>
          <x:t xml:space="preserve">none listed</x:t>
        </x:is>
      </x:c>
      <x:c r="S8" s="9" t="inlineStr">
        <x:is>
          <x:t xml:space="preserve">N</x:t>
        </x:is>
      </x:c>
      <x:c r="T8" s="15" t="inlineStr">
        <x:is>
          <x:t xml:space="preserve">partial</x:t>
        </x:is>
      </x:c>
      <x:c r="U8" s="13" t="inlineStr">
        <x:is>
          <x:t xml:space="preserve">moderate sodium top-up</x:t>
        </x:is>
      </x:c>
      <x:c r="V8" s="13" t="inlineStr">
        <x:is>
          <x:t xml:space="preserve">Low-cal tablet for lighter sweaters or shorter sessions.</x:t>
        </x:is>
      </x:c>
      <x:c r="W8" s="14" t="inlineStr">
        <x:is>
          <x:t xml:space="preserve">https://www.precisionhydration.com/us/en/products/ph-500-low-calorie-electrolyte-supplement/</x:t>
        </x:is>
      </x:c>
      <x:c r="X8" s="16" t="inlineStr">
        <x:is>
          <x:t xml:space="preserve">Official strength naming provides sodium level; exact full mineral panel pending direct label capture.</x:t>
        </x:is>
      </x:c>
    </x:row>
    <x:row r="9">
      <x:c r="A9" s="9" t="n">
        <x:v>8</x:v>
      </x:c>
      <x:c r="B9" s="10" t="inlineStr">
        <x:is>
          <x:t xml:space="preserve">PH 1000 Low-Cal Tablet</x:t>
        </x:is>
      </x:c>
      <x:c r="C9" s="10" t="inlineStr">
        <x:is>
          <x:t xml:space="preserve">Precision Hydration</x:t>
        </x:is>
      </x:c>
      <x:c r="D9" s="9" t="inlineStr">
        <x:is>
          <x:t xml:space="preserve">high_sodium_endurance</x:t>
        </x:is>
      </x:c>
      <x:c r="E9" s="9" t="inlineStr">
        <x:is>
          <x:t xml:space="preserve">2,3,5</x:t>
        </x:is>
      </x:c>
      <x:c r="F9" s="9" t="inlineStr">
        <x:is>
          <x:t xml:space="preserve">tablet</x:t>
        </x:is>
      </x:c>
      <x:c r="G9" s="9" t="inlineStr">
        <x:is>
          <x:t xml:space="preserve">1 tablet / 16 oz</x:t>
        </x:is>
      </x:c>
      <x:c r="H9" s="9" t="inlineStr">
        <x:is>
          <x:t xml:space="preserve">Y</x:t>
        </x:is>
      </x:c>
      <x:c r="I9" s="11" t="n">
        <x:v>0</x:v>
      </x:c>
      <x:c r="J9" s="11" t="n">
        <x:v>0</x:v>
      </x:c>
      <x:c r="K9" s="11" t="n">
        <x:v>0</x:v>
      </x:c>
      <x:c r="L9" s="11" t="n">
        <x:v>1000</x:v>
      </x:c>
      <x:c r="M9" s="11" t="n"/>
      <x:c r="N9" s="11" t="n"/>
      <x:c r="O9" s="11" t="n"/>
      <x:c r="P9" s="11" t="n"/>
      <x:c r="Q9" s="11" t="n">
        <x:v>0</x:v>
      </x:c>
      <x:c r="R9" s="9" t="inlineStr">
        <x:is>
          <x:t xml:space="preserve">none listed</x:t>
        </x:is>
      </x:c>
      <x:c r="S9" s="9" t="inlineStr">
        <x:is>
          <x:t xml:space="preserve">N</x:t>
        </x:is>
      </x:c>
      <x:c r="T9" s="15" t="inlineStr">
        <x:is>
          <x:t xml:space="preserve">partial</x:t>
        </x:is>
      </x:c>
      <x:c r="U9" s="13" t="inlineStr">
        <x:is>
          <x:t xml:space="preserve">high-sweat endurance</x:t>
        </x:is>
      </x:c>
      <x:c r="V9" s="13" t="inlineStr">
        <x:is>
          <x:t xml:space="preserve">High-sodium tablet for athletes with heavier sweat losses.</x:t>
        </x:is>
      </x:c>
      <x:c r="W9" s="14" t="inlineStr">
        <x:is>
          <x:t xml:space="preserve">https://www.precisionhydration.com/us/en/products/ph-1000-low-calorie-electrolyte-supplement/</x:t>
        </x:is>
      </x:c>
      <x:c r="X9" s="16" t="inlineStr">
        <x:is>
          <x:t xml:space="preserve"/>
        </x:is>
      </x:c>
    </x:row>
    <x:row r="10">
      <x:c r="A10" s="9" t="n">
        <x:v>9</x:v>
      </x:c>
      <x:c r="B10" s="10" t="inlineStr">
        <x:is>
          <x:t xml:space="preserve">PH 1500 Low-Cal Tablet</x:t>
        </x:is>
      </x:c>
      <x:c r="C10" s="10" t="inlineStr">
        <x:is>
          <x:t xml:space="preserve">Precision Hydration</x:t>
        </x:is>
      </x:c>
      <x:c r="D10" s="9" t="inlineStr">
        <x:is>
          <x:t xml:space="preserve">high_sodium_endurance</x:t>
        </x:is>
      </x:c>
      <x:c r="E10" s="9" t="inlineStr">
        <x:is>
          <x:t xml:space="preserve">2,3,5</x:t>
        </x:is>
      </x:c>
      <x:c r="F10" s="9" t="inlineStr">
        <x:is>
          <x:t xml:space="preserve">tablet</x:t>
        </x:is>
      </x:c>
      <x:c r="G10" s="9" t="inlineStr">
        <x:is>
          <x:t xml:space="preserve">1 tablet / 16 oz</x:t>
        </x:is>
      </x:c>
      <x:c r="H10" s="9" t="inlineStr">
        <x:is>
          <x:t xml:space="preserve">Y</x:t>
        </x:is>
      </x:c>
      <x:c r="I10" s="11" t="n">
        <x:v>0</x:v>
      </x:c>
      <x:c r="J10" s="11" t="n">
        <x:v>0</x:v>
      </x:c>
      <x:c r="K10" s="11" t="n">
        <x:v>0</x:v>
      </x:c>
      <x:c r="L10" s="11" t="n">
        <x:v>1500</x:v>
      </x:c>
      <x:c r="M10" s="11" t="n"/>
      <x:c r="N10" s="11" t="n"/>
      <x:c r="O10" s="11" t="n"/>
      <x:c r="P10" s="11" t="n"/>
      <x:c r="Q10" s="11" t="n">
        <x:v>0</x:v>
      </x:c>
      <x:c r="R10" s="9" t="inlineStr">
        <x:is>
          <x:t xml:space="preserve">none listed</x:t>
        </x:is>
      </x:c>
      <x:c r="S10" s="9" t="inlineStr">
        <x:is>
          <x:t xml:space="preserve">N</x:t>
        </x:is>
      </x:c>
      <x:c r="T10" s="15" t="inlineStr">
        <x:is>
          <x:t xml:space="preserve">partial</x:t>
        </x:is>
      </x:c>
      <x:c r="U10" s="13" t="inlineStr">
        <x:is>
          <x:t xml:space="preserve">extreme sweat / hot conditions</x:t>
        </x:is>
      </x:c>
      <x:c r="V10" s="13" t="inlineStr">
        <x:is>
          <x:t xml:space="preserve">Very strong sodium replacement for high-salt sweaters and hotter races.</x:t>
        </x:is>
      </x:c>
      <x:c r="W10" s="14" t="inlineStr">
        <x:is>
          <x:t xml:space="preserve">https://www.precisionhydration.com/us/en/products/ph-1500-low-calorie-electrolyte-supplement/</x:t>
        </x:is>
      </x:c>
      <x:c r="X10" s="16" t="inlineStr">
        <x:is>
          <x:t xml:space="preserve"/>
        </x:is>
      </x:c>
    </x:row>
    <x:row r="11">
      <x:c r="A11" s="9" t="n">
        <x:v>10</x:v>
      </x:c>
      <x:c r="B11" s="10" t="inlineStr">
        <x:is>
          <x:t xml:space="preserve">PH 500 Drink Mix</x:t>
        </x:is>
      </x:c>
      <x:c r="C11" s="10" t="inlineStr">
        <x:is>
          <x:t xml:space="preserve">Precision Hydration</x:t>
        </x:is>
      </x:c>
      <x:c r="D11" s="9" t="inlineStr">
        <x:is>
          <x:t xml:space="preserve">endurance_carb_electrolyte</x:t>
        </x:is>
      </x:c>
      <x:c r="E11" s="9" t="inlineStr">
        <x:is>
          <x:t xml:space="preserve">2,3,5</x:t>
        </x:is>
      </x:c>
      <x:c r="F11" s="9" t="inlineStr">
        <x:is>
          <x:t xml:space="preserve">powder stick</x:t>
        </x:is>
      </x:c>
      <x:c r="G11" s="9" t="inlineStr">
        <x:is>
          <x:t xml:space="preserve">1 packet / 16 oz</x:t>
        </x:is>
      </x:c>
      <x:c r="H11" s="9" t="inlineStr">
        <x:is>
          <x:t xml:space="preserve">N</x:t>
        </x:is>
      </x:c>
      <x:c r="I11" s="11" t="n">
        <x:v>70</x:v>
      </x:c>
      <x:c r="J11" s="11" t="n">
        <x:v>15</x:v>
      </x:c>
      <x:c r="K11" s="11" t="n"/>
      <x:c r="L11" s="11" t="n">
        <x:v>500</x:v>
      </x:c>
      <x:c r="M11" s="11" t="n"/>
      <x:c r="N11" s="11" t="n"/>
      <x:c r="O11" s="11" t="n"/>
      <x:c r="P11" s="11" t="n"/>
      <x:c r="Q11" s="11" t="n">
        <x:v>0</x:v>
      </x:c>
      <x:c r="R11" s="9" t="inlineStr">
        <x:is>
          <x:t xml:space="preserve">glucose-based mix</x:t>
        </x:is>
      </x:c>
      <x:c r="S11" s="9" t="inlineStr">
        <x:is>
          <x:t xml:space="preserve">N</x:t>
        </x:is>
      </x:c>
      <x:c r="T11" s="15" t="inlineStr">
        <x:is>
          <x:t xml:space="preserve">partial</x:t>
        </x:is>
      </x:c>
      <x:c r="U11" s="13" t="inlineStr">
        <x:is>
          <x:t xml:space="preserve">moderate sodium + carbs</x:t>
        </x:is>
      </x:c>
      <x:c r="V11" s="13" t="inlineStr">
        <x:is>
          <x:t xml:space="preserve">Carb-inclusive Precision option for steady training hydration.</x:t>
        </x:is>
      </x:c>
      <x:c r="W11" s="14" t="inlineStr">
        <x:is>
          <x:t xml:space="preserve">https://www.precisionhydration.com/us/en/products/ph-500/</x:t>
        </x:is>
      </x:c>
      <x:c r="X11" s="16" t="inlineStr">
        <x:is>
          <x:t xml:space="preserve">Official FAQ notes drink mixes deliver just under 70 kcal and ~15g carbohydrate per 500 mL / 16 oz.</x:t>
        </x:is>
      </x:c>
    </x:row>
    <x:row r="12">
      <x:c r="A12" s="9" t="n">
        <x:v>11</x:v>
      </x:c>
      <x:c r="B12" s="10" t="inlineStr">
        <x:is>
          <x:t xml:space="preserve">PH 1000 Drink Mix</x:t>
        </x:is>
      </x:c>
      <x:c r="C12" s="10" t="inlineStr">
        <x:is>
          <x:t xml:space="preserve">Precision Hydration</x:t>
        </x:is>
      </x:c>
      <x:c r="D12" s="9" t="inlineStr">
        <x:is>
          <x:t xml:space="preserve">high_sodium_carb_mix</x:t>
        </x:is>
      </x:c>
      <x:c r="E12" s="9" t="inlineStr">
        <x:is>
          <x:t xml:space="preserve">2,3,5</x:t>
        </x:is>
      </x:c>
      <x:c r="F12" s="9" t="inlineStr">
        <x:is>
          <x:t xml:space="preserve">powder stick</x:t>
        </x:is>
      </x:c>
      <x:c r="G12" s="9" t="inlineStr">
        <x:is>
          <x:t xml:space="preserve">1 packet / 16 oz</x:t>
        </x:is>
      </x:c>
      <x:c r="H12" s="9" t="inlineStr">
        <x:is>
          <x:t xml:space="preserve">Y</x:t>
        </x:is>
      </x:c>
      <x:c r="I12" s="11" t="n">
        <x:v>70</x:v>
      </x:c>
      <x:c r="J12" s="11" t="n">
        <x:v>15</x:v>
      </x:c>
      <x:c r="K12" s="11" t="n"/>
      <x:c r="L12" s="11" t="n">
        <x:v>1000</x:v>
      </x:c>
      <x:c r="M12" s="11" t="n"/>
      <x:c r="N12" s="11" t="n"/>
      <x:c r="O12" s="11" t="n"/>
      <x:c r="P12" s="11" t="n"/>
      <x:c r="Q12" s="11" t="n">
        <x:v>0</x:v>
      </x:c>
      <x:c r="R12" s="9" t="inlineStr">
        <x:is>
          <x:t xml:space="preserve">glucose-based mix</x:t>
        </x:is>
      </x:c>
      <x:c r="S12" s="9" t="inlineStr">
        <x:is>
          <x:t xml:space="preserve">N</x:t>
        </x:is>
      </x:c>
      <x:c r="T12" s="15" t="inlineStr">
        <x:is>
          <x:t xml:space="preserve">partial</x:t>
        </x:is>
      </x:c>
      <x:c r="U12" s="13" t="inlineStr">
        <x:is>
          <x:t xml:space="preserve">high-sweat endurance with fuel</x:t>
        </x:is>
      </x:c>
      <x:c r="V12" s="13" t="inlineStr">
        <x:is>
          <x:t xml:space="preserve">Adds carbohydrate to a high-sodium Precision format.</x:t>
        </x:is>
      </x:c>
      <x:c r="W12" s="14" t="inlineStr">
        <x:is>
          <x:t xml:space="preserve">https://www.precisionhydration.com/us/en/products/ph-1000/</x:t>
        </x:is>
      </x:c>
      <x:c r="X12" s="16" t="inlineStr">
        <x:is>
          <x:t xml:space="preserve"/>
        </x:is>
      </x:c>
    </x:row>
    <x:row r="13">
      <x:c r="A13" s="9" t="n">
        <x:v>12</x:v>
      </x:c>
      <x:c r="B13" s="10" t="inlineStr">
        <x:is>
          <x:t xml:space="preserve">PH 1500 Drink Mix</x:t>
        </x:is>
      </x:c>
      <x:c r="C13" s="10" t="inlineStr">
        <x:is>
          <x:t xml:space="preserve">Precision Hydration</x:t>
        </x:is>
      </x:c>
      <x:c r="D13" s="9" t="inlineStr">
        <x:is>
          <x:t xml:space="preserve">high_sodium_carb_mix</x:t>
        </x:is>
      </x:c>
      <x:c r="E13" s="9" t="inlineStr">
        <x:is>
          <x:t xml:space="preserve">2,3,5</x:t>
        </x:is>
      </x:c>
      <x:c r="F13" s="9" t="inlineStr">
        <x:is>
          <x:t xml:space="preserve">powder stick</x:t>
        </x:is>
      </x:c>
      <x:c r="G13" s="9" t="inlineStr">
        <x:is>
          <x:t xml:space="preserve">1 packet / 16 oz</x:t>
        </x:is>
      </x:c>
      <x:c r="H13" s="9" t="inlineStr">
        <x:is>
          <x:t xml:space="preserve">N</x:t>
        </x:is>
      </x:c>
      <x:c r="I13" s="11" t="n">
        <x:v>70</x:v>
      </x:c>
      <x:c r="J13" s="11" t="n">
        <x:v>15</x:v>
      </x:c>
      <x:c r="K13" s="11" t="n"/>
      <x:c r="L13" s="11" t="n">
        <x:v>1500</x:v>
      </x:c>
      <x:c r="M13" s="11" t="n"/>
      <x:c r="N13" s="11" t="n"/>
      <x:c r="O13" s="11" t="n"/>
      <x:c r="P13" s="11" t="n"/>
      <x:c r="Q13" s="11" t="n">
        <x:v>0</x:v>
      </x:c>
      <x:c r="R13" s="9" t="inlineStr">
        <x:is>
          <x:t xml:space="preserve">glucose-based mix</x:t>
        </x:is>
      </x:c>
      <x:c r="S13" s="9" t="inlineStr">
        <x:is>
          <x:t xml:space="preserve">N</x:t>
        </x:is>
      </x:c>
      <x:c r="T13" s="15" t="inlineStr">
        <x:is>
          <x:t xml:space="preserve">partial</x:t>
        </x:is>
      </x:c>
      <x:c r="U13" s="13" t="inlineStr">
        <x:is>
          <x:t xml:space="preserve">very high sodium with fuel</x:t>
        </x:is>
      </x:c>
      <x:c r="V13" s="13" t="inlineStr">
        <x:is>
          <x:t xml:space="preserve">Strongest carb-inclusive Precision option in the set.</x:t>
        </x:is>
      </x:c>
      <x:c r="W13" s="14" t="inlineStr">
        <x:is>
          <x:t xml:space="preserve">https://www.precisionhydration.com/us/en/products/ph-1500/</x:t>
        </x:is>
      </x:c>
      <x:c r="X13" s="16" t="inlineStr">
        <x:is>
          <x:t xml:space="preserve"/>
        </x:is>
      </x:c>
    </x:row>
    <x:row r="14">
      <x:c r="A14" s="9" t="n">
        <x:v>13</x:v>
      </x:c>
      <x:c r="B14" s="10" t="inlineStr">
        <x:is>
          <x:t xml:space="preserve">Pedialyte Classic Powder Packs</x:t>
        </x:is>
      </x:c>
      <x:c r="C14" s="10" t="inlineStr">
        <x:is>
          <x:t xml:space="preserve">Pedialyte</x:t>
        </x:is>
      </x:c>
      <x:c r="D14" s="9" t="inlineStr">
        <x:is>
          <x:t xml:space="preserve">ors_style</x:t>
        </x:is>
      </x:c>
      <x:c r="E14" s="9" t="inlineStr">
        <x:is>
          <x:t xml:space="preserve">2,3,5</x:t>
        </x:is>
      </x:c>
      <x:c r="F14" s="9" t="inlineStr">
        <x:is>
          <x:t xml:space="preserve">powder stick</x:t>
        </x:is>
      </x:c>
      <x:c r="G14" s="9" t="inlineStr">
        <x:is>
          <x:t xml:space="preserve">prepared serving</x:t>
        </x:is>
      </x:c>
      <x:c r="H14" s="9" t="inlineStr">
        <x:is>
          <x:t xml:space="preserve">N</x:t>
        </x:is>
      </x:c>
      <x:c r="I14" s="11" t="n">
        <x:v>25</x:v>
      </x:c>
      <x:c r="J14" s="11" t="n">
        <x:v>6</x:v>
      </x:c>
      <x:c r="K14" s="11" t="n">
        <x:v>6</x:v>
      </x:c>
      <x:c r="L14" s="11" t="n">
        <x:v>244</x:v>
      </x:c>
      <x:c r="M14" s="11" t="n">
        <x:v>184</x:v>
      </x:c>
      <x:c r="N14" s="11" t="n"/>
      <x:c r="O14" s="11" t="n"/>
      <x:c r="P14" s="11" t="n">
        <x:v>294</x:v>
      </x:c>
      <x:c r="Q14" s="11" t="n">
        <x:v>0</x:v>
      </x:c>
      <x:c r="R14" s="9" t="inlineStr">
        <x:is>
          <x:t xml:space="preserve">dextrose</x:t>
        </x:is>
      </x:c>
      <x:c r="S14" s="9" t="inlineStr">
        <x:is>
          <x:t xml:space="preserve">N</x:t>
        </x:is>
      </x:c>
      <x:c r="T14" s="12" t="inlineStr">
        <x:is>
          <x:t xml:space="preserve">verified_exact</x:t>
        </x:is>
      </x:c>
      <x:c r="U14" s="13" t="inlineStr">
        <x:is>
          <x:t xml:space="preserve">ORS-style rehydration</x:t>
        </x:is>
      </x:c>
      <x:c r="V14" s="13" t="inlineStr">
        <x:is>
          <x:t xml:space="preserve">Classic oral rehydration style profile; more medical than sport-forward.</x:t>
        </x:is>
      </x:c>
      <x:c r="W14" s="14" t="inlineStr">
        <x:is>
          <x:t xml:space="preserve">https://www.pedialyte.com/products/electrolyte-powder</x:t>
        </x:is>
      </x:c>
      <x:c r="X14" s="10" t="inlineStr">
        <x:is>
          <x:t xml:space="preserve">Values aligned to official classic per 8 fl oz / reconstituted serving equivalents.</x:t>
        </x:is>
      </x:c>
    </x:row>
    <x:row r="15">
      <x:c r="A15" s="9" t="n">
        <x:v>14</x:v>
      </x:c>
      <x:c r="B15" s="10" t="inlineStr">
        <x:is>
          <x:t xml:space="preserve">Pedialyte Fast Hydration Powder</x:t>
        </x:is>
      </x:c>
      <x:c r="C15" s="10" t="inlineStr">
        <x:is>
          <x:t xml:space="preserve">Pedialyte</x:t>
        </x:is>
      </x:c>
      <x:c r="D15" s="9" t="inlineStr">
        <x:is>
          <x:t xml:space="preserve">ors_style</x:t>
        </x:is>
      </x:c>
      <x:c r="E15" s="9" t="inlineStr">
        <x:is>
          <x:t xml:space="preserve">2,3,5</x:t>
        </x:is>
      </x:c>
      <x:c r="F15" s="9" t="inlineStr">
        <x:is>
          <x:t xml:space="preserve">powder stick</x:t>
        </x:is>
      </x:c>
      <x:c r="G15" s="9" t="inlineStr">
        <x:is>
          <x:t xml:space="preserve">prepared liter basis</x:t>
        </x:is>
      </x:c>
      <x:c r="H15" s="9" t="inlineStr">
        <x:is>
          <x:t xml:space="preserve">N</x:t>
        </x:is>
      </x:c>
      <x:c r="I15" s="11" t="n"/>
      <x:c r="J15" s="11" t="n"/>
      <x:c r="K15" s="11" t="n">
        <x:v>25</x:v>
      </x:c>
      <x:c r="L15" s="11" t="n">
        <x:v>1030</x:v>
      </x:c>
      <x:c r="M15" s="11" t="n"/>
      <x:c r="N15" s="11" t="n"/>
      <x:c r="O15" s="11" t="n"/>
      <x:c r="P15" s="11" t="n"/>
      <x:c r="Q15" s="11" t="n">
        <x:v>0</x:v>
      </x:c>
      <x:c r="R15" s="9" t="inlineStr">
        <x:is>
          <x:t xml:space="preserve">sugar-based ORS style</x:t>
        </x:is>
      </x:c>
      <x:c r="S15" s="9" t="inlineStr">
        <x:is>
          <x:t xml:space="preserve">N</x:t>
        </x:is>
      </x:c>
      <x:c r="T15" s="15" t="inlineStr">
        <x:is>
          <x:t xml:space="preserve">partial</x:t>
        </x:is>
      </x:c>
      <x:c r="U15" s="13" t="inlineStr">
        <x:is>
          <x:t xml:space="preserve">fast rehydration</x:t>
        </x:is>
      </x:c>
      <x:c r="V15" s="13" t="inlineStr">
        <x:is>
          <x:t xml:space="preserve">Higher-sodium fast-hydration option; useful when dehydration risk outruns performance concerns.</x:t>
        </x:is>
      </x:c>
      <x:c r="W15" s="14" t="inlineStr">
        <x:is>
          <x:t xml:space="preserve">https://www.pedialyte.com/products/fast-hydration-powder</x:t>
        </x:is>
      </x:c>
      <x:c r="X15" s="16" t="inlineStr">
        <x:is>
          <x:t xml:space="preserve">Official snippet exposes sodium and sugar per liter, not full label panel.</x:t>
        </x:is>
      </x:c>
    </x:row>
    <x:row r="16">
      <x:c r="A16" s="9" t="n">
        <x:v>15</x:v>
      </x:c>
      <x:c r="B16" s="10" t="inlineStr">
        <x:is>
          <x:t xml:space="preserve">Pedialyte Sport Powder Packs</x:t>
        </x:is>
      </x:c>
      <x:c r="C16" s="10" t="inlineStr">
        <x:is>
          <x:t xml:space="preserve">Pedialyte</x:t>
        </x:is>
      </x:c>
      <x:c r="D16" s="9" t="inlineStr">
        <x:is>
          <x:t xml:space="preserve">ors_style</x:t>
        </x:is>
      </x:c>
      <x:c r="E16" s="9" t="inlineStr">
        <x:is>
          <x:t xml:space="preserve">2,3,5</x:t>
        </x:is>
      </x:c>
      <x:c r="F16" s="9" t="inlineStr">
        <x:is>
          <x:t xml:space="preserve">powder stick</x:t>
        </x:is>
      </x:c>
      <x:c r="G16" s="9" t="inlineStr">
        <x:is>
          <x:t xml:space="preserve">prepared liter basis</x:t>
        </x:is>
      </x:c>
      <x:c r="H16" s="9" t="inlineStr">
        <x:is>
          <x:t xml:space="preserve">Y</x:t>
        </x:is>
      </x:c>
      <x:c r="I16" s="11" t="n">
        <x:v>90</x:v>
      </x:c>
      <x:c r="J16" s="11" t="n">
        <x:v>25</x:v>
      </x:c>
      <x:c r="K16" s="11" t="n">
        <x:v>14</x:v>
      </x:c>
      <x:c r="L16" s="11" t="n">
        <x:v>1380</x:v>
      </x:c>
      <x:c r="M16" s="11" t="n"/>
      <x:c r="N16" s="11" t="n"/>
      <x:c r="O16" s="11" t="n"/>
      <x:c r="P16" s="11" t="n"/>
      <x:c r="Q16" s="11" t="n">
        <x:v>0</x:v>
      </x:c>
      <x:c r="R16" s="9" t="inlineStr">
        <x:is>
          <x:t xml:space="preserve">dextrose-based</x:t>
        </x:is>
      </x:c>
      <x:c r="S16" s="9" t="inlineStr">
        <x:is>
          <x:t xml:space="preserve">N</x:t>
        </x:is>
      </x:c>
      <x:c r="T16" s="15" t="inlineStr">
        <x:is>
          <x:t xml:space="preserve">partial</x:t>
        </x:is>
      </x:c>
      <x:c r="U16" s="13" t="inlineStr">
        <x:is>
          <x:t xml:space="preserve">high-electrolyte rehydration</x:t>
        </x:is>
      </x:c>
      <x:c r="V16" s="13" t="inlineStr">
        <x:is>
          <x:t xml:space="preserve">Strong sodium-forward sport option with less sugar than many sports drinks.</x:t>
        </x:is>
      </x:c>
      <x:c r="W16" s="14" t="inlineStr">
        <x:is>
          <x:t xml:space="preserve">https://www.pedialyte.com/products/sport-powder-packs/fruit-punch</x:t>
        </x:is>
      </x:c>
      <x:c r="X16" s="16" t="inlineStr">
        <x:is>
          <x:t xml:space="preserve"/>
        </x:is>
      </x:c>
    </x:row>
    <x:row r="17">
      <x:c r="A17" s="9" t="n">
        <x:v>16</x:v>
      </x:c>
      <x:c r="B17" s="10" t="inlineStr">
        <x:is>
          <x:t xml:space="preserve">Pedialyte AdvancedCare Plus Powder Packs</x:t>
        </x:is>
      </x:c>
      <x:c r="C17" s="10" t="inlineStr">
        <x:is>
          <x:t xml:space="preserve">Pedialyte</x:t>
        </x:is>
      </x:c>
      <x:c r="D17" s="9" t="inlineStr">
        <x:is>
          <x:t xml:space="preserve">ors_style</x:t>
        </x:is>
      </x:c>
      <x:c r="E17" s="9" t="inlineStr">
        <x:is>
          <x:t xml:space="preserve">2,3,5</x:t>
        </x:is>
      </x:c>
      <x:c r="F17" s="9" t="inlineStr">
        <x:is>
          <x:t xml:space="preserve">powder stick</x:t>
        </x:is>
      </x:c>
      <x:c r="G17" s="9" t="inlineStr">
        <x:is>
          <x:t xml:space="preserve">1 packet</x:t>
        </x:is>
      </x:c>
      <x:c r="H17" s="9" t="inlineStr">
        <x:is>
          <x:t xml:space="preserve">Y</x:t>
        </x:is>
      </x:c>
      <x:c r="I17" s="11" t="n">
        <x:v>50</x:v>
      </x:c>
      <x:c r="J17" s="11" t="n">
        <x:v>15</x:v>
      </x:c>
      <x:c r="K17" s="11" t="n">
        <x:v>10</x:v>
      </x:c>
      <x:c r="L17" s="11" t="n">
        <x:v>650</x:v>
      </x:c>
      <x:c r="M17" s="11" t="n"/>
      <x:c r="N17" s="11" t="n"/>
      <x:c r="O17" s="11" t="n"/>
      <x:c r="P17" s="11" t="n"/>
      <x:c r="Q17" s="11" t="n">
        <x:v>0</x:v>
      </x:c>
      <x:c r="R17" s="9" t="inlineStr">
        <x:is>
          <x:t xml:space="preserve">dextrose-based</x:t>
        </x:is>
      </x:c>
      <x:c r="S17" s="9" t="inlineStr">
        <x:is>
          <x:t xml:space="preserve">N</x:t>
        </x:is>
      </x:c>
      <x:c r="T17" s="12" t="inlineStr">
        <x:is>
          <x:t xml:space="preserve">verified_exact</x:t>
        </x:is>
      </x:c>
      <x:c r="U17" s="13" t="inlineStr">
        <x:is>
          <x:t xml:space="preserve">recovery / travel / sickness</x:t>
        </x:is>
      </x:c>
      <x:c r="V17" s="13" t="inlineStr">
        <x:is>
          <x:t xml:space="preserve">Useful crossover option for recovery, travel, heat, and mild dehydration support.</x:t>
        </x:is>
      </x:c>
      <x:c r="W17" s="14" t="inlineStr">
        <x:is>
          <x:t xml:space="preserve">https://www.pedialyte.com/products/advancedcare-plus-powder-packs</x:t>
        </x:is>
      </x:c>
      <x:c r="X17" s="10" t="inlineStr">
        <x:is>
          <x:t xml:space="preserve"/>
        </x:is>
      </x:c>
    </x:row>
    <x:row r="18">
      <x:c r="A18" s="9" t="n">
        <x:v>17</x:v>
      </x:c>
      <x:c r="B18" s="10" t="inlineStr">
        <x:is>
          <x:t xml:space="preserve">Pedialyte Electrolyte Drink Mix</x:t>
        </x:is>
      </x:c>
      <x:c r="C18" s="10" t="inlineStr">
        <x:is>
          <x:t xml:space="preserve">Pedialyte</x:t>
        </x:is>
      </x:c>
      <x:c r="D18" s="9" t="inlineStr">
        <x:is>
          <x:t xml:space="preserve">low_cal_ors_style</x:t>
        </x:is>
      </x:c>
      <x:c r="E18" s="9" t="inlineStr">
        <x:is>
          <x:t xml:space="preserve">1,2,4,5</x:t>
        </x:is>
      </x:c>
      <x:c r="F18" s="9" t="inlineStr">
        <x:is>
          <x:t xml:space="preserve">powder stick</x:t>
        </x:is>
      </x:c>
      <x:c r="G18" s="9" t="inlineStr">
        <x:is>
          <x:t xml:space="preserve">1 packet</x:t>
        </x:is>
      </x:c>
      <x:c r="H18" s="9" t="inlineStr">
        <x:is>
          <x:t xml:space="preserve">N</x:t>
        </x:is>
      </x:c>
      <x:c r="I18" s="11" t="n">
        <x:v>5</x:v>
      </x:c>
      <x:c r="J18" s="11" t="n">
        <x:v>2</x:v>
      </x:c>
      <x:c r="K18" s="11" t="n">
        <x:v>0</x:v>
      </x:c>
      <x:c r="L18" s="11" t="n">
        <x:v>330</x:v>
      </x:c>
      <x:c r="M18" s="11" t="n"/>
      <x:c r="N18" s="11" t="n"/>
      <x:c r="O18" s="11" t="n"/>
      <x:c r="P18" s="11" t="n"/>
      <x:c r="Q18" s="11" t="n">
        <x:v>0</x:v>
      </x:c>
      <x:c r="R18" s="9" t="inlineStr">
        <x:is>
          <x:t xml:space="preserve">sweetened low-cal mix</x:t>
        </x:is>
      </x:c>
      <x:c r="S18" s="9" t="inlineStr">
        <x:is>
          <x:t xml:space="preserve">N</x:t>
        </x:is>
      </x:c>
      <x:c r="T18" s="12" t="inlineStr">
        <x:is>
          <x:t xml:space="preserve">verified_exact</x:t>
        </x:is>
      </x:c>
      <x:c r="U18" s="13" t="inlineStr">
        <x:is>
          <x:t xml:space="preserve">light rehydration</x:t>
        </x:is>
      </x:c>
      <x:c r="V18" s="13" t="inlineStr">
        <x:is>
          <x:t xml:space="preserve">A lighter Pedialyte format for those who want electrolyte support with minimal sugar.</x:t>
        </x:is>
      </x:c>
      <x:c r="W18" s="14" t="inlineStr">
        <x:is>
          <x:t xml:space="preserve">https://www.pedialyte.com/products/electrolyte-drink-mix</x:t>
        </x:is>
      </x:c>
      <x:c r="X18" s="10" t="inlineStr">
        <x:is>
          <x:t xml:space="preserve"/>
        </x:is>
      </x:c>
    </x:row>
    <x:row r="19">
      <x:c r="A19" s="9" t="n">
        <x:v>18</x:v>
      </x:c>
      <x:c r="B19" s="10" t="inlineStr">
        <x:is>
          <x:t xml:space="preserve">Liquid I.V. Hydration Multiplier</x:t>
        </x:is>
      </x:c>
      <x:c r="C19" s="10" t="inlineStr">
        <x:is>
          <x:t xml:space="preserve">Liquid I.V.</x:t>
        </x:is>
      </x:c>
      <x:c r="D19" s="9" t="inlineStr">
        <x:is>
          <x:t xml:space="preserve">ors_style</x:t>
        </x:is>
      </x:c>
      <x:c r="E19" s="9" t="inlineStr">
        <x:is>
          <x:t xml:space="preserve">2,3,5</x:t>
        </x:is>
      </x:c>
      <x:c r="F19" s="9" t="inlineStr">
        <x:is>
          <x:t xml:space="preserve">powder stick</x:t>
        </x:is>
      </x:c>
      <x:c r="G19" s="9" t="inlineStr">
        <x:is>
          <x:t xml:space="preserve">1 stick / 16 oz</x:t>
        </x:is>
      </x:c>
      <x:c r="H19" s="9" t="inlineStr">
        <x:is>
          <x:t xml:space="preserve">Y</x:t>
        </x:is>
      </x:c>
      <x:c r="I19" s="11" t="n">
        <x:v>45</x:v>
      </x:c>
      <x:c r="J19" s="11" t="n">
        <x:v>11</x:v>
      </x:c>
      <x:c r="K19" s="11" t="n">
        <x:v>11</x:v>
      </x:c>
      <x:c r="L19" s="11" t="n">
        <x:v>500</x:v>
      </x:c>
      <x:c r="M19" s="11" t="n">
        <x:v>380</x:v>
      </x:c>
      <x:c r="N19" s="11" t="n"/>
      <x:c r="O19" s="11" t="n"/>
      <x:c r="P19" s="11" t="n"/>
      <x:c r="Q19" s="11" t="n">
        <x:v>0</x:v>
      </x:c>
      <x:c r="R19" s="9" t="inlineStr">
        <x:is>
          <x:t xml:space="preserve">cane sugar + allulose family varies</x:t>
        </x:is>
      </x:c>
      <x:c r="S19" s="9" t="inlineStr">
        <x:is>
          <x:t xml:space="preserve">N</x:t>
        </x:is>
      </x:c>
      <x:c r="T19" s="12" t="inlineStr">
        <x:is>
          <x:t xml:space="preserve">verified_exact</x:t>
        </x:is>
      </x:c>
      <x:c r="U19" s="13" t="inlineStr">
        <x:is>
          <x:t xml:space="preserve">training and travel hydration</x:t>
        </x:is>
      </x:c>
      <x:c r="V19" s="13" t="inlineStr">
        <x:is>
          <x:t xml:space="preserve">High-recognition ORS-style product with meaningful sodium and potassium.</x:t>
        </x:is>
      </x:c>
      <x:c r="W19" s="14" t="inlineStr">
        <x:is>
          <x:t xml:space="preserve">https://www.liquid-iv.com/pages/ingredients</x:t>
        </x:is>
      </x:c>
      <x:c r="X19" s="10" t="inlineStr">
        <x:is>
          <x:t xml:space="preserve"/>
        </x:is>
      </x:c>
    </x:row>
    <x:row r="20">
      <x:c r="A20" s="9" t="n">
        <x:v>19</x:v>
      </x:c>
      <x:c r="B20" s="10" t="inlineStr">
        <x:is>
          <x:t xml:space="preserve">Liquid I.V. Hydration Multiplier + Immune Support</x:t>
        </x:is>
      </x:c>
      <x:c r="C20" s="10" t="inlineStr">
        <x:is>
          <x:t xml:space="preserve">Liquid I.V.</x:t>
        </x:is>
      </x:c>
      <x:c r="D20" s="9" t="inlineStr">
        <x:is>
          <x:t xml:space="preserve">ors_style</x:t>
        </x:is>
      </x:c>
      <x:c r="E20" s="9" t="inlineStr">
        <x:is>
          <x:t xml:space="preserve">2,3,5</x:t>
        </x:is>
      </x:c>
      <x:c r="F20" s="9" t="inlineStr">
        <x:is>
          <x:t xml:space="preserve">powder stick</x:t>
        </x:is>
      </x:c>
      <x:c r="G20" s="9" t="inlineStr">
        <x:is>
          <x:t xml:space="preserve">1 stick / 16 oz</x:t>
        </x:is>
      </x:c>
      <x:c r="H20" s="9" t="inlineStr">
        <x:is>
          <x:t xml:space="preserve">N</x:t>
        </x:is>
      </x:c>
      <x:c r="I20" s="11" t="n">
        <x:v>45</x:v>
      </x:c>
      <x:c r="J20" s="11" t="n">
        <x:v>11</x:v>
      </x:c>
      <x:c r="K20" s="11" t="n">
        <x:v>11</x:v>
      </x:c>
      <x:c r="L20" s="11" t="n">
        <x:v>500</x:v>
      </x:c>
      <x:c r="M20" s="11" t="n">
        <x:v>370</x:v>
      </x:c>
      <x:c r="N20" s="11" t="n"/>
      <x:c r="O20" s="11" t="n"/>
      <x:c r="P20" s="11" t="n"/>
      <x:c r="Q20" s="11" t="n">
        <x:v>0</x:v>
      </x:c>
      <x:c r="R20" s="9" t="inlineStr">
        <x:is>
          <x:t xml:space="preserve">cane sugar</x:t>
        </x:is>
      </x:c>
      <x:c r="S20" s="9" t="inlineStr">
        <x:is>
          <x:t xml:space="preserve">N</x:t>
        </x:is>
      </x:c>
      <x:c r="T20" s="12" t="inlineStr">
        <x:is>
          <x:t xml:space="preserve">verified_exact</x:t>
        </x:is>
      </x:c>
      <x:c r="U20" s="13" t="inlineStr">
        <x:is>
          <x:t xml:space="preserve">hydration plus immune support</x:t>
        </x:is>
      </x:c>
      <x:c r="V20" s="13" t="inlineStr">
        <x:is>
          <x:t xml:space="preserve">Extension of the core Hydration Multiplier with similar electrolyte profile.</x:t>
        </x:is>
      </x:c>
      <x:c r="W20" s="14" t="inlineStr">
        <x:is>
          <x:t xml:space="preserve">https://www.liquid-iv.com/products/tangerine-hydration-multiplier-immune-support</x:t>
        </x:is>
      </x:c>
      <x:c r="X20" s="10" t="inlineStr">
        <x:is>
          <x:t xml:space="preserve"/>
        </x:is>
      </x:c>
    </x:row>
    <x:row r="21">
      <x:c r="A21" s="9" t="n">
        <x:v>20</x:v>
      </x:c>
      <x:c r="B21" s="10" t="inlineStr">
        <x:is>
          <x:t xml:space="preserve">Liquid I.V. Hydration Multiplier Sugar-Free</x:t>
        </x:is>
      </x:c>
      <x:c r="C21" s="10" t="inlineStr">
        <x:is>
          <x:t xml:space="preserve">Liquid I.V.</x:t>
        </x:is>
      </x:c>
      <x:c r="D21" s="9" t="inlineStr">
        <x:is>
          <x:t xml:space="preserve">low_sugar_modern</x:t>
        </x:is>
      </x:c>
      <x:c r="E21" s="9" t="inlineStr">
        <x:is>
          <x:t xml:space="preserve">1,2,4,5</x:t>
        </x:is>
      </x:c>
      <x:c r="F21" s="9" t="inlineStr">
        <x:is>
          <x:t xml:space="preserve">powder stick</x:t>
        </x:is>
      </x:c>
      <x:c r="G21" s="9" t="inlineStr">
        <x:is>
          <x:t xml:space="preserve">1 stick / 16 oz</x:t>
        </x:is>
      </x:c>
      <x:c r="H21" s="9" t="inlineStr">
        <x:is>
          <x:t xml:space="preserve">Y</x:t>
        </x:is>
      </x:c>
      <x:c r="I21" s="11" t="n"/>
      <x:c r="J21" s="11" t="n"/>
      <x:c r="K21" s="11" t="n">
        <x:v>0</x:v>
      </x:c>
      <x:c r="L21" s="11" t="n"/>
      <x:c r="M21" s="11" t="n"/>
      <x:c r="N21" s="11" t="n"/>
      <x:c r="O21" s="11" t="n"/>
      <x:c r="P21" s="11" t="n"/>
      <x:c r="Q21" s="11" t="n">
        <x:v>0</x:v>
      </x:c>
      <x:c r="R21" s="9" t="inlineStr">
        <x:is>
          <x:t xml:space="preserve">stevia/allulose family varies</x:t>
        </x:is>
      </x:c>
      <x:c r="S21" s="9" t="inlineStr">
        <x:is>
          <x:t xml:space="preserve">N</x:t>
        </x:is>
      </x:c>
      <x:c r="T21" s="15" t="inlineStr">
        <x:is>
          <x:t xml:space="preserve">partial</x:t>
        </x:is>
      </x:c>
      <x:c r="U21" s="13" t="inlineStr">
        <x:is>
          <x:t xml:space="preserve">low-sugar daily hydration</x:t>
        </x:is>
      </x:c>
      <x:c r="V21" s="13" t="inlineStr">
        <x:is>
          <x:t xml:space="preserve">Sugar-free LIQUID I.V. option for users who want the brand without the sugar load.</x:t>
        </x:is>
      </x:c>
      <x:c r="W21" s="14" t="inlineStr">
        <x:is>
          <x:t xml:space="preserve">https://www.liquid-iv.com/products/white-peach-hydration-multiplier-sugar-free</x:t>
        </x:is>
      </x:c>
      <x:c r="X21" s="16" t="inlineStr">
        <x:is>
          <x:t xml:space="preserve">Official site snippet confirms sugar-free and higher-electrolyte positioning; exact label capture pending.</x:t>
        </x:is>
      </x:c>
    </x:row>
    <x:row r="22">
      <x:c r="A22" s="9" t="n">
        <x:v>21</x:v>
      </x:c>
      <x:c r="B22" s="10" t="inlineStr">
        <x:is>
          <x:t xml:space="preserve">Liquid I.V. Sugar-Free Energy Multiplier</x:t>
        </x:is>
      </x:c>
      <x:c r="C22" s="10" t="inlineStr">
        <x:is>
          <x:t xml:space="preserve">Liquid I.V.</x:t>
        </x:is>
      </x:c>
      <x:c r="D22" s="9" t="inlineStr">
        <x:is>
          <x:t xml:space="preserve">energy_electrolyte</x:t>
        </x:is>
      </x:c>
      <x:c r="E22" s="9" t="inlineStr">
        <x:is>
          <x:t xml:space="preserve">2,3,5</x:t>
        </x:is>
      </x:c>
      <x:c r="F22" s="9" t="inlineStr">
        <x:is>
          <x:t xml:space="preserve">powder stick</x:t>
        </x:is>
      </x:c>
      <x:c r="G22" s="9" t="inlineStr">
        <x:is>
          <x:t xml:space="preserve">1 stick</x:t>
        </x:is>
      </x:c>
      <x:c r="H22" s="9" t="inlineStr">
        <x:is>
          <x:t xml:space="preserve">N</x:t>
        </x:is>
      </x:c>
      <x:c r="I22" s="11" t="n"/>
      <x:c r="J22" s="11" t="n"/>
      <x:c r="K22" s="11" t="n">
        <x:v>0</x:v>
      </x:c>
      <x:c r="L22" s="11" t="n"/>
      <x:c r="M22" s="11" t="n"/>
      <x:c r="N22" s="11" t="n"/>
      <x:c r="O22" s="11" t="n"/>
      <x:c r="P22" s="11" t="n"/>
      <x:c r="Q22" s="11" t="n">
        <x:v>100</x:v>
      </x:c>
      <x:c r="R22" s="9" t="inlineStr">
        <x:is>
          <x:t xml:space="preserve">stevia/allulose family varies</x:t>
        </x:is>
      </x:c>
      <x:c r="S22" s="9" t="inlineStr">
        <x:is>
          <x:t xml:space="preserve">N</x:t>
        </x:is>
      </x:c>
      <x:c r="T22" s="15" t="inlineStr">
        <x:is>
          <x:t xml:space="preserve">partial</x:t>
        </x:is>
      </x:c>
      <x:c r="U22" s="13" t="inlineStr">
        <x:is>
          <x:t xml:space="preserve">caffeinated hydration</x:t>
        </x:is>
      </x:c>
      <x:c r="V22" s="13" t="inlineStr">
        <x:is>
          <x:t xml:space="preserve">Caffeine plus electrolytes for pre-activity or long work/travel days.</x:t>
        </x:is>
      </x:c>
      <x:c r="W22" s="14" t="inlineStr">
        <x:is>
          <x:t xml:space="preserve">https://www.liquid-iv.com/products/energy-multiplier?variant=45576216170788</x:t>
        </x:is>
      </x:c>
      <x:c r="X22" s="16" t="inlineStr">
        <x:is>
          <x:t xml:space="preserve">Official snippets expose ~100 mg caffeine and sugar-free status; exact electrolyte split pending.</x:t>
        </x:is>
      </x:c>
    </x:row>
    <x:row r="23">
      <x:c r="A23" s="9" t="n">
        <x:v>22</x:v>
      </x:c>
      <x:c r="B23" s="10" t="inlineStr">
        <x:is>
          <x:t xml:space="preserve">Re-Lyte Hydration</x:t>
        </x:is>
      </x:c>
      <x:c r="C23" s="10" t="inlineStr">
        <x:is>
          <x:t xml:space="preserve">Redmond Re-Lyte</x:t>
        </x:is>
      </x:c>
      <x:c r="D23" s="9" t="inlineStr">
        <x:is>
          <x:t xml:space="preserve">zero_sugar_high_sodium</x:t>
        </x:is>
      </x:c>
      <x:c r="E23" s="9" t="inlineStr">
        <x:is>
          <x:t xml:space="preserve">1,3,4,5</x:t>
        </x:is>
      </x:c>
      <x:c r="F23" s="9" t="inlineStr">
        <x:is>
          <x:t xml:space="preserve">powder stick</x:t>
        </x:is>
      </x:c>
      <x:c r="G23" s="9" t="inlineStr">
        <x:is>
          <x:t xml:space="preserve">1 stick</x:t>
        </x:is>
      </x:c>
      <x:c r="H23" s="9" t="inlineStr">
        <x:is>
          <x:t xml:space="preserve">Y</x:t>
        </x:is>
      </x:c>
      <x:c r="I23" s="11" t="n">
        <x:v>0</x:v>
      </x:c>
      <x:c r="J23" s="11" t="n">
        <x:v>0</x:v>
      </x:c>
      <x:c r="K23" s="11" t="n">
        <x:v>0</x:v>
      </x:c>
      <x:c r="L23" s="11" t="n">
        <x:v>810</x:v>
      </x:c>
      <x:c r="M23" s="11" t="n">
        <x:v>400</x:v>
      </x:c>
      <x:c r="N23" s="11" t="n">
        <x:v>50</x:v>
      </x:c>
      <x:c r="O23" s="11" t="n">
        <x:v>60</x:v>
      </x:c>
      <x:c r="P23" s="11" t="n">
        <x:v>1280</x:v>
      </x:c>
      <x:c r="Q23" s="11" t="n">
        <x:v>0</x:v>
      </x:c>
      <x:c r="R23" s="9" t="inlineStr">
        <x:is>
          <x:t xml:space="preserve">stevia</x:t>
        </x:is>
      </x:c>
      <x:c r="S23" s="9" t="inlineStr">
        <x:is>
          <x:t xml:space="preserve">N</x:t>
        </x:is>
      </x:c>
      <x:c r="T23" s="12" t="inlineStr">
        <x:is>
          <x:t xml:space="preserve">verified_exact</x:t>
        </x:is>
      </x:c>
      <x:c r="U23" s="13" t="inlineStr">
        <x:is>
          <x:t xml:space="preserve">fasted / keto / hot weather</x:t>
        </x:is>
      </x:c>
      <x:c r="V23" s="13" t="inlineStr">
        <x:is>
          <x:t xml:space="preserve">Well-rounded zero-sugar formula with sodium plus stronger potassium and calcium support.</x:t>
        </x:is>
      </x:c>
      <x:c r="W23" s="14" t="inlineStr">
        <x:is>
          <x:t xml:space="preserve">https://redmond.life/products/re-lyte-hydration-stick-packs-30-ct</x:t>
        </x:is>
      </x:c>
      <x:c r="X23" s="10" t="inlineStr">
        <x:is>
          <x:t xml:space="preserve"/>
        </x:is>
      </x:c>
    </x:row>
    <x:row r="24">
      <x:c r="A24" s="9" t="n">
        <x:v>23</x:v>
      </x:c>
      <x:c r="B24" s="10" t="inlineStr">
        <x:is>
          <x:t xml:space="preserve">Re-Lyte Immunity</x:t>
        </x:is>
      </x:c>
      <x:c r="C24" s="10" t="inlineStr">
        <x:is>
          <x:t xml:space="preserve">Redmond Re-Lyte</x:t>
        </x:is>
      </x:c>
      <x:c r="D24" s="9" t="inlineStr">
        <x:is>
          <x:t xml:space="preserve">balanced_daily_hydration</x:t>
        </x:is>
      </x:c>
      <x:c r="E24" s="9" t="inlineStr">
        <x:is>
          <x:t xml:space="preserve">1,2,4,5</x:t>
        </x:is>
      </x:c>
      <x:c r="F24" s="9" t="inlineStr">
        <x:is>
          <x:t xml:space="preserve">powder stick</x:t>
        </x:is>
      </x:c>
      <x:c r="G24" s="9" t="inlineStr">
        <x:is>
          <x:t xml:space="preserve">1 stick</x:t>
        </x:is>
      </x:c>
      <x:c r="H24" s="9" t="inlineStr">
        <x:is>
          <x:t xml:space="preserve">N</x:t>
        </x:is>
      </x:c>
      <x:c r="I24" s="11" t="n">
        <x:v>10</x:v>
      </x:c>
      <x:c r="J24" s="11" t="n">
        <x:v>0</x:v>
      </x:c>
      <x:c r="K24" s="11" t="n">
        <x:v>0</x:v>
      </x:c>
      <x:c r="L24" s="11" t="n">
        <x:v>490</x:v>
      </x:c>
      <x:c r="M24" s="11" t="n">
        <x:v>330</x:v>
      </x:c>
      <x:c r="N24" s="11" t="n">
        <x:v>40</x:v>
      </x:c>
      <x:c r="O24" s="11" t="n">
        <x:v>50</x:v>
      </x:c>
      <x:c r="P24" s="11" t="n"/>
      <x:c r="Q24" s="11" t="n">
        <x:v>0</x:v>
      </x:c>
      <x:c r="R24" s="9" t="inlineStr">
        <x:is>
          <x:t xml:space="preserve">stevia</x:t>
        </x:is>
      </x:c>
      <x:c r="S24" s="9" t="inlineStr">
        <x:is>
          <x:t xml:space="preserve">N</x:t>
        </x:is>
      </x:c>
      <x:c r="T24" s="12" t="inlineStr">
        <x:is>
          <x:t xml:space="preserve">verified_exact</x:t>
        </x:is>
      </x:c>
      <x:c r="U24" s="13" t="inlineStr">
        <x:is>
          <x:t xml:space="preserve">daily hydration plus immunity</x:t>
        </x:is>
      </x:c>
      <x:c r="V24" s="13" t="inlineStr">
        <x:is>
          <x:t xml:space="preserve">Lower-sodium Re-Lyte variant with added immune-support positioning.</x:t>
        </x:is>
      </x:c>
      <x:c r="W24" s="14" t="inlineStr">
        <x:is>
          <x:t xml:space="preserve">https://redmond.life/products/re-lyte-immunity</x:t>
        </x:is>
      </x:c>
      <x:c r="X24" s="10" t="inlineStr">
        <x:is>
          <x:t xml:space="preserve"/>
        </x:is>
      </x:c>
    </x:row>
    <x:row r="25">
      <x:c r="A25" s="9" t="n">
        <x:v>24</x:v>
      </x:c>
      <x:c r="B25" s="10" t="inlineStr">
        <x:is>
          <x:t xml:space="preserve">Re-Lyte Energy</x:t>
        </x:is>
      </x:c>
      <x:c r="C25" s="10" t="inlineStr">
        <x:is>
          <x:t xml:space="preserve">Redmond Re-Lyte</x:t>
        </x:is>
      </x:c>
      <x:c r="D25" s="9" t="inlineStr">
        <x:is>
          <x:t xml:space="preserve">energy_electrolyte</x:t>
        </x:is>
      </x:c>
      <x:c r="E25" s="9" t="inlineStr">
        <x:is>
          <x:t xml:space="preserve">2,3,5</x:t>
        </x:is>
      </x:c>
      <x:c r="F25" s="9" t="inlineStr">
        <x:is>
          <x:t xml:space="preserve">powder stick</x:t>
        </x:is>
      </x:c>
      <x:c r="G25" s="9" t="inlineStr">
        <x:is>
          <x:t xml:space="preserve">1 stick</x:t>
        </x:is>
      </x:c>
      <x:c r="H25" s="9" t="inlineStr">
        <x:is>
          <x:t xml:space="preserve">N</x:t>
        </x:is>
      </x:c>
      <x:c r="I25" s="11" t="n"/>
      <x:c r="J25" s="11" t="n"/>
      <x:c r="K25" s="11" t="n"/>
      <x:c r="L25" s="11" t="n">
        <x:v>500</x:v>
      </x:c>
      <x:c r="M25" s="11" t="n">
        <x:v>350</x:v>
      </x:c>
      <x:c r="N25" s="11" t="n">
        <x:v>40</x:v>
      </x:c>
      <x:c r="O25" s="11" t="n"/>
      <x:c r="P25" s="11" t="n"/>
      <x:c r="Q25" s="11" t="n"/>
      <x:c r="R25" s="9" t="inlineStr">
        <x:is>
          <x:t xml:space="preserve">stevia</x:t>
        </x:is>
      </x:c>
      <x:c r="S25" s="9" t="inlineStr">
        <x:is>
          <x:t xml:space="preserve">N</x:t>
        </x:is>
      </x:c>
      <x:c r="T25" s="15" t="inlineStr">
        <x:is>
          <x:t xml:space="preserve">partial</x:t>
        </x:is>
      </x:c>
      <x:c r="U25" s="13" t="inlineStr">
        <x:is>
          <x:t xml:space="preserve">caffeinated endurance hydration</x:t>
        </x:is>
      </x:c>
      <x:c r="V25" s="13" t="inlineStr">
        <x:is>
          <x:t xml:space="preserve">Energy line for users who want electrolytes plus stimulation.</x:t>
        </x:is>
      </x:c>
      <x:c r="W25" s="14" t="inlineStr">
        <x:is>
          <x:t xml:space="preserve">https://redmond.life/products/re-lyte-energy</x:t>
        </x:is>
      </x:c>
      <x:c r="X25" s="16" t="inlineStr">
        <x:is>
          <x:t xml:space="preserve">Official snippets expose electrolyte profile but not complete macro panel.</x:t>
        </x:is>
      </x:c>
    </x:row>
    <x:row r="26">
      <x:c r="A26" s="9" t="n">
        <x:v>25</x:v>
      </x:c>
      <x:c r="B26" s="10" t="inlineStr">
        <x:is>
          <x:t xml:space="preserve">Ultima Replenisher</x:t>
        </x:is>
      </x:c>
      <x:c r="C26" s="10" t="inlineStr">
        <x:is>
          <x:t xml:space="preserve">Ultima</x:t>
        </x:is>
      </x:c>
      <x:c r="D26" s="9" t="inlineStr">
        <x:is>
          <x:t xml:space="preserve">low_sodium_daily</x:t>
        </x:is>
      </x:c>
      <x:c r="E26" s="9" t="inlineStr">
        <x:is>
          <x:t xml:space="preserve">1,4</x:t>
        </x:is>
      </x:c>
      <x:c r="F26" s="9" t="inlineStr">
        <x:is>
          <x:t xml:space="preserve">powder stick</x:t>
        </x:is>
      </x:c>
      <x:c r="G26" s="9" t="inlineStr">
        <x:is>
          <x:t xml:space="preserve">1 stick</x:t>
        </x:is>
      </x:c>
      <x:c r="H26" s="9" t="inlineStr">
        <x:is>
          <x:t xml:space="preserve">Y</x:t>
        </x:is>
      </x:c>
      <x:c r="I26" s="11" t="n">
        <x:v>0</x:v>
      </x:c>
      <x:c r="J26" s="11" t="n">
        <x:v>0</x:v>
      </x:c>
      <x:c r="K26" s="11" t="n">
        <x:v>0</x:v>
      </x:c>
      <x:c r="L26" s="11" t="n">
        <x:v>55</x:v>
      </x:c>
      <x:c r="M26" s="11" t="n">
        <x:v>250</x:v>
      </x:c>
      <x:c r="N26" s="11" t="n">
        <x:v>100</x:v>
      </x:c>
      <x:c r="O26" s="11" t="n">
        <x:v>47</x:v>
      </x:c>
      <x:c r="P26" s="11" t="n">
        <x:v>78</x:v>
      </x:c>
      <x:c r="Q26" s="11" t="n">
        <x:v>0</x:v>
      </x:c>
      <x:c r="R26" s="9" t="inlineStr">
        <x:is>
          <x:t xml:space="preserve">stevia</x:t>
        </x:is>
      </x:c>
      <x:c r="S26" s="9" t="inlineStr">
        <x:is>
          <x:t xml:space="preserve">N</x:t>
        </x:is>
      </x:c>
      <x:c r="T26" s="12" t="inlineStr">
        <x:is>
          <x:t xml:space="preserve">verified_exact</x:t>
        </x:is>
      </x:c>
      <x:c r="U26" s="13" t="inlineStr">
        <x:is>
          <x:t xml:space="preserve">daily low-cal hydration</x:t>
        </x:is>
      </x:c>
      <x:c r="V26" s="13" t="inlineStr">
        <x:is>
          <x:t xml:space="preserve">Very low-sodium, higher-potassium/magnesium option for baseline daily use rather than hard efforts.</x:t>
        </x:is>
      </x:c>
      <x:c r="W26" s="14" t="inlineStr">
        <x:is>
          <x:t xml:space="preserve">https://www.ultimareplenisher.com/products/variety-pack-electrolyte-powder-drink</x:t>
        </x:is>
      </x:c>
      <x:c r="X26" s="10" t="inlineStr">
        <x:is>
          <x:t xml:space="preserve"/>
        </x:is>
      </x:c>
    </x:row>
    <x:row r="27">
      <x:c r="A27" s="9" t="n">
        <x:v>26</x:v>
      </x:c>
      <x:c r="B27" s="10" t="inlineStr">
        <x:is>
          <x:t xml:space="preserve">Tailwind Rapid Hydration</x:t>
        </x:is>
      </x:c>
      <x:c r="C27" s="10" t="inlineStr">
        <x:is>
          <x:t xml:space="preserve">Tailwind</x:t>
        </x:is>
      </x:c>
      <x:c r="D27" s="9" t="inlineStr">
        <x:is>
          <x:t xml:space="preserve">balanced_low_sugar</x:t>
        </x:is>
      </x:c>
      <x:c r="E27" s="9" t="inlineStr">
        <x:is>
          <x:t xml:space="preserve">2,3,5</x:t>
        </x:is>
      </x:c>
      <x:c r="F27" s="9" t="inlineStr">
        <x:is>
          <x:t xml:space="preserve">powder stick</x:t>
        </x:is>
      </x:c>
      <x:c r="G27" s="9" t="inlineStr">
        <x:is>
          <x:t xml:space="preserve">1 stick</x:t>
        </x:is>
      </x:c>
      <x:c r="H27" s="9" t="inlineStr">
        <x:is>
          <x:t xml:space="preserve">Y</x:t>
        </x:is>
      </x:c>
      <x:c r="I27" s="11" t="n">
        <x:v>45</x:v>
      </x:c>
      <x:c r="J27" s="11" t="n">
        <x:v>12</x:v>
      </x:c>
      <x:c r="K27" s="11" t="n"/>
      <x:c r="L27" s="11" t="n">
        <x:v>320</x:v>
      </x:c>
      <x:c r="M27" s="11" t="n">
        <x:v>90</x:v>
      </x:c>
      <x:c r="N27" s="11" t="n"/>
      <x:c r="O27" s="11" t="n"/>
      <x:c r="P27" s="11" t="n"/>
      <x:c r="Q27" s="11" t="n">
        <x:v>0</x:v>
      </x:c>
      <x:c r="R27" s="9" t="inlineStr">
        <x:is>
          <x:t xml:space="preserve">simple sugars</x:t>
        </x:is>
      </x:c>
      <x:c r="S27" s="9" t="inlineStr">
        <x:is>
          <x:t xml:space="preserve">N</x:t>
        </x:is>
      </x:c>
      <x:c r="T27" s="12" t="inlineStr">
        <x:is>
          <x:t xml:space="preserve">verified_exact</x:t>
        </x:is>
      </x:c>
      <x:c r="U27" s="13" t="inlineStr">
        <x:is>
          <x:t xml:space="preserve">short to moderate endurance</x:t>
        </x:is>
      </x:c>
      <x:c r="V27" s="13" t="inlineStr">
        <x:is>
          <x:t xml:space="preserve">Portable low-cal hydration mix for rides, runs, and travel.</x:t>
        </x:is>
      </x:c>
      <x:c r="W27" s="14" t="inlineStr">
        <x:is>
          <x:t xml:space="preserve">https://tailwindnutrition.com/products/rapid-hydration-variety-pack</x:t>
        </x:is>
      </x:c>
      <x:c r="X27" s="10" t="inlineStr">
        <x:is>
          <x:t xml:space="preserve"/>
        </x:is>
      </x:c>
    </x:row>
    <x:row r="28">
      <x:c r="A28" s="9" t="n">
        <x:v>27</x:v>
      </x:c>
      <x:c r="B28" s="10" t="inlineStr">
        <x:is>
          <x:t xml:space="preserve">Tailwind Endurance Fuel</x:t>
        </x:is>
      </x:c>
      <x:c r="C28" s="10" t="inlineStr">
        <x:is>
          <x:t xml:space="preserve">Tailwind</x:t>
        </x:is>
      </x:c>
      <x:c r="D28" s="9" t="inlineStr">
        <x:is>
          <x:t xml:space="preserve">endurance_carb_electrolyte</x:t>
        </x:is>
      </x:c>
      <x:c r="E28" s="9" t="inlineStr">
        <x:is>
          <x:t xml:space="preserve">2,3,5</x:t>
        </x:is>
      </x:c>
      <x:c r="F28" s="9" t="inlineStr">
        <x:is>
          <x:t xml:space="preserve">powder</x:t>
        </x:is>
      </x:c>
      <x:c r="G28" s="9" t="inlineStr">
        <x:is>
          <x:t xml:space="preserve">1 packet</x:t>
        </x:is>
      </x:c>
      <x:c r="H28" s="9" t="inlineStr">
        <x:is>
          <x:t xml:space="preserve">Y</x:t>
        </x:is>
      </x:c>
      <x:c r="I28" s="11" t="n">
        <x:v>200</x:v>
      </x:c>
      <x:c r="J28" s="11" t="n">
        <x:v>50</x:v>
      </x:c>
      <x:c r="K28" s="11" t="n"/>
      <x:c r="L28" s="11" t="n">
        <x:v>610</x:v>
      </x:c>
      <x:c r="M28" s="11" t="n"/>
      <x:c r="N28" s="11" t="n"/>
      <x:c r="O28" s="11" t="n"/>
      <x:c r="P28" s="11" t="n"/>
      <x:c r="Q28" s="11" t="n">
        <x:v>0</x:v>
      </x:c>
      <x:c r="R28" s="9" t="inlineStr">
        <x:is>
          <x:t xml:space="preserve">simple sugars</x:t>
        </x:is>
      </x:c>
      <x:c r="S28" s="9" t="inlineStr">
        <x:is>
          <x:t xml:space="preserve">N</x:t>
        </x:is>
      </x:c>
      <x:c r="T28" s="12" t="inlineStr">
        <x:is>
          <x:t xml:space="preserve">verified_exact</x:t>
        </x:is>
      </x:c>
      <x:c r="U28" s="13" t="inlineStr">
        <x:is>
          <x:t xml:space="preserve">long endurance fueling</x:t>
        </x:is>
      </x:c>
      <x:c r="V28" s="13" t="inlineStr">
        <x:is>
          <x:t xml:space="preserve">Integrated fuel plus electrolytes for longer sessions where drink calories are part of the plan.</x:t>
        </x:is>
      </x:c>
      <x:c r="W28" s="14" t="inlineStr">
        <x:is>
          <x:t xml:space="preserve">https://tailwindnutrition.com/products/endurance-fuel</x:t>
        </x:is>
      </x:c>
      <x:c r="X28" s="10" t="inlineStr">
        <x:is>
          <x:t xml:space="preserve"/>
        </x:is>
      </x:c>
    </x:row>
    <x:row r="29">
      <x:c r="A29" s="9" t="n">
        <x:v>28</x:v>
      </x:c>
      <x:c r="B29" s="10" t="inlineStr">
        <x:is>
          <x:t xml:space="preserve">Tailwind High Carb Fuel</x:t>
        </x:is>
      </x:c>
      <x:c r="C29" s="10" t="inlineStr">
        <x:is>
          <x:t xml:space="preserve">Tailwind</x:t>
        </x:is>
      </x:c>
      <x:c r="D29" s="9" t="inlineStr">
        <x:is>
          <x:t xml:space="preserve">high_carb_endurance</x:t>
        </x:is>
      </x:c>
      <x:c r="E29" s="9" t="inlineStr">
        <x:is>
          <x:t xml:space="preserve">3,5</x:t>
        </x:is>
      </x:c>
      <x:c r="F29" s="9" t="inlineStr">
        <x:is>
          <x:t xml:space="preserve">powder</x:t>
        </x:is>
      </x:c>
      <x:c r="G29" s="9" t="inlineStr">
        <x:is>
          <x:t xml:space="preserve">1 packet</x:t>
        </x:is>
      </x:c>
      <x:c r="H29" s="9" t="inlineStr">
        <x:is>
          <x:t xml:space="preserve">N</x:t>
        </x:is>
      </x:c>
      <x:c r="I29" s="11" t="n">
        <x:v>360</x:v>
      </x:c>
      <x:c r="J29" s="11" t="n">
        <x:v>90</x:v>
      </x:c>
      <x:c r="K29" s="11" t="n"/>
      <x:c r="L29" s="11" t="n">
        <x:v>660</x:v>
      </x:c>
      <x:c r="M29" s="11" t="n"/>
      <x:c r="N29" s="11" t="n"/>
      <x:c r="O29" s="11" t="n"/>
      <x:c r="P29" s="11" t="n"/>
      <x:c r="Q29" s="11" t="n">
        <x:v>0</x:v>
      </x:c>
      <x:c r="R29" s="9" t="inlineStr">
        <x:is>
          <x:t xml:space="preserve">simple sugars</x:t>
        </x:is>
      </x:c>
      <x:c r="S29" s="9" t="inlineStr">
        <x:is>
          <x:t xml:space="preserve">N</x:t>
        </x:is>
      </x:c>
      <x:c r="T29" s="12" t="inlineStr">
        <x:is>
          <x:t xml:space="preserve">verified_exact</x:t>
        </x:is>
      </x:c>
      <x:c r="U29" s="13" t="inlineStr">
        <x:is>
          <x:t xml:space="preserve">very long endurance fueling</x:t>
        </x:is>
      </x:c>
      <x:c r="V29" s="13" t="inlineStr">
        <x:is>
          <x:t xml:space="preserve">Very high-carb format for longer races and athletes training gut tolerance.</x:t>
        </x:is>
      </x:c>
      <x:c r="W29" s="14" t="inlineStr">
        <x:is>
          <x:t xml:space="preserve">https://tailwindnutrition.com/products/high-carb-fuel</x:t>
        </x:is>
      </x:c>
      <x:c r="X29" s="10" t="inlineStr">
        <x:is>
          <x:t xml:space="preserve"/>
        </x:is>
      </x:c>
    </x:row>
    <x:row r="30">
      <x:c r="A30" s="9" t="n">
        <x:v>29</x:v>
      </x:c>
      <x:c r="B30" s="10" t="inlineStr">
        <x:is>
          <x:t xml:space="preserve">SOS Daily Hydration</x:t>
        </x:is>
      </x:c>
      <x:c r="C30" s="10" t="inlineStr">
        <x:is>
          <x:t xml:space="preserve">SOS Hydration</x:t>
        </x:is>
      </x:c>
      <x:c r="D30" s="9" t="inlineStr">
        <x:is>
          <x:t xml:space="preserve">balanced_low_sugar</x:t>
        </x:is>
      </x:c>
      <x:c r="E30" s="9" t="inlineStr">
        <x:is>
          <x:t xml:space="preserve">2,3,5</x:t>
        </x:is>
      </x:c>
      <x:c r="F30" s="9" t="inlineStr">
        <x:is>
          <x:t xml:space="preserve">powder stick</x:t>
        </x:is>
      </x:c>
      <x:c r="G30" s="9" t="inlineStr">
        <x:is>
          <x:t xml:space="preserve">1 stick / 8 oz</x:t>
        </x:is>
      </x:c>
      <x:c r="H30" s="9" t="inlineStr">
        <x:is>
          <x:t xml:space="preserve">Y</x:t>
        </x:is>
      </x:c>
      <x:c r="I30" s="11" t="n">
        <x:v>15</x:v>
      </x:c>
      <x:c r="J30" s="11" t="n">
        <x:v>4</x:v>
      </x:c>
      <x:c r="K30" s="11" t="n">
        <x:v>3</x:v>
      </x:c>
      <x:c r="L30" s="11" t="n">
        <x:v>330</x:v>
      </x:c>
      <x:c r="M30" s="11" t="n">
        <x:v>190</x:v>
      </x:c>
      <x:c r="N30" s="11" t="n">
        <x:v>35</x:v>
      </x:c>
      <x:c r="O30" s="11" t="n"/>
      <x:c r="P30" s="11" t="n">
        <x:v>490</x:v>
      </x:c>
      <x:c r="Q30" s="11" t="n">
        <x:v>0</x:v>
      </x:c>
      <x:c r="R30" s="9" t="inlineStr">
        <x:is>
          <x:t xml:space="preserve">cane sugar + stevia</x:t>
        </x:is>
      </x:c>
      <x:c r="S30" s="9" t="inlineStr">
        <x:is>
          <x:t xml:space="preserve">N</x:t>
        </x:is>
      </x:c>
      <x:c r="T30" s="12" t="inlineStr">
        <x:is>
          <x:t xml:space="preserve">verified_exact</x:t>
        </x:is>
      </x:c>
      <x:c r="U30" s="13" t="inlineStr">
        <x:is>
          <x:t xml:space="preserve">daily training rehydration</x:t>
        </x:is>
      </x:c>
      <x:c r="V30" s="13" t="inlineStr">
        <x:is>
          <x:t xml:space="preserve">Lower-sugar electrolyte drink with meaningful sodium and potassium in a small volume mix.</x:t>
        </x:is>
      </x:c>
      <x:c r="W30" s="14" t="inlineStr">
        <x:is>
          <x:t xml:space="preserve">https://soshydration.com/products/sos-daily-vitamin-enhanced-mango-31-serving-tub</x:t>
        </x:is>
      </x:c>
      <x:c r="X30" s="10" t="inlineStr">
        <x:is>
          <x:t xml:space="preserve"/>
        </x:is>
      </x:c>
    </x:row>
    <x:row r="31">
      <x:c r="A31" s="9" t="n">
        <x:v>30</x:v>
      </x:c>
      <x:c r="B31" s="10" t="inlineStr">
        <x:is>
          <x:t xml:space="preserve">Hydrant Daily Hydration Mix</x:t>
        </x:is>
      </x:c>
      <x:c r="C31" s="10" t="inlineStr">
        <x:is>
          <x:t xml:space="preserve">Hydrant</x:t>
        </x:is>
      </x:c>
      <x:c r="D31" s="9" t="inlineStr">
        <x:is>
          <x:t xml:space="preserve">balanced_low_sugar</x:t>
        </x:is>
      </x:c>
      <x:c r="E31" s="9" t="inlineStr">
        <x:is>
          <x:t xml:space="preserve">1,2,3,5</x:t>
        </x:is>
      </x:c>
      <x:c r="F31" s="9" t="inlineStr">
        <x:is>
          <x:t xml:space="preserve">powder stick</x:t>
        </x:is>
      </x:c>
      <x:c r="G31" s="9" t="inlineStr">
        <x:is>
          <x:t xml:space="preserve">1 serving</x:t>
        </x:is>
      </x:c>
      <x:c r="H31" s="9" t="inlineStr">
        <x:is>
          <x:t xml:space="preserve">Y</x:t>
        </x:is>
      </x:c>
      <x:c r="I31" s="11" t="n">
        <x:v>20</x:v>
      </x:c>
      <x:c r="J31" s="11" t="n">
        <x:v>4</x:v>
      </x:c>
      <x:c r="K31" s="11" t="n">
        <x:v>4</x:v>
      </x:c>
      <x:c r="L31" s="11" t="n">
        <x:v>260</x:v>
      </x:c>
      <x:c r="M31" s="11" t="n"/>
      <x:c r="N31" s="11" t="n"/>
      <x:c r="O31" s="11" t="n"/>
      <x:c r="P31" s="11" t="n"/>
      <x:c r="Q31" s="11" t="n">
        <x:v>0</x:v>
      </x:c>
      <x:c r="R31" s="9" t="inlineStr">
        <x:is>
          <x:t xml:space="preserve">cane sugar</x:t>
        </x:is>
      </x:c>
      <x:c r="S31" s="9" t="inlineStr">
        <x:is>
          <x:t xml:space="preserve">N</x:t>
        </x:is>
      </x:c>
      <x:c r="T31" s="15" t="inlineStr">
        <x:is>
          <x:t xml:space="preserve">partial</x:t>
        </x:is>
      </x:c>
      <x:c r="U31" s="13" t="inlineStr">
        <x:is>
          <x:t xml:space="preserve">daily hydration</x:t>
        </x:is>
      </x:c>
      <x:c r="V31" s="13" t="inlineStr">
        <x:is>
          <x:t xml:space="preserve">Moderate-sodium everyday ORS-inspired option with lower sugar than mainstream sports drinks.</x:t>
        </x:is>
      </x:c>
      <x:c r="W31" s="14" t="inlineStr">
        <x:is>
          <x:t xml:space="preserve">https://www.drinkhydrant.com/products/unflavored</x:t>
        </x:is>
      </x:c>
      <x:c r="X31" s="16" t="inlineStr">
        <x:is>
          <x:t xml:space="preserve">Official Hydrant materials confirm sodium and sugar; exact full mineral panel pending direct label capture.</x:t>
        </x:is>
      </x:c>
    </x:row>
    <x:row r="32">
      <x:c r="A32" s="9" t="n">
        <x:v>31</x:v>
      </x:c>
      <x:c r="B32" s="10" t="inlineStr">
        <x:is>
          <x:t xml:space="preserve">Hydrant Energy</x:t>
        </x:is>
      </x:c>
      <x:c r="C32" s="10" t="inlineStr">
        <x:is>
          <x:t xml:space="preserve">Hydrant</x:t>
        </x:is>
      </x:c>
      <x:c r="D32" s="9" t="inlineStr">
        <x:is>
          <x:t xml:space="preserve">energy_electrolyte</x:t>
        </x:is>
      </x:c>
      <x:c r="E32" s="9" t="inlineStr">
        <x:is>
          <x:t xml:space="preserve">2,3,5</x:t>
        </x:is>
      </x:c>
      <x:c r="F32" s="9" t="inlineStr">
        <x:is>
          <x:t xml:space="preserve">powder stick</x:t>
        </x:is>
      </x:c>
      <x:c r="G32" s="9" t="inlineStr">
        <x:is>
          <x:t xml:space="preserve">1 serving</x:t>
        </x:is>
      </x:c>
      <x:c r="H32" s="9" t="inlineStr">
        <x:is>
          <x:t xml:space="preserve">N</x:t>
        </x:is>
      </x:c>
      <x:c r="I32" s="11" t="n">
        <x:v>25</x:v>
      </x:c>
      <x:c r="J32" s="11" t="n">
        <x:v>4</x:v>
      </x:c>
      <x:c r="K32" s="11" t="n">
        <x:v>0</x:v>
      </x:c>
      <x:c r="L32" s="11" t="n">
        <x:v>260</x:v>
      </x:c>
      <x:c r="M32" s="11" t="n"/>
      <x:c r="N32" s="11" t="n"/>
      <x:c r="O32" s="11" t="n"/>
      <x:c r="P32" s="11" t="n"/>
      <x:c r="Q32" s="11" t="n">
        <x:v>100</x:v>
      </x:c>
      <x:c r="R32" s="9" t="inlineStr">
        <x:is>
          <x:t xml:space="preserve">cane sugar + caffeine blend</x:t>
        </x:is>
      </x:c>
      <x:c r="S32" s="9" t="inlineStr">
        <x:is>
          <x:t xml:space="preserve">N</x:t>
        </x:is>
      </x:c>
      <x:c r="T32" s="15" t="inlineStr">
        <x:is>
          <x:t xml:space="preserve">partial</x:t>
        </x:is>
      </x:c>
      <x:c r="U32" s="13" t="inlineStr">
        <x:is>
          <x:t xml:space="preserve">hydration plus focus</x:t>
        </x:is>
      </x:c>
      <x:c r="V32" s="13" t="inlineStr">
        <x:is>
          <x:t xml:space="preserve">Energy extension of Hydrant with added caffeine.</x:t>
        </x:is>
      </x:c>
      <x:c r="W32" s="14" t="inlineStr">
        <x:is>
          <x:t xml:space="preserve">https://www.drinkhydrant.com/products/hydrant-energy-hydration-mix</x:t>
        </x:is>
      </x:c>
      <x:c r="X32" s="16" t="inlineStr">
        <x:is>
          <x:t xml:space="preserve">Calories/caffeine based on official brand materials and comparisons.</x:t>
        </x:is>
      </x:c>
    </x:row>
    <x:row r="33">
      <x:c r="A33" s="9" t="n">
        <x:v>32</x:v>
      </x:c>
      <x:c r="B33" s="10" t="inlineStr">
        <x:is>
          <x:t xml:space="preserve">Gatorlyte Powder</x:t>
        </x:is>
      </x:c>
      <x:c r="C33" s="10" t="inlineStr">
        <x:is>
          <x:t xml:space="preserve">Gatorade</x:t>
        </x:is>
      </x:c>
      <x:c r="D33" s="9" t="inlineStr">
        <x:is>
          <x:t xml:space="preserve">mainstream_rehydration</x:t>
        </x:is>
      </x:c>
      <x:c r="E33" s="9" t="inlineStr">
        <x:is>
          <x:t xml:space="preserve">2,3,5</x:t>
        </x:is>
      </x:c>
      <x:c r="F33" s="9" t="inlineStr">
        <x:is>
          <x:t xml:space="preserve">powder stick</x:t>
        </x:is>
      </x:c>
      <x:c r="G33" s="9" t="inlineStr">
        <x:is>
          <x:t xml:space="preserve">1 stick / 20 oz</x:t>
        </x:is>
      </x:c>
      <x:c r="H33" s="9" t="inlineStr">
        <x:is>
          <x:t xml:space="preserve">Y</x:t>
        </x:is>
      </x:c>
      <x:c r="I33" s="11" t="n"/>
      <x:c r="J33" s="11" t="n"/>
      <x:c r="K33" s="11" t="n"/>
      <x:c r="L33" s="11" t="n"/>
      <x:c r="M33" s="11" t="n"/>
      <x:c r="N33" s="11" t="n"/>
      <x:c r="O33" s="11" t="n"/>
      <x:c r="P33" s="11" t="n"/>
      <x:c r="Q33" s="11" t="n">
        <x:v>0</x:v>
      </x:c>
      <x:c r="R33" s="9" t="inlineStr">
        <x:is>
          <x:t xml:space="preserve">sugar-based</x:t>
        </x:is>
      </x:c>
      <x:c r="S33" s="9" t="inlineStr">
        <x:is>
          <x:t xml:space="preserve">N</x:t>
        </x:is>
      </x:c>
      <x:c r="T33" s="15" t="inlineStr">
        <x:is>
          <x:t xml:space="preserve">partial</x:t>
        </x:is>
      </x:c>
      <x:c r="U33" s="13" t="inlineStr">
        <x:is>
          <x:t xml:space="preserve">rapid rehydration mainstream</x:t>
        </x:is>
      </x:c>
      <x:c r="V33" s="13" t="inlineStr">
        <x:is>
          <x:t xml:space="preserve">Mainstream rapid-rehydration option with a 5-electrolyte blend and less sugar than standard sports drink.</x:t>
        </x:is>
      </x:c>
      <x:c r="W33" s="14" t="inlineStr">
        <x:is>
          <x:t xml:space="preserve">https://www.gatorade.com/powders/gatorlyte/orange-single-serve-sticks</x:t>
        </x:is>
      </x:c>
      <x:c r="X33" s="16" t="inlineStr">
        <x:is>
          <x:t xml:space="preserve">Exact label panel not surfaced in search snippet.</x:t>
        </x:is>
      </x:c>
    </x:row>
    <x:row r="34">
      <x:c r="A34" s="9" t="n">
        <x:v>33</x:v>
      </x:c>
      <x:c r="B34" s="10" t="inlineStr">
        <x:is>
          <x:t xml:space="preserve">Gatorlyte RTD</x:t>
        </x:is>
      </x:c>
      <x:c r="C34" s="10" t="inlineStr">
        <x:is>
          <x:t xml:space="preserve">Gatorade</x:t>
        </x:is>
      </x:c>
      <x:c r="D34" s="9" t="inlineStr">
        <x:is>
          <x:t xml:space="preserve">mainstream_rehydration</x:t>
        </x:is>
      </x:c>
      <x:c r="E34" s="9" t="inlineStr">
        <x:is>
          <x:t xml:space="preserve">2,3,5</x:t>
        </x:is>
      </x:c>
      <x:c r="F34" s="9" t="inlineStr">
        <x:is>
          <x:t xml:space="preserve">ready-to-drink</x:t>
        </x:is>
      </x:c>
      <x:c r="G34" s="9" t="inlineStr">
        <x:is>
          <x:t xml:space="preserve">20 oz bottle</x:t>
        </x:is>
      </x:c>
      <x:c r="H34" s="9" t="inlineStr">
        <x:is>
          <x:t xml:space="preserve">N</x:t>
        </x:is>
      </x:c>
      <x:c r="I34" s="11" t="n"/>
      <x:c r="J34" s="11" t="n"/>
      <x:c r="K34" s="11" t="n"/>
      <x:c r="L34" s="11" t="n"/>
      <x:c r="M34" s="11" t="n"/>
      <x:c r="N34" s="11" t="n"/>
      <x:c r="O34" s="11" t="n"/>
      <x:c r="P34" s="11" t="n"/>
      <x:c r="Q34" s="11" t="n">
        <x:v>0</x:v>
      </x:c>
      <x:c r="R34" s="9" t="inlineStr">
        <x:is>
          <x:t xml:space="preserve">sugar-based</x:t>
        </x:is>
      </x:c>
      <x:c r="S34" s="9" t="inlineStr">
        <x:is>
          <x:t xml:space="preserve">N</x:t>
        </x:is>
      </x:c>
      <x:c r="T34" s="15" t="inlineStr">
        <x:is>
          <x:t xml:space="preserve">partial</x:t>
        </x:is>
      </x:c>
      <x:c r="U34" s="13" t="inlineStr">
        <x:is>
          <x:t xml:space="preserve">rapid rehydration mainstream</x:t>
        </x:is>
      </x:c>
      <x:c r="V34" s="13" t="inlineStr">
        <x:is>
          <x:t xml:space="preserve">Bottle format for convenience-first rehydration.</x:t>
        </x:is>
      </x:c>
      <x:c r="W34" s="14" t="inlineStr">
        <x:is>
          <x:t xml:space="preserve">https://www.gatorade.com/powders/gatorlyte/orange-single-serve-sticks</x:t>
        </x:is>
      </x:c>
      <x:c r="X34" s="16" t="inlineStr">
        <x:is>
          <x:t xml:space="preserve">Use brand family until direct RTD label capture is added.</x:t>
        </x:is>
      </x:c>
    </x:row>
    <x:row r="35">
      <x:c r="A35" s="9" t="n">
        <x:v>34</x:v>
      </x:c>
      <x:c r="B35" s="10" t="inlineStr">
        <x:is>
          <x:t xml:space="preserve">Gatorade Endurance Formula</x:t>
        </x:is>
      </x:c>
      <x:c r="C35" s="10" t="inlineStr">
        <x:is>
          <x:t xml:space="preserve">Gatorade</x:t>
        </x:is>
      </x:c>
      <x:c r="D35" s="9" t="inlineStr">
        <x:is>
          <x:t xml:space="preserve">endurance_carb_electrolyte</x:t>
        </x:is>
      </x:c>
      <x:c r="E35" s="9" t="inlineStr">
        <x:is>
          <x:t xml:space="preserve">2,3,5</x:t>
        </x:is>
      </x:c>
      <x:c r="F35" s="9" t="inlineStr">
        <x:is>
          <x:t xml:space="preserve">powder</x:t>
        </x:is>
      </x:c>
      <x:c r="G35" s="9" t="inlineStr">
        <x:is>
          <x:t xml:space="preserve">12 oz prepared</x:t>
        </x:is>
      </x:c>
      <x:c r="H35" s="9" t="inlineStr">
        <x:is>
          <x:t xml:space="preserve">Y</x:t>
        </x:is>
      </x:c>
      <x:c r="I35" s="11" t="n">
        <x:v>90</x:v>
      </x:c>
      <x:c r="J35" s="11" t="n">
        <x:v>22</x:v>
      </x:c>
      <x:c r="K35" s="11" t="n"/>
      <x:c r="L35" s="11" t="n"/>
      <x:c r="M35" s="11" t="n"/>
      <x:c r="N35" s="11" t="n"/>
      <x:c r="O35" s="11" t="n"/>
      <x:c r="P35" s="11" t="n"/>
      <x:c r="Q35" s="11" t="n">
        <x:v>0</x:v>
      </x:c>
      <x:c r="R35" s="9" t="inlineStr">
        <x:is>
          <x:t xml:space="preserve">sugar-based</x:t>
        </x:is>
      </x:c>
      <x:c r="S35" s="9" t="inlineStr">
        <x:is>
          <x:t xml:space="preserve">N</x:t>
        </x:is>
      </x:c>
      <x:c r="T35" s="15" t="inlineStr">
        <x:is>
          <x:t xml:space="preserve">partial</x:t>
        </x:is>
      </x:c>
      <x:c r="U35" s="13" t="inlineStr">
        <x:is>
          <x:t xml:space="preserve">endurance race hydration</x:t>
        </x:is>
      </x:c>
      <x:c r="V35" s="13" t="inlineStr">
        <x:is>
          <x:t xml:space="preserve">Classic endurance sports-drink line with more electrolytes than core Gatorade.</x:t>
        </x:is>
      </x:c>
      <x:c r="W35" s="14" t="inlineStr">
        <x:is>
          <x:t xml:space="preserve">https://www.gatorade.com/powders/endurance-formula/orange-powder-32-oz-canister</x:t>
        </x:is>
      </x:c>
      <x:c r="X35" s="16" t="inlineStr">
        <x:is>
          <x:t xml:space="preserve">Official performance materials state 22g carbs, 90 cals, and 2x sodium/3x potassium vs Thirst Quencher.</x:t>
        </x:is>
      </x:c>
    </x:row>
    <x:row r="36">
      <x:c r="A36" s="9" t="n">
        <x:v>35</x:v>
      </x:c>
      <x:c r="B36" s="10" t="inlineStr">
        <x:is>
          <x:t xml:space="preserve">Gatorade Zero Powder</x:t>
        </x:is>
      </x:c>
      <x:c r="C36" s="10" t="inlineStr">
        <x:is>
          <x:t xml:space="preserve">Gatorade</x:t>
        </x:is>
      </x:c>
      <x:c r="D36" s="9" t="inlineStr">
        <x:is>
          <x:t xml:space="preserve">mainstream_zero_sugar</x:t>
        </x:is>
      </x:c>
      <x:c r="E36" s="9" t="inlineStr">
        <x:is>
          <x:t xml:space="preserve">1,2</x:t>
        </x:is>
      </x:c>
      <x:c r="F36" s="9" t="inlineStr">
        <x:is>
          <x:t xml:space="preserve">powder stick</x:t>
        </x:is>
      </x:c>
      <x:c r="G36" s="9" t="inlineStr">
        <x:is>
          <x:t xml:space="preserve">1 stick / 15 oz</x:t>
        </x:is>
      </x:c>
      <x:c r="H36" s="9" t="inlineStr">
        <x:is>
          <x:t xml:space="preserve">Y</x:t>
        </x:is>
      </x:c>
      <x:c r="I36" s="11" t="n">
        <x:v>0</x:v>
      </x:c>
      <x:c r="J36" s="11" t="n">
        <x:v>0</x:v>
      </x:c>
      <x:c r="K36" s="11" t="n">
        <x:v>0</x:v>
      </x:c>
      <x:c r="L36" s="11" t="n"/>
      <x:c r="M36" s="11" t="n"/>
      <x:c r="N36" s="11" t="n"/>
      <x:c r="O36" s="11" t="n"/>
      <x:c r="P36" s="11" t="n"/>
      <x:c r="Q36" s="11" t="n">
        <x:v>0</x:v>
      </x:c>
      <x:c r="R36" s="9" t="inlineStr">
        <x:is>
          <x:t xml:space="preserve">sucralose/acesulfame-K family</x:t>
        </x:is>
      </x:c>
      <x:c r="S36" s="9" t="inlineStr">
        <x:is>
          <x:t xml:space="preserve">Y</x:t>
        </x:is>
      </x:c>
      <x:c r="T36" s="15" t="inlineStr">
        <x:is>
          <x:t xml:space="preserve">partial</x:t>
        </x:is>
      </x:c>
      <x:c r="U36" s="13" t="inlineStr">
        <x:is>
          <x:t xml:space="preserve">short-session hydration</x:t>
        </x:is>
      </x:c>
      <x:c r="V36" s="13" t="inlineStr">
        <x:is>
          <x:t xml:space="preserve">Zero-sugar mainstream hydration for shorter, lower-intensity sessions.</x:t>
        </x:is>
      </x:c>
      <x:c r="W36" s="14" t="inlineStr">
        <x:is>
          <x:t xml:space="preserve">https://www.gatorade.com/powders/gatorade-zero/orange-single-serve-sticks</x:t>
        </x:is>
      </x:c>
      <x:c r="X36" s="16" t="inlineStr">
        <x:is>
          <x:t xml:space="preserve"/>
        </x:is>
      </x:c>
    </x:row>
    <x:row r="37">
      <x:c r="A37" s="9" t="n">
        <x:v>36</x:v>
      </x:c>
      <x:c r="B37" s="10" t="inlineStr">
        <x:is>
          <x:t xml:space="preserve">Gatorade Thirst Quencher</x:t>
        </x:is>
      </x:c>
      <x:c r="C37" s="10" t="inlineStr">
        <x:is>
          <x:t xml:space="preserve">Gatorade</x:t>
        </x:is>
      </x:c>
      <x:c r="D37" s="9" t="inlineStr">
        <x:is>
          <x:t xml:space="preserve">mainstream_sports_hydration</x:t>
        </x:is>
      </x:c>
      <x:c r="E37" s="9" t="inlineStr">
        <x:is>
          <x:t xml:space="preserve">2,3</x:t>
        </x:is>
      </x:c>
      <x:c r="F37" s="9" t="inlineStr">
        <x:is>
          <x:t xml:space="preserve">powder / RTD</x:t>
        </x:is>
      </x:c>
      <x:c r="G37" s="9" t="inlineStr">
        <x:is>
          <x:t xml:space="preserve">12 oz prepared</x:t>
        </x:is>
      </x:c>
      <x:c r="H37" s="9" t="inlineStr">
        <x:is>
          <x:t xml:space="preserve">N</x:t>
        </x:is>
      </x:c>
      <x:c r="I37" s="11" t="n">
        <x:v>80</x:v>
      </x:c>
      <x:c r="J37" s="11" t="n">
        <x:v>21</x:v>
      </x:c>
      <x:c r="K37" s="11" t="n">
        <x:v>21</x:v>
      </x:c>
      <x:c r="L37" s="11" t="n">
        <x:v>160</x:v>
      </x:c>
      <x:c r="M37" s="11" t="n">
        <x:v>50</x:v>
      </x:c>
      <x:c r="N37" s="11" t="n"/>
      <x:c r="O37" s="11" t="n"/>
      <x:c r="P37" s="11" t="n"/>
      <x:c r="Q37" s="11" t="n">
        <x:v>0</x:v>
      </x:c>
      <x:c r="R37" s="9" t="inlineStr">
        <x:is>
          <x:t xml:space="preserve">sugar-based</x:t>
        </x:is>
      </x:c>
      <x:c r="S37" s="9" t="inlineStr">
        <x:is>
          <x:t xml:space="preserve">N</x:t>
        </x:is>
      </x:c>
      <x:c r="T37" s="17" t="inlineStr">
        <x:is>
          <x:t xml:space="preserve">verified_family_level</x:t>
        </x:is>
      </x:c>
      <x:c r="U37" s="13" t="inlineStr">
        <x:is>
          <x:t xml:space="preserve">classic sports drink</x:t>
        </x:is>
      </x:c>
      <x:c r="V37" s="13" t="inlineStr">
        <x:is>
          <x:t xml:space="preserve">Classic carbs-plus-electrolytes sports drink still relevant as a baseline comparator.</x:t>
        </x:is>
      </x:c>
      <x:c r="W37" s="14" t="inlineStr">
        <x:is>
          <x:t xml:space="preserve">https://www.gatorade.com/powders/gatorade-thirst-quencher/lemon-lime-single-serve-sticks</x:t>
        </x:is>
      </x:c>
      <x:c r="X37" s="18" t="inlineStr">
        <x:is>
          <x:t xml:space="preserve">Calories/carbs from official Gatorade materials; sodium/potassium from brand comparison article consistent with traditional 12 oz serving.</x:t>
        </x:is>
      </x:c>
    </x:row>
    <x:row r="38">
      <x:c r="A38" s="9" t="n">
        <x:v>37</x:v>
      </x:c>
      <x:c r="B38" s="10" t="inlineStr">
        <x:is>
          <x:t xml:space="preserve">Gatorade G2 Lower Sugar</x:t>
        </x:is>
      </x:c>
      <x:c r="C38" s="10" t="inlineStr">
        <x:is>
          <x:t xml:space="preserve">Gatorade</x:t>
        </x:is>
      </x:c>
      <x:c r="D38" s="9" t="inlineStr">
        <x:is>
          <x:t xml:space="preserve">lower_sugar_mainstream</x:t>
        </x:is>
      </x:c>
      <x:c r="E38" s="9" t="inlineStr">
        <x:is>
          <x:t xml:space="preserve">1,2,3</x:t>
        </x:is>
      </x:c>
      <x:c r="F38" s="9" t="inlineStr">
        <x:is>
          <x:t xml:space="preserve">powder / RTD</x:t>
        </x:is>
      </x:c>
      <x:c r="G38" s="9" t="inlineStr">
        <x:is>
          <x:t xml:space="preserve">12 oz prepared</x:t>
        </x:is>
      </x:c>
      <x:c r="H38" s="9" t="inlineStr">
        <x:is>
          <x:t xml:space="preserve">N</x:t>
        </x:is>
      </x:c>
      <x:c r="I38" s="11" t="n">
        <x:v>30</x:v>
      </x:c>
      <x:c r="J38" s="11" t="n">
        <x:v>8</x:v>
      </x:c>
      <x:c r="K38" s="11" t="n"/>
      <x:c r="L38" s="11" t="n"/>
      <x:c r="M38" s="11" t="n"/>
      <x:c r="N38" s="11" t="n"/>
      <x:c r="O38" s="11" t="n"/>
      <x:c r="P38" s="11" t="n"/>
      <x:c r="Q38" s="11" t="n">
        <x:v>0</x:v>
      </x:c>
      <x:c r="R38" s="9" t="inlineStr">
        <x:is>
          <x:t xml:space="preserve">sugar + sweetener blend</x:t>
        </x:is>
      </x:c>
      <x:c r="S38" s="9" t="inlineStr">
        <x:is>
          <x:t xml:space="preserve">Y</x:t>
        </x:is>
      </x:c>
      <x:c r="T38" s="15" t="inlineStr">
        <x:is>
          <x:t xml:space="preserve">partial</x:t>
        </x:is>
      </x:c>
      <x:c r="U38" s="13" t="inlineStr">
        <x:is>
          <x:t xml:space="preserve">lower-sugar mainstream training</x:t>
        </x:is>
      </x:c>
      <x:c r="V38" s="13" t="inlineStr">
        <x:is>
          <x:t xml:space="preserve">Lower-sugar middle ground between Thirst Quencher and Zero.</x:t>
        </x:is>
      </x:c>
      <x:c r="W38" s="14" t="inlineStr">
        <x:is>
          <x:t xml:space="preserve">https://performancepartner.gatorade.com/products</x:t>
        </x:is>
      </x:c>
      <x:c r="X38" s="16" t="inlineStr">
        <x:is>
          <x:t xml:space="preserve">Official performance page exposes 8g carbs and 30 calories per 12 oz serving.</x:t>
        </x:is>
      </x:c>
    </x:row>
    <x:row r="39">
      <x:c r="A39" s="9" t="n">
        <x:v>38</x:v>
      </x:c>
      <x:c r="B39" s="10" t="inlineStr">
        <x:is>
          <x:t xml:space="preserve">Gatorade Organic Thirst Quencher</x:t>
        </x:is>
      </x:c>
      <x:c r="C39" s="10" t="inlineStr">
        <x:is>
          <x:t xml:space="preserve">Gatorade</x:t>
        </x:is>
      </x:c>
      <x:c r="D39" s="9" t="inlineStr">
        <x:is>
          <x:t xml:space="preserve">mainstream_sports_hydration</x:t>
        </x:is>
      </x:c>
      <x:c r="E39" s="9" t="inlineStr">
        <x:is>
          <x:t xml:space="preserve">2,3</x:t>
        </x:is>
      </x:c>
      <x:c r="F39" s="9" t="inlineStr">
        <x:is>
          <x:t xml:space="preserve">ready-to-drink</x:t>
        </x:is>
      </x:c>
      <x:c r="G39" s="9" t="inlineStr">
        <x:is>
          <x:t xml:space="preserve">16.9 oz bottle</x:t>
        </x:is>
      </x:c>
      <x:c r="H39" s="9" t="inlineStr">
        <x:is>
          <x:t xml:space="preserve">N</x:t>
        </x:is>
      </x:c>
      <x:c r="I39" s="11" t="n">
        <x:v>120</x:v>
      </x:c>
      <x:c r="J39" s="11" t="n">
        <x:v>30</x:v>
      </x:c>
      <x:c r="K39" s="11" t="n"/>
      <x:c r="L39" s="11" t="n"/>
      <x:c r="M39" s="11" t="n"/>
      <x:c r="N39" s="11" t="n"/>
      <x:c r="O39" s="11" t="n"/>
      <x:c r="P39" s="11" t="n"/>
      <x:c r="Q39" s="11" t="n">
        <x:v>0</x:v>
      </x:c>
      <x:c r="R39" s="9" t="inlineStr">
        <x:is>
          <x:t xml:space="preserve">organic cane sugar</x:t>
        </x:is>
      </x:c>
      <x:c r="S39" s="9" t="inlineStr">
        <x:is>
          <x:t xml:space="preserve">N</x:t>
        </x:is>
      </x:c>
      <x:c r="T39" s="15" t="inlineStr">
        <x:is>
          <x:t xml:space="preserve">partial</x:t>
        </x:is>
      </x:c>
      <x:c r="U39" s="13" t="inlineStr">
        <x:is>
          <x:t xml:space="preserve">organic mainstream hydration</x:t>
        </x:is>
      </x:c>
      <x:c r="V39" s="13" t="inlineStr">
        <x:is>
          <x:t xml:space="preserve">Organic version of classic Gatorade positioning.</x:t>
        </x:is>
      </x:c>
      <x:c r="W39" s="14" t="inlineStr">
        <x:is>
          <x:t xml:space="preserve">https://performancepartner.gatorade.com/products</x:t>
        </x:is>
      </x:c>
      <x:c r="X39" s="16" t="inlineStr">
        <x:is>
          <x:t xml:space="preserve"/>
        </x:is>
      </x:c>
    </x:row>
    <x:row r="40">
      <x:c r="A40" s="9" t="n">
        <x:v>39</x:v>
      </x:c>
      <x:c r="B40" s="10" t="inlineStr">
        <x:is>
          <x:t xml:space="preserve">Propel Electrolyte Water</x:t>
        </x:is>
      </x:c>
      <x:c r="C40" s="10" t="inlineStr">
        <x:is>
          <x:t xml:space="preserve">Propel</x:t>
        </x:is>
      </x:c>
      <x:c r="D40" s="9" t="inlineStr">
        <x:is>
          <x:t xml:space="preserve">mainstream_daily</x:t>
        </x:is>
      </x:c>
      <x:c r="E40" s="9" t="inlineStr">
        <x:is>
          <x:t xml:space="preserve">1,2</x:t>
        </x:is>
      </x:c>
      <x:c r="F40" s="9" t="inlineStr">
        <x:is>
          <x:t xml:space="preserve">ready-to-drink</x:t>
        </x:is>
      </x:c>
      <x:c r="G40" s="9" t="inlineStr">
        <x:is>
          <x:t xml:space="preserve">12 oz</x:t>
        </x:is>
      </x:c>
      <x:c r="H40" s="9" t="inlineStr">
        <x:is>
          <x:t xml:space="preserve">N</x:t>
        </x:is>
      </x:c>
      <x:c r="I40" s="11" t="n">
        <x:v>0</x:v>
      </x:c>
      <x:c r="J40" s="11" t="n">
        <x:v>0</x:v>
      </x:c>
      <x:c r="K40" s="11" t="n">
        <x:v>0</x:v>
      </x:c>
      <x:c r="L40" s="11" t="n"/>
      <x:c r="M40" s="11" t="n"/>
      <x:c r="N40" s="11" t="n"/>
      <x:c r="O40" s="11" t="n"/>
      <x:c r="P40" s="11" t="n"/>
      <x:c r="Q40" s="11" t="n">
        <x:v>0</x:v>
      </x:c>
      <x:c r="R40" s="9" t="inlineStr">
        <x:is>
          <x:t xml:space="preserve">sucralose/acesulfame-K family</x:t>
        </x:is>
      </x:c>
      <x:c r="S40" s="9" t="inlineStr">
        <x:is>
          <x:t xml:space="preserve">Y</x:t>
        </x:is>
      </x:c>
      <x:c r="T40" s="15" t="inlineStr">
        <x:is>
          <x:t xml:space="preserve">partial</x:t>
        </x:is>
      </x:c>
      <x:c r="U40" s="13" t="inlineStr">
        <x:is>
          <x:t xml:space="preserve">light daily hydration</x:t>
        </x:is>
      </x:c>
      <x:c r="V40" s="13" t="inlineStr">
        <x:is>
          <x:t xml:space="preserve">Very light, convenience-first hydration with Gatorade-level electrolytes.</x:t>
        </x:is>
      </x:c>
      <x:c r="W40" s="14" t="inlineStr">
        <x:is>
          <x:t xml:space="preserve">https://performancepartner.gatorade.com/products</x:t>
        </x:is>
      </x:c>
      <x:c r="X40" s="16" t="inlineStr">
        <x:is>
          <x:t xml:space="preserve">Official performance materials say 0 carbs/cals per 12 oz and Gatorade-level electrolytes.</x:t>
        </x:is>
      </x:c>
    </x:row>
    <x:row r="41">
      <x:c r="A41" s="9" t="n">
        <x:v>40</x:v>
      </x:c>
      <x:c r="B41" s="10" t="inlineStr">
        <x:is>
          <x:t xml:space="preserve">Propel Immune Support</x:t>
        </x:is>
      </x:c>
      <x:c r="C41" s="10" t="inlineStr">
        <x:is>
          <x:t xml:space="preserve">Propel</x:t>
        </x:is>
      </x:c>
      <x:c r="D41" s="9" t="inlineStr">
        <x:is>
          <x:t xml:space="preserve">mainstream_daily</x:t>
        </x:is>
      </x:c>
      <x:c r="E41" s="9" t="inlineStr">
        <x:is>
          <x:t xml:space="preserve">1,2</x:t>
        </x:is>
      </x:c>
      <x:c r="F41" s="9" t="inlineStr">
        <x:is>
          <x:t xml:space="preserve">powder / tablet</x:t>
        </x:is>
      </x:c>
      <x:c r="G41" s="9" t="inlineStr">
        <x:is>
          <x:t xml:space="preserve">1 serving</x:t>
        </x:is>
      </x:c>
      <x:c r="H41" s="9" t="inlineStr">
        <x:is>
          <x:t xml:space="preserve">N</x:t>
        </x:is>
      </x:c>
      <x:c r="I41" s="11" t="n">
        <x:v>5</x:v>
      </x:c>
      <x:c r="J41" s="11" t="n">
        <x:v>0</x:v>
      </x:c>
      <x:c r="K41" s="11" t="n">
        <x:v>0</x:v>
      </x:c>
      <x:c r="L41" s="11" t="n"/>
      <x:c r="M41" s="11" t="n"/>
      <x:c r="N41" s="11" t="n"/>
      <x:c r="O41" s="11" t="n"/>
      <x:c r="P41" s="11" t="n"/>
      <x:c r="Q41" s="11" t="n">
        <x:v>0</x:v>
      </x:c>
      <x:c r="R41" s="9" t="inlineStr">
        <x:is>
          <x:t xml:space="preserve">sucralose/acesulfame-K family</x:t>
        </x:is>
      </x:c>
      <x:c r="S41" s="9" t="inlineStr">
        <x:is>
          <x:t xml:space="preserve">Y</x:t>
        </x:is>
      </x:c>
      <x:c r="T41" s="15" t="inlineStr">
        <x:is>
          <x:t xml:space="preserve">partial</x:t>
        </x:is>
      </x:c>
      <x:c r="U41" s="13" t="inlineStr">
        <x:is>
          <x:t xml:space="preserve">daily hydration + vitamins</x:t>
        </x:is>
      </x:c>
      <x:c r="V41" s="13" t="inlineStr">
        <x:is>
          <x:t xml:space="preserve">Propel extension with immune-support positioning and very low calories.</x:t>
        </x:is>
      </x:c>
      <x:c r="W41" s="14" t="inlineStr">
        <x:is>
          <x:t xml:space="preserve">https://performancepartner.gatorade.com/products</x:t>
        </x:is>
      </x:c>
      <x:c r="X41" s="16" t="inlineStr">
        <x:is>
          <x:t xml:space="preserve"/>
        </x:is>
      </x:c>
    </x:row>
    <x:row r="42">
      <x:c r="A42" s="9" t="n">
        <x:v>41</x:v>
      </x:c>
      <x:c r="B42" s="10" t="inlineStr">
        <x:is>
          <x:t xml:space="preserve">SaltStick FastChews</x:t>
        </x:is>
      </x:c>
      <x:c r="C42" s="10" t="inlineStr">
        <x:is>
          <x:t xml:space="preserve">SaltStick</x:t>
        </x:is>
      </x:c>
      <x:c r="D42" s="9" t="inlineStr">
        <x:is>
          <x:t xml:space="preserve">tablet_chew</x:t>
        </x:is>
      </x:c>
      <x:c r="E42" s="9" t="inlineStr">
        <x:is>
          <x:t xml:space="preserve">2,3,5</x:t>
        </x:is>
      </x:c>
      <x:c r="F42" s="9" t="inlineStr">
        <x:is>
          <x:t xml:space="preserve">chew tablet</x:t>
        </x:is>
      </x:c>
      <x:c r="G42" s="9" t="inlineStr">
        <x:is>
          <x:t xml:space="preserve">2 tablets</x:t>
        </x:is>
      </x:c>
      <x:c r="H42" s="9" t="inlineStr">
        <x:is>
          <x:t xml:space="preserve">Y</x:t>
        </x:is>
      </x:c>
      <x:c r="I42" s="11" t="n">
        <x:v>10</x:v>
      </x:c>
      <x:c r="J42" s="11" t="n">
        <x:v>2</x:v>
      </x:c>
      <x:c r="K42" s="11" t="n">
        <x:v>2</x:v>
      </x:c>
      <x:c r="L42" s="11" t="n">
        <x:v>100</x:v>
      </x:c>
      <x:c r="M42" s="11" t="n">
        <x:v>30</x:v>
      </x:c>
      <x:c r="N42" s="11" t="n">
        <x:v>6</x:v>
      </x:c>
      <x:c r="O42" s="11" t="n">
        <x:v>10</x:v>
      </x:c>
      <x:c r="P42" s="11" t="n"/>
      <x:c r="Q42" s="11" t="n">
        <x:v>0</x:v>
      </x:c>
      <x:c r="R42" s="9" t="inlineStr">
        <x:is>
          <x:t xml:space="preserve">dextrose-based chew</x:t>
        </x:is>
      </x:c>
      <x:c r="S42" s="9" t="inlineStr">
        <x:is>
          <x:t xml:space="preserve">N</x:t>
        </x:is>
      </x:c>
      <x:c r="T42" s="12" t="inlineStr">
        <x:is>
          <x:t xml:space="preserve">verified_exact</x:t>
        </x:is>
      </x:c>
      <x:c r="U42" s="13" t="inlineStr">
        <x:is>
          <x:t xml:space="preserve">on-the-go race support</x:t>
        </x:is>
      </x:c>
      <x:c r="V42" s="13" t="inlineStr">
        <x:is>
          <x:t xml:space="preserve">Portable chewable electrolyte option that works well mid-activity.</x:t>
        </x:is>
      </x:c>
      <x:c r="W42" s="14" t="inlineStr">
        <x:is>
          <x:t xml:space="preserve">https://saltstick.com/products/fastchews</x:t>
        </x:is>
      </x:c>
      <x:c r="X42" s="10" t="inlineStr">
        <x:is>
          <x:t xml:space="preserve"/>
        </x:is>
      </x:c>
    </x:row>
    <x:row r="43">
      <x:c r="A43" s="9" t="n">
        <x:v>42</x:v>
      </x:c>
      <x:c r="B43" s="10" t="inlineStr">
        <x:is>
          <x:t xml:space="preserve">SaltStick Elixalyte</x:t>
        </x:is>
      </x:c>
      <x:c r="C43" s="10" t="inlineStr">
        <x:is>
          <x:t xml:space="preserve">SaltStick</x:t>
        </x:is>
      </x:c>
      <x:c r="D43" s="9" t="inlineStr">
        <x:is>
          <x:t xml:space="preserve">liquid_concentrate</x:t>
        </x:is>
      </x:c>
      <x:c r="E43" s="9" t="inlineStr">
        <x:is>
          <x:t xml:space="preserve">2,3,5</x:t>
        </x:is>
      </x:c>
      <x:c r="F43" s="9" t="inlineStr">
        <x:is>
          <x:t xml:space="preserve">liquid concentrate</x:t>
        </x:is>
      </x:c>
      <x:c r="G43" s="9" t="inlineStr">
        <x:is>
          <x:t xml:space="preserve">5 mL</x:t>
        </x:is>
      </x:c>
      <x:c r="H43" s="9" t="inlineStr">
        <x:is>
          <x:t xml:space="preserve">N</x:t>
        </x:is>
      </x:c>
      <x:c r="I43" s="11" t="n">
        <x:v>0</x:v>
      </x:c>
      <x:c r="J43" s="11" t="n">
        <x:v>0</x:v>
      </x:c>
      <x:c r="K43" s="11" t="n">
        <x:v>0</x:v>
      </x:c>
      <x:c r="L43" s="11" t="n">
        <x:v>210</x:v>
      </x:c>
      <x:c r="M43" s="11" t="n">
        <x:v>60</x:v>
      </x:c>
      <x:c r="N43" s="11" t="n">
        <x:v>8</x:v>
      </x:c>
      <x:c r="O43" s="11" t="n">
        <x:v>16</x:v>
      </x:c>
      <x:c r="P43" s="11" t="n"/>
      <x:c r="Q43" s="11" t="n">
        <x:v>0</x:v>
      </x:c>
      <x:c r="R43" s="9" t="inlineStr">
        <x:is>
          <x:t xml:space="preserve">none listed</x:t>
        </x:is>
      </x:c>
      <x:c r="S43" s="9" t="inlineStr">
        <x:is>
          <x:t xml:space="preserve">N</x:t>
        </x:is>
      </x:c>
      <x:c r="T43" s="12" t="inlineStr">
        <x:is>
          <x:t xml:space="preserve">verified_exact</x:t>
        </x:is>
      </x:c>
      <x:c r="U43" s="13" t="inlineStr">
        <x:is>
          <x:t xml:space="preserve">custom bottle concentration</x:t>
        </x:is>
      </x:c>
      <x:c r="V43" s="13" t="inlineStr">
        <x:is>
          <x:t xml:space="preserve">Liquid concentrate for athletes who want to customize sodium strength.</x:t>
        </x:is>
      </x:c>
      <x:c r="W43" s="14" t="inlineStr">
        <x:is>
          <x:t xml:space="preserve">https://saltstick.com/products/elixalyte</x:t>
        </x:is>
      </x:c>
      <x:c r="X43" s="10" t="inlineStr">
        <x:is>
          <x:t xml:space="preserve"/>
        </x:is>
      </x:c>
    </x:row>
    <x:row r="44">
      <x:c r="A44" s="9" t="n">
        <x:v>43</x:v>
      </x:c>
      <x:c r="B44" s="10" t="inlineStr">
        <x:is>
          <x:t xml:space="preserve">NormaLyte Pure</x:t>
        </x:is>
      </x:c>
      <x:c r="C44" s="10" t="inlineStr">
        <x:is>
          <x:t xml:space="preserve">NormaLyte</x:t>
        </x:is>
      </x:c>
      <x:c r="D44" s="9" t="inlineStr">
        <x:is>
          <x:t xml:space="preserve">ors_style</x:t>
        </x:is>
      </x:c>
      <x:c r="E44" s="9" t="inlineStr">
        <x:is>
          <x:t xml:space="preserve">1,3,4,5</x:t>
        </x:is>
      </x:c>
      <x:c r="F44" s="9" t="inlineStr">
        <x:is>
          <x:t xml:space="preserve">powder stick</x:t>
        </x:is>
      </x:c>
      <x:c r="G44" s="9" t="inlineStr">
        <x:is>
          <x:t xml:space="preserve">1 stick / liter</x:t>
        </x:is>
      </x:c>
      <x:c r="H44" s="9" t="inlineStr">
        <x:is>
          <x:t xml:space="preserve">Y</x:t>
        </x:is>
      </x:c>
      <x:c r="I44" s="11" t="n"/>
      <x:c r="J44" s="11" t="n"/>
      <x:c r="K44" s="11" t="n"/>
      <x:c r="L44" s="11" t="n">
        <x:v>850</x:v>
      </x:c>
      <x:c r="M44" s="11" t="n">
        <x:v>390</x:v>
      </x:c>
      <x:c r="N44" s="11" t="n"/>
      <x:c r="O44" s="11" t="n"/>
      <x:c r="P44" s="11" t="n"/>
      <x:c r="Q44" s="11" t="n">
        <x:v>0</x:v>
      </x:c>
      <x:c r="R44" s="9" t="inlineStr">
        <x:is>
          <x:t xml:space="preserve">clean / no stevia</x:t>
        </x:is>
      </x:c>
      <x:c r="S44" s="9" t="inlineStr">
        <x:is>
          <x:t xml:space="preserve">N</x:t>
        </x:is>
      </x:c>
      <x:c r="T44" s="15" t="inlineStr">
        <x:is>
          <x:t xml:space="preserve">partial</x:t>
        </x:is>
      </x:c>
      <x:c r="U44" s="13" t="inlineStr">
        <x:is>
          <x:t xml:space="preserve">high-electrolyte clean ORS</x:t>
        </x:is>
      </x:c>
      <x:c r="V44" s="13" t="inlineStr">
        <x:is>
          <x:t xml:space="preserve">Clean-label ORS-style option with no stevia, sugar alcohols, or dyes.</x:t>
        </x:is>
      </x:c>
      <x:c r="W44" s="14" t="inlineStr">
        <x:is>
          <x:t xml:space="preserve">https://normalyte.com/products/normalyte-pure</x:t>
        </x:is>
      </x:c>
      <x:c r="X44" s="16" t="inlineStr">
        <x:is>
          <x:t xml:space="preserve">Official materials expose sodium and potassium; full macro panel pending direct label capture.</x:t>
        </x:is>
      </x:c>
    </x:row>
    <x:row r="45">
      <x:c r="A45" s="9" t="n">
        <x:v>44</x:v>
      </x:c>
      <x:c r="B45" s="10" t="inlineStr">
        <x:is>
          <x:t xml:space="preserve">NormaLyte Pure Electrolyte Capsules</x:t>
        </x:is>
      </x:c>
      <x:c r="C45" s="10" t="inlineStr">
        <x:is>
          <x:t xml:space="preserve">NormaLyte</x:t>
        </x:is>
      </x:c>
      <x:c r="D45" s="9" t="inlineStr">
        <x:is>
          <x:t xml:space="preserve">capsule_high_sodium</x:t>
        </x:is>
      </x:c>
      <x:c r="E45" s="9" t="inlineStr">
        <x:is>
          <x:t xml:space="preserve">1,3,4,5</x:t>
        </x:is>
      </x:c>
      <x:c r="F45" s="9" t="inlineStr">
        <x:is>
          <x:t xml:space="preserve">capsule</x:t>
        </x:is>
      </x:c>
      <x:c r="G45" s="9" t="inlineStr">
        <x:is>
          <x:t xml:space="preserve">capsule serving</x:t>
        </x:is>
      </x:c>
      <x:c r="H45" s="9" t="inlineStr">
        <x:is>
          <x:t xml:space="preserve">N</x:t>
        </x:is>
      </x:c>
      <x:c r="I45" s="11" t="n">
        <x:v>0</x:v>
      </x:c>
      <x:c r="J45" s="11" t="n">
        <x:v>0</x:v>
      </x:c>
      <x:c r="K45" s="11" t="n">
        <x:v>0</x:v>
      </x:c>
      <x:c r="L45" s="11" t="n">
        <x:v>500</x:v>
      </x:c>
      <x:c r="M45" s="11" t="n">
        <x:v>100</x:v>
      </x:c>
      <x:c r="N45" s="11" t="n"/>
      <x:c r="O45" s="11" t="n"/>
      <x:c r="P45" s="11" t="n"/>
      <x:c r="Q45" s="11" t="n">
        <x:v>0</x:v>
      </x:c>
      <x:c r="R45" s="9" t="inlineStr">
        <x:is>
          <x:t xml:space="preserve">none listed</x:t>
        </x:is>
      </x:c>
      <x:c r="S45" s="9" t="inlineStr">
        <x:is>
          <x:t xml:space="preserve">N</x:t>
        </x:is>
      </x:c>
      <x:c r="T45" s="12" t="inlineStr">
        <x:is>
          <x:t xml:space="preserve">verified_exact</x:t>
        </x:is>
      </x:c>
      <x:c r="U45" s="13" t="inlineStr">
        <x:is>
          <x:t xml:space="preserve">capsule sodium support</x:t>
        </x:is>
      </x:c>
      <x:c r="V45" s="13" t="inlineStr">
        <x:is>
          <x:t xml:space="preserve">Capsule form for people who want sodium/potassium without flavored mixes.</x:t>
        </x:is>
      </x:c>
      <x:c r="W45" s="14" t="inlineStr">
        <x:is>
          <x:t xml:space="preserve">https://normalyte.com/products/pure-electrolyte-capsules-100-count-bottle</x:t>
        </x:is>
      </x:c>
      <x:c r="X45" s="10" t="inlineStr">
        <x:is>
          <x:t xml:space="preserve"/>
        </x:is>
      </x:c>
    </x:row>
    <x:row r="46">
      <x:c r="A46" s="9" t="n">
        <x:v>45</x:v>
      </x:c>
      <x:c r="B46" s="10" t="inlineStr">
        <x:is>
          <x:t xml:space="preserve">Venture Pal High Sodium Sugar-Free</x:t>
        </x:is>
      </x:c>
      <x:c r="C46" s="10" t="inlineStr">
        <x:is>
          <x:t xml:space="preserve">Venture Pal</x:t>
        </x:is>
      </x:c>
      <x:c r="D46" s="9" t="inlineStr">
        <x:is>
          <x:t xml:space="preserve">zero_sugar_high_sodium</x:t>
        </x:is>
      </x:c>
      <x:c r="E46" s="9" t="inlineStr">
        <x:is>
          <x:t xml:space="preserve">1,3,4,5</x:t>
        </x:is>
      </x:c>
      <x:c r="F46" s="9" t="inlineStr">
        <x:is>
          <x:t xml:space="preserve">powder stick</x:t>
        </x:is>
      </x:c>
      <x:c r="G46" s="9" t="inlineStr">
        <x:is>
          <x:t xml:space="preserve">1 serving</x:t>
        </x:is>
      </x:c>
      <x:c r="H46" s="9" t="inlineStr">
        <x:is>
          <x:t xml:space="preserve">Y</x:t>
        </x:is>
      </x:c>
      <x:c r="I46" s="11" t="n">
        <x:v>0</x:v>
      </x:c>
      <x:c r="J46" s="11" t="n">
        <x:v>0</x:v>
      </x:c>
      <x:c r="K46" s="11" t="n">
        <x:v>0</x:v>
      </x:c>
      <x:c r="L46" s="11" t="n">
        <x:v>1000</x:v>
      </x:c>
      <x:c r="M46" s="11" t="n">
        <x:v>200</x:v>
      </x:c>
      <x:c r="N46" s="11" t="n">
        <x:v>60</x:v>
      </x:c>
      <x:c r="O46" s="11" t="n"/>
      <x:c r="P46" s="11" t="n"/>
      <x:c r="Q46" s="11" t="n">
        <x:v>0</x:v>
      </x:c>
      <x:c r="R46" s="9" t="inlineStr">
        <x:is>
          <x:t xml:space="preserve">stevia</x:t>
        </x:is>
      </x:c>
      <x:c r="S46" s="9" t="inlineStr">
        <x:is>
          <x:t xml:space="preserve">N</x:t>
        </x:is>
      </x:c>
      <x:c r="T46" s="12" t="inlineStr">
        <x:is>
          <x:t xml:space="preserve">verified_exact</x:t>
        </x:is>
      </x:c>
      <x:c r="U46" s="13" t="inlineStr">
        <x:is>
          <x:t xml:space="preserve">budget high-sodium option</x:t>
        </x:is>
      </x:c>
      <x:c r="V46" s="13" t="inlineStr">
        <x:is>
          <x:t xml:space="preserve">Budget-friendly high-sodium / zero-sugar formula that mirrors the heavy-sweat use case.</x:t>
        </x:is>
      </x:c>
      <x:c r="W46" s="14" t="inlineStr">
        <x:is>
          <x:t xml:space="preserve">https://venturepal.com/products/electrolytes-powder-packets-high-sodium-sugar-free</x:t>
        </x:is>
      </x:c>
      <x:c r="X46" s="10" t="inlineStr">
        <x:is>
          <x:t xml:space="preserve"/>
        </x:is>
      </x:c>
    </x:row>
    <x:row r="47">
      <x:c r="A47" s="9" t="n">
        <x:v>46</x:v>
      </x:c>
      <x:c r="B47" s="10" t="inlineStr">
        <x:is>
          <x:t xml:space="preserve">DripDrop ORS</x:t>
        </x:is>
      </x:c>
      <x:c r="C47" s="10" t="inlineStr">
        <x:is>
          <x:t xml:space="preserve">DripDrop</x:t>
        </x:is>
      </x:c>
      <x:c r="D47" s="9" t="inlineStr">
        <x:is>
          <x:t xml:space="preserve">ors_style</x:t>
        </x:is>
      </x:c>
      <x:c r="E47" s="9" t="inlineStr">
        <x:is>
          <x:t xml:space="preserve">2,3,5</x:t>
        </x:is>
      </x:c>
      <x:c r="F47" s="9" t="inlineStr">
        <x:is>
          <x:t xml:space="preserve">powder stick</x:t>
        </x:is>
      </x:c>
      <x:c r="G47" s="9" t="inlineStr">
        <x:is>
          <x:t xml:space="preserve">1 serving</x:t>
        </x:is>
      </x:c>
      <x:c r="H47" s="9" t="inlineStr">
        <x:is>
          <x:t xml:space="preserve">N</x:t>
        </x:is>
      </x:c>
      <x:c r="I47" s="11" t="n"/>
      <x:c r="J47" s="11" t="n"/>
      <x:c r="K47" s="11" t="n"/>
      <x:c r="L47" s="11" t="n"/>
      <x:c r="M47" s="11" t="n"/>
      <x:c r="N47" s="11" t="n"/>
      <x:c r="O47" s="11" t="n"/>
      <x:c r="P47" s="11" t="n"/>
      <x:c r="Q47" s="11" t="n">
        <x:v>0</x:v>
      </x:c>
      <x:c r="R47" s="9" t="inlineStr">
        <x:is>
          <x:t xml:space="preserve">glucose-based ORS</x:t>
        </x:is>
      </x:c>
      <x:c r="S47" s="9" t="inlineStr">
        <x:is>
          <x:t xml:space="preserve">N</x:t>
        </x:is>
      </x:c>
      <x:c r="T47" s="15" t="inlineStr">
        <x:is>
          <x:t xml:space="preserve">partial</x:t>
        </x:is>
      </x:c>
      <x:c r="U47" s="13" t="inlineStr">
        <x:is>
          <x:t xml:space="preserve">travel / dehydration / endurance crossover</x:t>
        </x:is>
      </x:c>
      <x:c r="V47" s="13" t="inlineStr">
        <x:is>
          <x:t xml:space="preserve">Well-known ORS-style hydration brand; strong inclusion for mainstream awareness.</x:t>
        </x:is>
      </x:c>
      <x:c r="W47" s="14" t="inlineStr">
        <x:is>
          <x:t xml:space="preserve">https://dripdrop.com/pages/faq</x:t>
        </x:is>
      </x:c>
      <x:c r="X47" s="16" t="inlineStr">
        <x:is>
          <x:t xml:space="preserve">Official FAQ confirms sodium, potassium, magnesium, zinc, vitamin C; exact label values pending capture.</x:t>
        </x:is>
      </x:c>
    </x:row>
    <x:row r="48">
      <x:c r="A48" s="9" t="n">
        <x:v>47</x:v>
      </x:c>
      <x:c r="B48" s="10" t="inlineStr">
        <x:is>
          <x:t xml:space="preserve">DripDrop Zero Sugar Plus</x:t>
        </x:is>
      </x:c>
      <x:c r="C48" s="10" t="inlineStr">
        <x:is>
          <x:t xml:space="preserve">DripDrop</x:t>
        </x:is>
      </x:c>
      <x:c r="D48" s="9" t="inlineStr">
        <x:is>
          <x:t xml:space="preserve">low_sugar_modern</x:t>
        </x:is>
      </x:c>
      <x:c r="E48" s="9" t="inlineStr">
        <x:is>
          <x:t xml:space="preserve">1,2,4,5</x:t>
        </x:is>
      </x:c>
      <x:c r="F48" s="9" t="inlineStr">
        <x:is>
          <x:t xml:space="preserve">powder stick</x:t>
        </x:is>
      </x:c>
      <x:c r="G48" s="9" t="inlineStr">
        <x:is>
          <x:t xml:space="preserve">1 stick / 16 oz</x:t>
        </x:is>
      </x:c>
      <x:c r="H48" s="9" t="inlineStr">
        <x:is>
          <x:t xml:space="preserve">N</x:t>
        </x:is>
      </x:c>
      <x:c r="I48" s="11" t="n">
        <x:v>25</x:v>
      </x:c>
      <x:c r="J48" s="11" t="n">
        <x:v>2</x:v>
      </x:c>
      <x:c r="K48" s="11" t="n">
        <x:v>0</x:v>
      </x:c>
      <x:c r="L48" s="11" t="n"/>
      <x:c r="M48" s="11" t="n"/>
      <x:c r="N48" s="11" t="n"/>
      <x:c r="O48" s="11" t="n"/>
      <x:c r="P48" s="11" t="n"/>
      <x:c r="Q48" s="11" t="n">
        <x:v>0</x:v>
      </x:c>
      <x:c r="R48" s="9" t="inlineStr">
        <x:is>
          <x:t xml:space="preserve">stevia + chicory fiber</x:t>
        </x:is>
      </x:c>
      <x:c r="S48" s="9" t="inlineStr">
        <x:is>
          <x:t xml:space="preserve">N</x:t>
        </x:is>
      </x:c>
      <x:c r="T48" s="15" t="inlineStr">
        <x:is>
          <x:t xml:space="preserve">partial</x:t>
        </x:is>
      </x:c>
      <x:c r="U48" s="13" t="inlineStr">
        <x:is>
          <x:t xml:space="preserve">low-sugar daily hydration</x:t>
        </x:is>
      </x:c>
      <x:c r="V48" s="13" t="inlineStr">
        <x:is>
          <x:t xml:space="preserve">Zero-sugar DripDrop variant for lighter days or users reducing sugar.</x:t>
        </x:is>
      </x:c>
      <x:c r="W48" s="14" t="inlineStr">
        <x:is>
          <x:t xml:space="preserve">https://dripdrop.com/products/dripdrop-zero-sugar-plus-strawberry-kiwi-peach-cherry-limeade-wild-berry-16-oz-sticks-16-count</x:t>
        </x:is>
      </x:c>
      <x:c r="X48" s="16" t="inlineStr">
        <x:is>
          <x:t xml:space="preserve">Official product page exposes calories/carbs and ingredient profile, not full electrolyte panel in snippet.</x:t>
        </x:is>
      </x:c>
    </x:row>
    <x:row r="49">
      <x:c r="A49" s="9" t="n">
        <x:v>48</x:v>
      </x:c>
      <x:c r="B49" s="10" t="inlineStr">
        <x:is>
          <x:t xml:space="preserve">Cure Hydration</x:t>
        </x:is>
      </x:c>
      <x:c r="C49" s="10" t="inlineStr">
        <x:is>
          <x:t xml:space="preserve">Cure</x:t>
        </x:is>
      </x:c>
      <x:c r="D49" s="9" t="inlineStr">
        <x:is>
          <x:t xml:space="preserve">plant_based_ors_style</x:t>
        </x:is>
      </x:c>
      <x:c r="E49" s="9" t="inlineStr">
        <x:is>
          <x:t xml:space="preserve">1,2,3,5</x:t>
        </x:is>
      </x:c>
      <x:c r="F49" s="9" t="inlineStr">
        <x:is>
          <x:t xml:space="preserve">powder stick</x:t>
        </x:is>
      </x:c>
      <x:c r="G49" s="9" t="inlineStr">
        <x:is>
          <x:t xml:space="preserve">1 serving</x:t>
        </x:is>
      </x:c>
      <x:c r="H49" s="9" t="inlineStr">
        <x:is>
          <x:t xml:space="preserve">N</x:t>
        </x:is>
      </x:c>
      <x:c r="I49" s="11" t="n">
        <x:v>25</x:v>
      </x:c>
      <x:c r="J49" s="11" t="n">
        <x:v>6</x:v>
      </x:c>
      <x:c r="K49" s="11" t="n">
        <x:v>0</x:v>
      </x:c>
      <x:c r="L49" s="11" t="n">
        <x:v>240</x:v>
      </x:c>
      <x:c r="M49" s="11" t="n"/>
      <x:c r="N49" s="11" t="n"/>
      <x:c r="O49" s="11" t="n"/>
      <x:c r="P49" s="11" t="n"/>
      <x:c r="Q49" s="11" t="n">
        <x:v>0</x:v>
      </x:c>
      <x:c r="R49" s="9" t="inlineStr">
        <x:is>
          <x:t xml:space="preserve">glucose from coconut water</x:t>
        </x:is>
      </x:c>
      <x:c r="S49" s="9" t="inlineStr">
        <x:is>
          <x:t xml:space="preserve">N</x:t>
        </x:is>
      </x:c>
      <x:c r="T49" s="15" t="inlineStr">
        <x:is>
          <x:t xml:space="preserve">partial</x:t>
        </x:is>
      </x:c>
      <x:c r="U49" s="13" t="inlineStr">
        <x:is>
          <x:t xml:space="preserve">plant-based daily hydration</x:t>
        </x:is>
      </x:c>
      <x:c r="V49" s="13" t="inlineStr">
        <x:is>
          <x:t xml:space="preserve">Plant-based ORS-style mix with no added sugar and modest sodium.</x:t>
        </x:is>
      </x:c>
      <x:c r="W49" s="14" t="inlineStr">
        <x:is>
          <x:t xml:space="preserve">https://www.curehydration.com/products/hydrating-electrolyte-mix-watermelon</x:t>
        </x:is>
      </x:c>
      <x:c r="X49" s="16" t="inlineStr">
        <x:is>
          <x:t xml:space="preserve">Official product image snippet shows calories, sodium, and carbs; potassium claims are qualitative in available snippets.</x:t>
        </x:is>
      </x:c>
    </x:row>
    <x:row r="50">
      <x:c r="A50" s="9" t="n">
        <x:v>49</x:v>
      </x:c>
      <x:c r="B50" s="10" t="inlineStr">
        <x:is>
          <x:t xml:space="preserve">Jigsaw Potassium Cocktail</x:t>
        </x:is>
      </x:c>
      <x:c r="C50" s="10" t="inlineStr">
        <x:is>
          <x:t xml:space="preserve">Jigsaw Health</x:t>
        </x:is>
      </x:c>
      <x:c r="D50" s="9" t="inlineStr">
        <x:is>
          <x:t xml:space="preserve">potassium_forward</x:t>
        </x:is>
      </x:c>
      <x:c r="E50" s="9" t="inlineStr">
        <x:is>
          <x:t xml:space="preserve">1,4</x:t>
        </x:is>
      </x:c>
      <x:c r="F50" s="9" t="inlineStr">
        <x:is>
          <x:t xml:space="preserve">powder</x:t>
        </x:is>
      </x:c>
      <x:c r="G50" s="9" t="inlineStr">
        <x:is>
          <x:t xml:space="preserve">1 serving</x:t>
        </x:is>
      </x:c>
      <x:c r="H50" s="9" t="inlineStr">
        <x:is>
          <x:t xml:space="preserve">N</x:t>
        </x:is>
      </x:c>
      <x:c r="I50" s="11" t="n">
        <x:v>0</x:v>
      </x:c>
      <x:c r="J50" s="11" t="n">
        <x:v>0</x:v>
      </x:c>
      <x:c r="K50" s="11" t="n">
        <x:v>0</x:v>
      </x:c>
      <x:c r="L50" s="11" t="n">
        <x:v>90</x:v>
      </x:c>
      <x:c r="M50" s="11" t="n">
        <x:v>800</x:v>
      </x:c>
      <x:c r="N50" s="11" t="n">
        <x:v>50</x:v>
      </x:c>
      <x:c r="O50" s="11" t="n"/>
      <x:c r="P50" s="11" t="n"/>
      <x:c r="Q50" s="11" t="n">
        <x:v>0</x:v>
      </x:c>
      <x:c r="R50" s="9" t="inlineStr">
        <x:is>
          <x:t xml:space="preserve">none listed</x:t>
        </x:is>
      </x:c>
      <x:c r="S50" s="9" t="inlineStr">
        <x:is>
          <x:t xml:space="preserve">N</x:t>
        </x:is>
      </x:c>
      <x:c r="T50" s="12" t="inlineStr">
        <x:is>
          <x:t xml:space="preserve">verified_exact</x:t>
        </x:is>
      </x:c>
      <x:c r="U50" s="13" t="inlineStr">
        <x:is>
          <x:t xml:space="preserve">potassium support</x:t>
        </x:is>
      </x:c>
      <x:c r="V50" s="13" t="inlineStr">
        <x:is>
          <x:t xml:space="preserve">Not a sport-first product; more useful as a potassium-forward support formula.</x:t>
        </x:is>
      </x:c>
      <x:c r="W50" s="14" t="inlineStr">
        <x:is>
          <x:t xml:space="preserve">https://www.jigsawhealth.com/products/potassium-cocktail</x:t>
        </x:is>
      </x:c>
      <x:c r="X50" s="10" t="inlineStr">
        <x:is>
          <x:t xml:space="preserve"/>
        </x:is>
      </x:c>
    </x:row>
    <x:row r="51">
      <x:c r="A51" s="9" t="n">
        <x:v>50</x:v>
      </x:c>
      <x:c r="B51" s="10" t="inlineStr">
        <x:is>
          <x:t xml:space="preserve">Jigsaw Electrolyte Supreme</x:t>
        </x:is>
      </x:c>
      <x:c r="C51" s="10" t="inlineStr">
        <x:is>
          <x:t xml:space="preserve">Jigsaw Health</x:t>
        </x:is>
      </x:c>
      <x:c r="D51" s="9" t="inlineStr">
        <x:is>
          <x:t xml:space="preserve">broad_mineral_support</x:t>
        </x:is>
      </x:c>
      <x:c r="E51" s="9" t="inlineStr">
        <x:is>
          <x:t xml:space="preserve">1,4</x:t>
        </x:is>
      </x:c>
      <x:c r="F51" s="9" t="inlineStr">
        <x:is>
          <x:t xml:space="preserve">powder</x:t>
        </x:is>
      </x:c>
      <x:c r="G51" s="9" t="inlineStr">
        <x:is>
          <x:t xml:space="preserve">1 serving</x:t>
        </x:is>
      </x:c>
      <x:c r="H51" s="9" t="inlineStr">
        <x:is>
          <x:t xml:space="preserve">N</x:t>
        </x:is>
      </x:c>
      <x:c r="I51" s="11" t="n">
        <x:v>0</x:v>
      </x:c>
      <x:c r="J51" s="11" t="n">
        <x:v>0</x:v>
      </x:c>
      <x:c r="K51" s="11" t="n">
        <x:v>0</x:v>
      </x:c>
      <x:c r="L51" s="11" t="n"/>
      <x:c r="M51" s="11" t="n"/>
      <x:c r="N51" s="11" t="n"/>
      <x:c r="O51" s="11" t="n"/>
      <x:c r="P51" s="11" t="n"/>
      <x:c r="Q51" s="11" t="n">
        <x:v>0</x:v>
      </x:c>
      <x:c r="R51" s="9" t="inlineStr">
        <x:is>
          <x:t xml:space="preserve">none listed</x:t>
        </x:is>
      </x:c>
      <x:c r="S51" s="9" t="inlineStr">
        <x:is>
          <x:t xml:space="preserve">N</x:t>
        </x:is>
      </x:c>
      <x:c r="T51" s="15" t="inlineStr">
        <x:is>
          <x:t xml:space="preserve">partial</x:t>
        </x:is>
      </x:c>
      <x:c r="U51" s="13" t="inlineStr">
        <x:is>
          <x:t xml:space="preserve">broad mineral support</x:t>
        </x:is>
      </x:c>
      <x:c r="V51" s="13" t="inlineStr">
        <x:is>
          <x:t xml:space="preserve">Broad-spectrum mineral option better suited to general support than mainstream sport fueling.</x:t>
        </x:is>
      </x:c>
      <x:c r="W51" s="14" t="inlineStr">
        <x:is>
          <x:t xml:space="preserve">https://www.jigsawhealth.com/products/electrolyte-supreme</x:t>
        </x:is>
      </x:c>
      <x:c r="X51" s="16" t="inlineStr">
        <x:is>
          <x:t xml:space="preserve">Official snippets confirm broad mineral content and sugar-free status; exact panel pending direct label capture.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92731193230e44e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18" customWidth="1"/>
    <x:col min="3" max="3" width="24" customWidth="1"/>
    <x:col min="4" max="4" width="12" customWidth="1"/>
    <x:col min="5" max="5" width="14" customWidth="1"/>
    <x:col min="6" max="6" width="11" customWidth="1"/>
    <x:col min="7" max="7" width="12" customWidth="1"/>
    <x:col min="8" max="8" width="12" customWidth="1"/>
    <x:col min="9" max="9" width="10" customWidth="1"/>
    <x:col min="10" max="10" width="10" customWidth="1"/>
    <x:col min="11" max="11" width="22" customWidth="1"/>
    <x:col min="12" max="12" width="40" customWidth="1"/>
  </x:cols>
  <x:sheetData>
    <x:row r="1">
      <x:c r="A1" s="19" t="inlineStr">
        <x:is>
          <x:t xml:space="preserve">product_name</x:t>
        </x:is>
      </x:c>
      <x:c r="B1" s="19" t="inlineStr">
        <x:is>
          <x:t xml:space="preserve">brand</x:t>
        </x:is>
      </x:c>
      <x:c r="C1" s="19" t="inlineStr">
        <x:is>
          <x:t xml:space="preserve">tg_category</x:t>
        </x:is>
      </x:c>
      <x:c r="D1" s="19" t="inlineStr">
        <x:is>
          <x:t xml:space="preserve">tg_protocols</x:t>
        </x:is>
      </x:c>
      <x:c r="E1" s="19" t="inlineStr">
        <x:is>
          <x:t xml:space="preserve">form_factor</x:t>
        </x:is>
      </x:c>
      <x:c r="F1" s="19" t="inlineStr">
        <x:is>
          <x:t xml:space="preserve">sodium_mg</x:t>
        </x:is>
      </x:c>
      <x:c r="G1" s="19" t="inlineStr">
        <x:is>
          <x:t xml:space="preserve">potassium_mg</x:t>
        </x:is>
      </x:c>
      <x:c r="H1" s="19" t="inlineStr">
        <x:is>
          <x:t xml:space="preserve">magnesium_mg</x:t>
        </x:is>
      </x:c>
      <x:c r="I1" s="19" t="inlineStr">
        <x:is>
          <x:t xml:space="preserve">calories</x:t>
        </x:is>
      </x:c>
      <x:c r="J1" s="19" t="inlineStr">
        <x:is>
          <x:t xml:space="preserve">carbs_g</x:t>
        </x:is>
      </x:c>
      <x:c r="K1" s="19" t="inlineStr">
        <x:is>
          <x:t xml:space="preserve">tg_primary_use</x:t>
        </x:is>
      </x:c>
      <x:c r="L1" s="19" t="inlineStr">
        <x:is>
          <x:t xml:space="preserve">source_url</x:t>
        </x:is>
      </x:c>
    </x:row>
    <x:row r="2">
      <x:c r="A2" s="10" t="inlineStr">
        <x:is>
          <x:t xml:space="preserve">LMNT Recharge</x:t>
        </x:is>
      </x:c>
      <x:c r="B2" s="10" t="inlineStr">
        <x:is>
          <x:t xml:space="preserve">LMNT</x:t>
        </x:is>
      </x:c>
      <x:c r="C2" s="10" t="inlineStr">
        <x:is>
          <x:t xml:space="preserve">zero_sugar_high_sodium</x:t>
        </x:is>
      </x:c>
      <x:c r="D2" s="10" t="inlineStr">
        <x:is>
          <x:t xml:space="preserve">1,3,4,5</x:t>
        </x:is>
      </x:c>
      <x:c r="E2" s="10" t="inlineStr">
        <x:is>
          <x:t xml:space="preserve">powder stick</x:t>
        </x:is>
      </x:c>
      <x:c r="F2" s="10" t="n">
        <x:v>1000</x:v>
      </x:c>
      <x:c r="G2" s="10" t="n">
        <x:v>200</x:v>
      </x:c>
      <x:c r="H2" s="10" t="n">
        <x:v>60</x:v>
      </x:c>
      <x:c r="I2" s="10" t="n">
        <x:v>2</x:v>
      </x:c>
      <x:c r="J2" s="10" t="n">
        <x:v>0</x:v>
      </x:c>
      <x:c r="K2" s="10" t="inlineStr">
        <x:is>
          <x:t xml:space="preserve">high-sweat fasted hydration</x:t>
        </x:is>
      </x:c>
      <x:c r="L2" s="10" t="inlineStr">
        <x:is>
          <x:t xml:space="preserve">https://drinklmnt.com/pages/ingredients</x:t>
        </x:is>
      </x:c>
    </x:row>
    <x:row r="3">
      <x:c r="A3" s="10" t="inlineStr">
        <x:is>
          <x:t xml:space="preserve">Nuun Sport</x:t>
        </x:is>
      </x:c>
      <x:c r="B3" s="10" t="inlineStr">
        <x:is>
          <x:t xml:space="preserve">Nuun</x:t>
        </x:is>
      </x:c>
      <x:c r="C3" s="10" t="inlineStr">
        <x:is>
          <x:t xml:space="preserve">tablet_balanced</x:t>
        </x:is>
      </x:c>
      <x:c r="D3" s="10" t="inlineStr">
        <x:is>
          <x:t xml:space="preserve">1,2,3,5</x:t>
        </x:is>
      </x:c>
      <x:c r="E3" s="10" t="inlineStr">
        <x:is>
          <x:t xml:space="preserve">tablet</x:t>
        </x:is>
      </x:c>
      <x:c r="F3" s="10" t="n">
        <x:v>300</x:v>
      </x:c>
      <x:c r="G3" s="10" t="n">
        <x:v>150</x:v>
      </x:c>
      <x:c r="H3" s="10" t="n">
        <x:v>25</x:v>
      </x:c>
      <x:c r="I3" s="10" t="n">
        <x:v>15</x:v>
      </x:c>
      <x:c r="J3" s="10" t="n">
        <x:v>4</x:v>
      </x:c>
      <x:c r="K3" s="10" t="inlineStr">
        <x:is>
          <x:t xml:space="preserve">portable daily training hydration</x:t>
        </x:is>
      </x:c>
      <x:c r="L3" s="10" t="inlineStr">
        <x:is>
          <x:t xml:space="preserve">https://nuunlife.com/products/nuun-sport</x:t>
        </x:is>
      </x:c>
    </x:row>
    <x:row r="4">
      <x:c r="A4" s="10" t="inlineStr">
        <x:is>
          <x:t xml:space="preserve">Nuun Instant</x:t>
        </x:is>
      </x:c>
      <x:c r="B4" s="10" t="inlineStr">
        <x:is>
          <x:t xml:space="preserve">Nuun</x:t>
        </x:is>
      </x:c>
      <x:c r="C4" s="10" t="inlineStr">
        <x:is>
          <x:t xml:space="preserve">balanced_daily_hydration</x:t>
        </x:is>
      </x:c>
      <x:c r="D4" s="10" t="inlineStr">
        <x:is>
          <x:t xml:space="preserve">1,2,3,5</x:t>
        </x:is>
      </x:c>
      <x:c r="E4" s="10" t="inlineStr">
        <x:is>
          <x:t xml:space="preserve">powder stick</x:t>
        </x:is>
      </x:c>
      <x:c r="F4" s="10" t="n">
        <x:v>520</x:v>
      </x:c>
      <x:c r="G4" s="10" t="n">
        <x:v>385</x:v>
      </x:c>
      <x:c r="H4" s="10" t="n">
        <x:v>8</x:v>
      </x:c>
      <x:c r="I4" s="10" t="n">
        <x:v>25</x:v>
      </x:c>
      <x:c r="J4" s="10" t="n">
        <x:v>7</x:v>
      </x:c>
      <x:c r="K4" s="10" t="inlineStr">
        <x:is>
          <x:t xml:space="preserve">higher-electrolyte daily hydration</x:t>
        </x:is>
      </x:c>
      <x:c r="L4" s="10" t="inlineStr">
        <x:is>
          <x:t xml:space="preserve">https://nuunlife.com/blogs/news/nuun-instant-vs-nuun-sport</x:t>
        </x:is>
      </x:c>
    </x:row>
    <x:row r="5">
      <x:c r="A5" s="10" t="inlineStr">
        <x:is>
          <x:t xml:space="preserve">Skratch Hydration Sport Drink Mix</x:t>
        </x:is>
      </x:c>
      <x:c r="B5" s="10" t="inlineStr">
        <x:is>
          <x:t xml:space="preserve">Skratch Labs</x:t>
        </x:is>
      </x:c>
      <x:c r="C5" s="10" t="inlineStr">
        <x:is>
          <x:t xml:space="preserve">endurance_carb_electrolyte</x:t>
        </x:is>
      </x:c>
      <x:c r="D5" s="10" t="inlineStr">
        <x:is>
          <x:t xml:space="preserve">2,3,5</x:t>
        </x:is>
      </x:c>
      <x:c r="E5" s="10" t="inlineStr">
        <x:is>
          <x:t xml:space="preserve">powder</x:t>
        </x:is>
      </x:c>
      <x:c r="F5" s="10" t="n">
        <x:v>400</x:v>
      </x:c>
      <x:c r="G5" s="10" t="n">
        <x:v>80</x:v>
      </x:c>
      <x:c r="H5" s="10" t="n">
        <x:v>80</x:v>
      </x:c>
      <x:c r="I5" s="10" t="n">
        <x:v>80</x:v>
      </x:c>
      <x:c r="J5" s="10" t="n">
        <x:v>20</x:v>
      </x:c>
      <x:c r="K5" s="10" t="inlineStr">
        <x:is>
          <x:t xml:space="preserve">endurance training hydration</x:t>
        </x:is>
      </x:c>
      <x:c r="L5" s="10" t="inlineStr">
        <x:is>
          <x:t xml:space="preserve">https://www.skratchlabs.com/products/hydration-sport-drink-mix</x:t>
        </x:is>
      </x:c>
    </x:row>
    <x:row r="6">
      <x:c r="A6" s="10" t="inlineStr">
        <x:is>
          <x:t xml:space="preserve">Skratch Unsweetened Hydration</x:t>
        </x:is>
      </x:c>
      <x:c r="B6" s="10" t="inlineStr">
        <x:is>
          <x:t xml:space="preserve">Skratch Labs</x:t>
        </x:is>
      </x:c>
      <x:c r="C6" s="10" t="inlineStr">
        <x:is>
          <x:t xml:space="preserve">zero_sugar_balanced</x:t>
        </x:is>
      </x:c>
      <x:c r="D6" s="10" t="inlineStr">
        <x:is>
          <x:t xml:space="preserve">1,2,4,5</x:t>
        </x:is>
      </x:c>
      <x:c r="E6" s="10" t="inlineStr">
        <x:is>
          <x:t xml:space="preserve">powder</x:t>
        </x:is>
      </x:c>
      <x:c r="F6" s="10" t="n">
        <x:v>400</x:v>
      </x:c>
      <x:c r="G6" s="10" t="n">
        <x:v>100</x:v>
      </x:c>
      <x:c r="H6" s="10" t="n">
        <x:v>50</x:v>
      </x:c>
      <x:c r="I6" s="10" t="n">
        <x:v>10</x:v>
      </x:c>
      <x:c r="J6" s="10" t="n">
        <x:v>1</x:v>
      </x:c>
      <x:c r="K6" s="10" t="inlineStr">
        <x:is>
          <x:t xml:space="preserve">daily or fasted hydration</x:t>
        </x:is>
      </x:c>
      <x:c r="L6" s="10" t="inlineStr">
        <x:is>
          <x:t xml:space="preserve">https://www.skratchlabs.com/products/unsweetened-hydration-sport-drink-mix</x:t>
        </x:is>
      </x:c>
    </x:row>
    <x:row r="7">
      <x:c r="A7" s="10" t="inlineStr">
        <x:is>
          <x:t xml:space="preserve">PH 1000 Low-Cal Tablet</x:t>
        </x:is>
      </x:c>
      <x:c r="B7" s="10" t="inlineStr">
        <x:is>
          <x:t xml:space="preserve">Precision Hydration</x:t>
        </x:is>
      </x:c>
      <x:c r="C7" s="10" t="inlineStr">
        <x:is>
          <x:t xml:space="preserve">high_sodium_endurance</x:t>
        </x:is>
      </x:c>
      <x:c r="D7" s="10" t="inlineStr">
        <x:is>
          <x:t xml:space="preserve">2,3,5</x:t>
        </x:is>
      </x:c>
      <x:c r="E7" s="10" t="inlineStr">
        <x:is>
          <x:t xml:space="preserve">tablet</x:t>
        </x:is>
      </x:c>
      <x:c r="F7" s="10" t="n">
        <x:v>1000</x:v>
      </x:c>
      <x:c r="G7" s="10" t="n"/>
      <x:c r="H7" s="10" t="n"/>
      <x:c r="I7" s="10" t="n">
        <x:v>0</x:v>
      </x:c>
      <x:c r="J7" s="10" t="n">
        <x:v>0</x:v>
      </x:c>
      <x:c r="K7" s="10" t="inlineStr">
        <x:is>
          <x:t xml:space="preserve">high-sweat endurance</x:t>
        </x:is>
      </x:c>
      <x:c r="L7" s="10" t="inlineStr">
        <x:is>
          <x:t xml:space="preserve">https://www.precisionhydration.com/us/en/products/ph-1000-low-calorie-electrolyte-supplement/</x:t>
        </x:is>
      </x:c>
    </x:row>
    <x:row r="8">
      <x:c r="A8" s="10" t="inlineStr">
        <x:is>
          <x:t xml:space="preserve">PH 1500 Low-Cal Tablet</x:t>
        </x:is>
      </x:c>
      <x:c r="B8" s="10" t="inlineStr">
        <x:is>
          <x:t xml:space="preserve">Precision Hydration</x:t>
        </x:is>
      </x:c>
      <x:c r="C8" s="10" t="inlineStr">
        <x:is>
          <x:t xml:space="preserve">high_sodium_endurance</x:t>
        </x:is>
      </x:c>
      <x:c r="D8" s="10" t="inlineStr">
        <x:is>
          <x:t xml:space="preserve">2,3,5</x:t>
        </x:is>
      </x:c>
      <x:c r="E8" s="10" t="inlineStr">
        <x:is>
          <x:t xml:space="preserve">tablet</x:t>
        </x:is>
      </x:c>
      <x:c r="F8" s="10" t="n">
        <x:v>1500</x:v>
      </x:c>
      <x:c r="G8" s="10" t="n"/>
      <x:c r="H8" s="10" t="n"/>
      <x:c r="I8" s="10" t="n">
        <x:v>0</x:v>
      </x:c>
      <x:c r="J8" s="10" t="n">
        <x:v>0</x:v>
      </x:c>
      <x:c r="K8" s="10" t="inlineStr">
        <x:is>
          <x:t xml:space="preserve">extreme sweat / hot conditions</x:t>
        </x:is>
      </x:c>
      <x:c r="L8" s="10" t="inlineStr">
        <x:is>
          <x:t xml:space="preserve">https://www.precisionhydration.com/us/en/products/ph-1500-low-calorie-electrolyte-supplement/</x:t>
        </x:is>
      </x:c>
    </x:row>
    <x:row r="9">
      <x:c r="A9" s="10" t="inlineStr">
        <x:is>
          <x:t xml:space="preserve">PH 1000 Drink Mix</x:t>
        </x:is>
      </x:c>
      <x:c r="B9" s="10" t="inlineStr">
        <x:is>
          <x:t xml:space="preserve">Precision Hydration</x:t>
        </x:is>
      </x:c>
      <x:c r="C9" s="10" t="inlineStr">
        <x:is>
          <x:t xml:space="preserve">high_sodium_carb_mix</x:t>
        </x:is>
      </x:c>
      <x:c r="D9" s="10" t="inlineStr">
        <x:is>
          <x:t xml:space="preserve">2,3,5</x:t>
        </x:is>
      </x:c>
      <x:c r="E9" s="10" t="inlineStr">
        <x:is>
          <x:t xml:space="preserve">powder stick</x:t>
        </x:is>
      </x:c>
      <x:c r="F9" s="10" t="n">
        <x:v>1000</x:v>
      </x:c>
      <x:c r="G9" s="10" t="n"/>
      <x:c r="H9" s="10" t="n"/>
      <x:c r="I9" s="10" t="n">
        <x:v>70</x:v>
      </x:c>
      <x:c r="J9" s="10" t="n">
        <x:v>15</x:v>
      </x:c>
      <x:c r="K9" s="10" t="inlineStr">
        <x:is>
          <x:t xml:space="preserve">high-sweat endurance with fuel</x:t>
        </x:is>
      </x:c>
      <x:c r="L9" s="10" t="inlineStr">
        <x:is>
          <x:t xml:space="preserve">https://www.precisionhydration.com/us/en/products/ph-1000/</x:t>
        </x:is>
      </x:c>
    </x:row>
    <x:row r="10">
      <x:c r="A10" s="10" t="inlineStr">
        <x:is>
          <x:t xml:space="preserve">Pedialyte Sport Powder Packs</x:t>
        </x:is>
      </x:c>
      <x:c r="B10" s="10" t="inlineStr">
        <x:is>
          <x:t xml:space="preserve">Pedialyte</x:t>
        </x:is>
      </x:c>
      <x:c r="C10" s="10" t="inlineStr">
        <x:is>
          <x:t xml:space="preserve">ors_style</x:t>
        </x:is>
      </x:c>
      <x:c r="D10" s="10" t="inlineStr">
        <x:is>
          <x:t xml:space="preserve">2,3,5</x:t>
        </x:is>
      </x:c>
      <x:c r="E10" s="10" t="inlineStr">
        <x:is>
          <x:t xml:space="preserve">powder stick</x:t>
        </x:is>
      </x:c>
      <x:c r="F10" s="10" t="n">
        <x:v>1380</x:v>
      </x:c>
      <x:c r="G10" s="10" t="n"/>
      <x:c r="H10" s="10" t="n"/>
      <x:c r="I10" s="10" t="n">
        <x:v>90</x:v>
      </x:c>
      <x:c r="J10" s="10" t="n">
        <x:v>25</x:v>
      </x:c>
      <x:c r="K10" s="10" t="inlineStr">
        <x:is>
          <x:t xml:space="preserve">high-electrolyte rehydration</x:t>
        </x:is>
      </x:c>
      <x:c r="L10" s="10" t="inlineStr">
        <x:is>
          <x:t xml:space="preserve">https://www.pedialyte.com/products/sport-powder-packs/fruit-punch</x:t>
        </x:is>
      </x:c>
    </x:row>
    <x:row r="11">
      <x:c r="A11" s="10" t="inlineStr">
        <x:is>
          <x:t xml:space="preserve">Pedialyte AdvancedCare Plus Powder Packs</x:t>
        </x:is>
      </x:c>
      <x:c r="B11" s="10" t="inlineStr">
        <x:is>
          <x:t xml:space="preserve">Pedialyte</x:t>
        </x:is>
      </x:c>
      <x:c r="C11" s="10" t="inlineStr">
        <x:is>
          <x:t xml:space="preserve">ors_style</x:t>
        </x:is>
      </x:c>
      <x:c r="D11" s="10" t="inlineStr">
        <x:is>
          <x:t xml:space="preserve">2,3,5</x:t>
        </x:is>
      </x:c>
      <x:c r="E11" s="10" t="inlineStr">
        <x:is>
          <x:t xml:space="preserve">powder stick</x:t>
        </x:is>
      </x:c>
      <x:c r="F11" s="10" t="n">
        <x:v>650</x:v>
      </x:c>
      <x:c r="G11" s="10" t="n"/>
      <x:c r="H11" s="10" t="n"/>
      <x:c r="I11" s="10" t="n">
        <x:v>50</x:v>
      </x:c>
      <x:c r="J11" s="10" t="n">
        <x:v>15</x:v>
      </x:c>
      <x:c r="K11" s="10" t="inlineStr">
        <x:is>
          <x:t xml:space="preserve">recovery / travel / sickness</x:t>
        </x:is>
      </x:c>
      <x:c r="L11" s="10" t="inlineStr">
        <x:is>
          <x:t xml:space="preserve">https://www.pedialyte.com/products/advancedcare-plus-powder-packs</x:t>
        </x:is>
      </x:c>
    </x:row>
    <x:row r="12">
      <x:c r="A12" s="10" t="inlineStr">
        <x:is>
          <x:t xml:space="preserve">Liquid I.V. Hydration Multiplier</x:t>
        </x:is>
      </x:c>
      <x:c r="B12" s="10" t="inlineStr">
        <x:is>
          <x:t xml:space="preserve">Liquid I.V.</x:t>
        </x:is>
      </x:c>
      <x:c r="C12" s="10" t="inlineStr">
        <x:is>
          <x:t xml:space="preserve">ors_style</x:t>
        </x:is>
      </x:c>
      <x:c r="D12" s="10" t="inlineStr">
        <x:is>
          <x:t xml:space="preserve">2,3,5</x:t>
        </x:is>
      </x:c>
      <x:c r="E12" s="10" t="inlineStr">
        <x:is>
          <x:t xml:space="preserve">powder stick</x:t>
        </x:is>
      </x:c>
      <x:c r="F12" s="10" t="n">
        <x:v>500</x:v>
      </x:c>
      <x:c r="G12" s="10" t="n">
        <x:v>380</x:v>
      </x:c>
      <x:c r="H12" s="10" t="n"/>
      <x:c r="I12" s="10" t="n">
        <x:v>45</x:v>
      </x:c>
      <x:c r="J12" s="10" t="n">
        <x:v>11</x:v>
      </x:c>
      <x:c r="K12" s="10" t="inlineStr">
        <x:is>
          <x:t xml:space="preserve">training and travel hydration</x:t>
        </x:is>
      </x:c>
      <x:c r="L12" s="10" t="inlineStr">
        <x:is>
          <x:t xml:space="preserve">https://www.liquid-iv.com/pages/ingredients</x:t>
        </x:is>
      </x:c>
    </x:row>
    <x:row r="13">
      <x:c r="A13" s="10" t="inlineStr">
        <x:is>
          <x:t xml:space="preserve">Liquid I.V. Hydration Multiplier Sugar-Free</x:t>
        </x:is>
      </x:c>
      <x:c r="B13" s="10" t="inlineStr">
        <x:is>
          <x:t xml:space="preserve">Liquid I.V.</x:t>
        </x:is>
      </x:c>
      <x:c r="C13" s="10" t="inlineStr">
        <x:is>
          <x:t xml:space="preserve">low_sugar_modern</x:t>
        </x:is>
      </x:c>
      <x:c r="D13" s="10" t="inlineStr">
        <x:is>
          <x:t xml:space="preserve">1,2,4,5</x:t>
        </x:is>
      </x:c>
      <x:c r="E13" s="10" t="inlineStr">
        <x:is>
          <x:t xml:space="preserve">powder stick</x:t>
        </x:is>
      </x:c>
      <x:c r="F13" s="10" t="n"/>
      <x:c r="G13" s="10" t="n"/>
      <x:c r="H13" s="10" t="n"/>
      <x:c r="I13" s="10" t="n"/>
      <x:c r="J13" s="10" t="n"/>
      <x:c r="K13" s="10" t="inlineStr">
        <x:is>
          <x:t xml:space="preserve">low-sugar daily hydration</x:t>
        </x:is>
      </x:c>
      <x:c r="L13" s="10" t="inlineStr">
        <x:is>
          <x:t xml:space="preserve">https://www.liquid-iv.com/products/white-peach-hydration-multiplier-sugar-free</x:t>
        </x:is>
      </x:c>
    </x:row>
    <x:row r="14">
      <x:c r="A14" s="10" t="inlineStr">
        <x:is>
          <x:t xml:space="preserve">Re-Lyte Hydration</x:t>
        </x:is>
      </x:c>
      <x:c r="B14" s="10" t="inlineStr">
        <x:is>
          <x:t xml:space="preserve">Redmond Re-Lyte</x:t>
        </x:is>
      </x:c>
      <x:c r="C14" s="10" t="inlineStr">
        <x:is>
          <x:t xml:space="preserve">zero_sugar_high_sodium</x:t>
        </x:is>
      </x:c>
      <x:c r="D14" s="10" t="inlineStr">
        <x:is>
          <x:t xml:space="preserve">1,3,4,5</x:t>
        </x:is>
      </x:c>
      <x:c r="E14" s="10" t="inlineStr">
        <x:is>
          <x:t xml:space="preserve">powder stick</x:t>
        </x:is>
      </x:c>
      <x:c r="F14" s="10" t="n">
        <x:v>810</x:v>
      </x:c>
      <x:c r="G14" s="10" t="n">
        <x:v>400</x:v>
      </x:c>
      <x:c r="H14" s="10" t="n">
        <x:v>50</x:v>
      </x:c>
      <x:c r="I14" s="10" t="n">
        <x:v>0</x:v>
      </x:c>
      <x:c r="J14" s="10" t="n">
        <x:v>0</x:v>
      </x:c>
      <x:c r="K14" s="10" t="inlineStr">
        <x:is>
          <x:t xml:space="preserve">fasted / keto / hot weather</x:t>
        </x:is>
      </x:c>
      <x:c r="L14" s="10" t="inlineStr">
        <x:is>
          <x:t xml:space="preserve">https://redmond.life/products/re-lyte-hydration-stick-packs-30-ct</x:t>
        </x:is>
      </x:c>
    </x:row>
    <x:row r="15">
      <x:c r="A15" s="10" t="inlineStr">
        <x:is>
          <x:t xml:space="preserve">Ultima Replenisher</x:t>
        </x:is>
      </x:c>
      <x:c r="B15" s="10" t="inlineStr">
        <x:is>
          <x:t xml:space="preserve">Ultima</x:t>
        </x:is>
      </x:c>
      <x:c r="C15" s="10" t="inlineStr">
        <x:is>
          <x:t xml:space="preserve">low_sodium_daily</x:t>
        </x:is>
      </x:c>
      <x:c r="D15" s="10" t="inlineStr">
        <x:is>
          <x:t xml:space="preserve">1,4</x:t>
        </x:is>
      </x:c>
      <x:c r="E15" s="10" t="inlineStr">
        <x:is>
          <x:t xml:space="preserve">powder stick</x:t>
        </x:is>
      </x:c>
      <x:c r="F15" s="10" t="n">
        <x:v>55</x:v>
      </x:c>
      <x:c r="G15" s="10" t="n">
        <x:v>250</x:v>
      </x:c>
      <x:c r="H15" s="10" t="n">
        <x:v>100</x:v>
      </x:c>
      <x:c r="I15" s="10" t="n">
        <x:v>0</x:v>
      </x:c>
      <x:c r="J15" s="10" t="n">
        <x:v>0</x:v>
      </x:c>
      <x:c r="K15" s="10" t="inlineStr">
        <x:is>
          <x:t xml:space="preserve">daily low-cal hydration</x:t>
        </x:is>
      </x:c>
      <x:c r="L15" s="10" t="inlineStr">
        <x:is>
          <x:t xml:space="preserve">https://www.ultimareplenisher.com/products/variety-pack-electrolyte-powder-drink</x:t>
        </x:is>
      </x:c>
    </x:row>
    <x:row r="16">
      <x:c r="A16" s="10" t="inlineStr">
        <x:is>
          <x:t xml:space="preserve">Tailwind Rapid Hydration</x:t>
        </x:is>
      </x:c>
      <x:c r="B16" s="10" t="inlineStr">
        <x:is>
          <x:t xml:space="preserve">Tailwind</x:t>
        </x:is>
      </x:c>
      <x:c r="C16" s="10" t="inlineStr">
        <x:is>
          <x:t xml:space="preserve">balanced_low_sugar</x:t>
        </x:is>
      </x:c>
      <x:c r="D16" s="10" t="inlineStr">
        <x:is>
          <x:t xml:space="preserve">2,3,5</x:t>
        </x:is>
      </x:c>
      <x:c r="E16" s="10" t="inlineStr">
        <x:is>
          <x:t xml:space="preserve">powder stick</x:t>
        </x:is>
      </x:c>
      <x:c r="F16" s="10" t="n">
        <x:v>320</x:v>
      </x:c>
      <x:c r="G16" s="10" t="n">
        <x:v>90</x:v>
      </x:c>
      <x:c r="H16" s="10" t="n"/>
      <x:c r="I16" s="10" t="n">
        <x:v>45</x:v>
      </x:c>
      <x:c r="J16" s="10" t="n">
        <x:v>12</x:v>
      </x:c>
      <x:c r="K16" s="10" t="inlineStr">
        <x:is>
          <x:t xml:space="preserve">short to moderate endurance</x:t>
        </x:is>
      </x:c>
      <x:c r="L16" s="10" t="inlineStr">
        <x:is>
          <x:t xml:space="preserve">https://tailwindnutrition.com/products/rapid-hydration-variety-pack</x:t>
        </x:is>
      </x:c>
    </x:row>
    <x:row r="17">
      <x:c r="A17" s="10" t="inlineStr">
        <x:is>
          <x:t xml:space="preserve">Tailwind Endurance Fuel</x:t>
        </x:is>
      </x:c>
      <x:c r="B17" s="10" t="inlineStr">
        <x:is>
          <x:t xml:space="preserve">Tailwind</x:t>
        </x:is>
      </x:c>
      <x:c r="C17" s="10" t="inlineStr">
        <x:is>
          <x:t xml:space="preserve">endurance_carb_electrolyte</x:t>
        </x:is>
      </x:c>
      <x:c r="D17" s="10" t="inlineStr">
        <x:is>
          <x:t xml:space="preserve">2,3,5</x:t>
        </x:is>
      </x:c>
      <x:c r="E17" s="10" t="inlineStr">
        <x:is>
          <x:t xml:space="preserve">powder</x:t>
        </x:is>
      </x:c>
      <x:c r="F17" s="10" t="n">
        <x:v>610</x:v>
      </x:c>
      <x:c r="G17" s="10" t="n"/>
      <x:c r="H17" s="10" t="n"/>
      <x:c r="I17" s="10" t="n">
        <x:v>200</x:v>
      </x:c>
      <x:c r="J17" s="10" t="n">
        <x:v>50</x:v>
      </x:c>
      <x:c r="K17" s="10" t="inlineStr">
        <x:is>
          <x:t xml:space="preserve">long endurance fueling</x:t>
        </x:is>
      </x:c>
      <x:c r="L17" s="10" t="inlineStr">
        <x:is>
          <x:t xml:space="preserve">https://tailwindnutrition.com/products/endurance-fuel</x:t>
        </x:is>
      </x:c>
    </x:row>
    <x:row r="18">
      <x:c r="A18" s="10" t="inlineStr">
        <x:is>
          <x:t xml:space="preserve">SOS Daily Hydration</x:t>
        </x:is>
      </x:c>
      <x:c r="B18" s="10" t="inlineStr">
        <x:is>
          <x:t xml:space="preserve">SOS Hydration</x:t>
        </x:is>
      </x:c>
      <x:c r="C18" s="10" t="inlineStr">
        <x:is>
          <x:t xml:space="preserve">balanced_low_sugar</x:t>
        </x:is>
      </x:c>
      <x:c r="D18" s="10" t="inlineStr">
        <x:is>
          <x:t xml:space="preserve">2,3,5</x:t>
        </x:is>
      </x:c>
      <x:c r="E18" s="10" t="inlineStr">
        <x:is>
          <x:t xml:space="preserve">powder stick</x:t>
        </x:is>
      </x:c>
      <x:c r="F18" s="10" t="n">
        <x:v>330</x:v>
      </x:c>
      <x:c r="G18" s="10" t="n">
        <x:v>190</x:v>
      </x:c>
      <x:c r="H18" s="10" t="n">
        <x:v>35</x:v>
      </x:c>
      <x:c r="I18" s="10" t="n">
        <x:v>15</x:v>
      </x:c>
      <x:c r="J18" s="10" t="n">
        <x:v>4</x:v>
      </x:c>
      <x:c r="K18" s="10" t="inlineStr">
        <x:is>
          <x:t xml:space="preserve">daily training rehydration</x:t>
        </x:is>
      </x:c>
      <x:c r="L18" s="10" t="inlineStr">
        <x:is>
          <x:t xml:space="preserve">https://soshydration.com/products/sos-daily-vitamin-enhanced-mango-31-serving-tub</x:t>
        </x:is>
      </x:c>
    </x:row>
    <x:row r="19">
      <x:c r="A19" s="10" t="inlineStr">
        <x:is>
          <x:t xml:space="preserve">Hydrant Daily Hydration Mix</x:t>
        </x:is>
      </x:c>
      <x:c r="B19" s="10" t="inlineStr">
        <x:is>
          <x:t xml:space="preserve">Hydrant</x:t>
        </x:is>
      </x:c>
      <x:c r="C19" s="10" t="inlineStr">
        <x:is>
          <x:t xml:space="preserve">balanced_low_sugar</x:t>
        </x:is>
      </x:c>
      <x:c r="D19" s="10" t="inlineStr">
        <x:is>
          <x:t xml:space="preserve">1,2,3,5</x:t>
        </x:is>
      </x:c>
      <x:c r="E19" s="10" t="inlineStr">
        <x:is>
          <x:t xml:space="preserve">powder stick</x:t>
        </x:is>
      </x:c>
      <x:c r="F19" s="10" t="n">
        <x:v>260</x:v>
      </x:c>
      <x:c r="G19" s="10" t="n"/>
      <x:c r="H19" s="10" t="n"/>
      <x:c r="I19" s="10" t="n">
        <x:v>20</x:v>
      </x:c>
      <x:c r="J19" s="10" t="n">
        <x:v>4</x:v>
      </x:c>
      <x:c r="K19" s="10" t="inlineStr">
        <x:is>
          <x:t xml:space="preserve">daily hydration</x:t>
        </x:is>
      </x:c>
      <x:c r="L19" s="10" t="inlineStr">
        <x:is>
          <x:t xml:space="preserve">https://www.drinkhydrant.com/products/unflavored</x:t>
        </x:is>
      </x:c>
    </x:row>
    <x:row r="20">
      <x:c r="A20" s="10" t="inlineStr">
        <x:is>
          <x:t xml:space="preserve">Gatorlyte Powder</x:t>
        </x:is>
      </x:c>
      <x:c r="B20" s="10" t="inlineStr">
        <x:is>
          <x:t xml:space="preserve">Gatorade</x:t>
        </x:is>
      </x:c>
      <x:c r="C20" s="10" t="inlineStr">
        <x:is>
          <x:t xml:space="preserve">mainstream_rehydration</x:t>
        </x:is>
      </x:c>
      <x:c r="D20" s="10" t="inlineStr">
        <x:is>
          <x:t xml:space="preserve">2,3,5</x:t>
        </x:is>
      </x:c>
      <x:c r="E20" s="10" t="inlineStr">
        <x:is>
          <x:t xml:space="preserve">powder stick</x:t>
        </x:is>
      </x:c>
      <x:c r="F20" s="10" t="n"/>
      <x:c r="G20" s="10" t="n"/>
      <x:c r="H20" s="10" t="n"/>
      <x:c r="I20" s="10" t="n"/>
      <x:c r="J20" s="10" t="n"/>
      <x:c r="K20" s="10" t="inlineStr">
        <x:is>
          <x:t xml:space="preserve">rapid rehydration mainstream</x:t>
        </x:is>
      </x:c>
      <x:c r="L20" s="10" t="inlineStr">
        <x:is>
          <x:t xml:space="preserve">https://www.gatorade.com/powders/gatorlyte/orange-single-serve-sticks</x:t>
        </x:is>
      </x:c>
    </x:row>
    <x:row r="21">
      <x:c r="A21" s="10" t="inlineStr">
        <x:is>
          <x:t xml:space="preserve">Gatorade Endurance Formula</x:t>
        </x:is>
      </x:c>
      <x:c r="B21" s="10" t="inlineStr">
        <x:is>
          <x:t xml:space="preserve">Gatorade</x:t>
        </x:is>
      </x:c>
      <x:c r="C21" s="10" t="inlineStr">
        <x:is>
          <x:t xml:space="preserve">endurance_carb_electrolyte</x:t>
        </x:is>
      </x:c>
      <x:c r="D21" s="10" t="inlineStr">
        <x:is>
          <x:t xml:space="preserve">2,3,5</x:t>
        </x:is>
      </x:c>
      <x:c r="E21" s="10" t="inlineStr">
        <x:is>
          <x:t xml:space="preserve">powder</x:t>
        </x:is>
      </x:c>
      <x:c r="F21" s="10" t="n"/>
      <x:c r="G21" s="10" t="n"/>
      <x:c r="H21" s="10" t="n"/>
      <x:c r="I21" s="10" t="n">
        <x:v>90</x:v>
      </x:c>
      <x:c r="J21" s="10" t="n">
        <x:v>22</x:v>
      </x:c>
      <x:c r="K21" s="10" t="inlineStr">
        <x:is>
          <x:t xml:space="preserve">endurance race hydration</x:t>
        </x:is>
      </x:c>
      <x:c r="L21" s="10" t="inlineStr">
        <x:is>
          <x:t xml:space="preserve">https://www.gatorade.com/powders/endurance-formula/orange-powder-32-oz-canister</x:t>
        </x:is>
      </x:c>
    </x:row>
    <x:row r="22">
      <x:c r="A22" s="10" t="inlineStr">
        <x:is>
          <x:t xml:space="preserve">Gatorade Zero Powder</x:t>
        </x:is>
      </x:c>
      <x:c r="B22" s="10" t="inlineStr">
        <x:is>
          <x:t xml:space="preserve">Gatorade</x:t>
        </x:is>
      </x:c>
      <x:c r="C22" s="10" t="inlineStr">
        <x:is>
          <x:t xml:space="preserve">mainstream_zero_sugar</x:t>
        </x:is>
      </x:c>
      <x:c r="D22" s="10" t="inlineStr">
        <x:is>
          <x:t xml:space="preserve">1,2</x:t>
        </x:is>
      </x:c>
      <x:c r="E22" s="10" t="inlineStr">
        <x:is>
          <x:t xml:space="preserve">powder stick</x:t>
        </x:is>
      </x:c>
      <x:c r="F22" s="10" t="n"/>
      <x:c r="G22" s="10" t="n"/>
      <x:c r="H22" s="10" t="n"/>
      <x:c r="I22" s="10" t="n">
        <x:v>0</x:v>
      </x:c>
      <x:c r="J22" s="10" t="n">
        <x:v>0</x:v>
      </x:c>
      <x:c r="K22" s="10" t="inlineStr">
        <x:is>
          <x:t xml:space="preserve">short-session hydration</x:t>
        </x:is>
      </x:c>
      <x:c r="L22" s="10" t="inlineStr">
        <x:is>
          <x:t xml:space="preserve">https://www.gatorade.com/powders/gatorade-zero/orange-single-serve-sticks</x:t>
        </x:is>
      </x:c>
    </x:row>
    <x:row r="23">
      <x:c r="A23" s="10" t="inlineStr">
        <x:is>
          <x:t xml:space="preserve">SaltStick FastChews</x:t>
        </x:is>
      </x:c>
      <x:c r="B23" s="10" t="inlineStr">
        <x:is>
          <x:t xml:space="preserve">SaltStick</x:t>
        </x:is>
      </x:c>
      <x:c r="C23" s="10" t="inlineStr">
        <x:is>
          <x:t xml:space="preserve">tablet_chew</x:t>
        </x:is>
      </x:c>
      <x:c r="D23" s="10" t="inlineStr">
        <x:is>
          <x:t xml:space="preserve">2,3,5</x:t>
        </x:is>
      </x:c>
      <x:c r="E23" s="10" t="inlineStr">
        <x:is>
          <x:t xml:space="preserve">chew tablet</x:t>
        </x:is>
      </x:c>
      <x:c r="F23" s="10" t="n">
        <x:v>100</x:v>
      </x:c>
      <x:c r="G23" s="10" t="n">
        <x:v>30</x:v>
      </x:c>
      <x:c r="H23" s="10" t="n">
        <x:v>6</x:v>
      </x:c>
      <x:c r="I23" s="10" t="n">
        <x:v>10</x:v>
      </x:c>
      <x:c r="J23" s="10" t="n">
        <x:v>2</x:v>
      </x:c>
      <x:c r="K23" s="10" t="inlineStr">
        <x:is>
          <x:t xml:space="preserve">on-the-go race support</x:t>
        </x:is>
      </x:c>
      <x:c r="L23" s="10" t="inlineStr">
        <x:is>
          <x:t xml:space="preserve">https://saltstick.com/products/fastchews</x:t>
        </x:is>
      </x:c>
    </x:row>
    <x:row r="24">
      <x:c r="A24" s="10" t="inlineStr">
        <x:is>
          <x:t xml:space="preserve">NormaLyte Pure</x:t>
        </x:is>
      </x:c>
      <x:c r="B24" s="10" t="inlineStr">
        <x:is>
          <x:t xml:space="preserve">NormaLyte</x:t>
        </x:is>
      </x:c>
      <x:c r="C24" s="10" t="inlineStr">
        <x:is>
          <x:t xml:space="preserve">ors_style</x:t>
        </x:is>
      </x:c>
      <x:c r="D24" s="10" t="inlineStr">
        <x:is>
          <x:t xml:space="preserve">1,3,4,5</x:t>
        </x:is>
      </x:c>
      <x:c r="E24" s="10" t="inlineStr">
        <x:is>
          <x:t xml:space="preserve">powder stick</x:t>
        </x:is>
      </x:c>
      <x:c r="F24" s="10" t="n">
        <x:v>850</x:v>
      </x:c>
      <x:c r="G24" s="10" t="n">
        <x:v>390</x:v>
      </x:c>
      <x:c r="H24" s="10" t="n"/>
      <x:c r="I24" s="10" t="n"/>
      <x:c r="J24" s="10" t="n"/>
      <x:c r="K24" s="10" t="inlineStr">
        <x:is>
          <x:t xml:space="preserve">high-electrolyte clean ORS</x:t>
        </x:is>
      </x:c>
      <x:c r="L24" s="10" t="inlineStr">
        <x:is>
          <x:t xml:space="preserve">https://normalyte.com/products/normalyte-pure</x:t>
        </x:is>
      </x:c>
    </x:row>
    <x:row r="25">
      <x:c r="A25" s="10" t="inlineStr">
        <x:is>
          <x:t xml:space="preserve">Venture Pal High Sodium Sugar-Free</x:t>
        </x:is>
      </x:c>
      <x:c r="B25" s="10" t="inlineStr">
        <x:is>
          <x:t xml:space="preserve">Venture Pal</x:t>
        </x:is>
      </x:c>
      <x:c r="C25" s="10" t="inlineStr">
        <x:is>
          <x:t xml:space="preserve">zero_sugar_high_sodium</x:t>
        </x:is>
      </x:c>
      <x:c r="D25" s="10" t="inlineStr">
        <x:is>
          <x:t xml:space="preserve">1,3,4,5</x:t>
        </x:is>
      </x:c>
      <x:c r="E25" s="10" t="inlineStr">
        <x:is>
          <x:t xml:space="preserve">powder stick</x:t>
        </x:is>
      </x:c>
      <x:c r="F25" s="10" t="n">
        <x:v>1000</x:v>
      </x:c>
      <x:c r="G25" s="10" t="n">
        <x:v>200</x:v>
      </x:c>
      <x:c r="H25" s="10" t="n">
        <x:v>60</x:v>
      </x:c>
      <x:c r="I25" s="10" t="n">
        <x:v>0</x:v>
      </x:c>
      <x:c r="J25" s="10" t="n">
        <x:v>0</x:v>
      </x:c>
      <x:c r="K25" s="10" t="inlineStr">
        <x:is>
          <x:t xml:space="preserve">budget high-sodium option</x:t>
        </x:is>
      </x:c>
      <x:c r="L25" s="10" t="inlineStr">
        <x:is>
          <x:t xml:space="preserve">https://venturepal.com/products/electrolytes-powder-packets-high-sodium-sugar-free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777903f0daa44b8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14" customWidth="1"/>
    <x:col min="3" max="3" width="12" customWidth="1"/>
    <x:col min="4" max="4" width="12" customWidth="1"/>
    <x:col min="5" max="5" width="58" customWidth="1"/>
  </x:cols>
  <x:sheetData>
    <x:row r="1">
      <x:c r="A1" s="20" t="inlineStr">
        <x:is>
          <x:t xml:space="preserve">Minimal TG Electrolyte Schema (recommended)</x:t>
        </x:is>
      </x:c>
    </x:row>
    <x:row r="2">
      <x:c r="A2" s="6" t="inlineStr">
        <x:is>
          <x:t xml:space="preserve">field_name</x:t>
        </x:is>
      </x:c>
      <x:c r="B2" s="6" t="inlineStr">
        <x:is>
          <x:t xml:space="preserve">type</x:t>
        </x:is>
      </x:c>
      <x:c r="C2" s="6" t="inlineStr">
        <x:is>
          <x:t xml:space="preserve">required</x:t>
        </x:is>
      </x:c>
      <x:c r="D2" s="6" t="inlineStr">
        <x:is>
          <x:t xml:space="preserve">used_on_site</x:t>
        </x:is>
      </x:c>
      <x:c r="E2" s="6" t="inlineStr">
        <x:is>
          <x:t xml:space="preserve">purpose</x:t>
        </x:is>
      </x:c>
    </x:row>
    <x:row r="3">
      <x:c r="A3" s="10" t="inlineStr">
        <x:is>
          <x:t xml:space="preserve">product_name</x:t>
        </x:is>
      </x:c>
      <x:c r="B3" s="10" t="inlineStr">
        <x:is>
          <x:t xml:space="preserve">string</x:t>
        </x:is>
      </x:c>
      <x:c r="C3" s="10" t="inlineStr">
        <x:is>
          <x:t xml:space="preserve">Y</x:t>
        </x:is>
      </x:c>
      <x:c r="D3" s="10" t="inlineStr">
        <x:is>
          <x:t xml:space="preserve">Y</x:t>
        </x:is>
      </x:c>
      <x:c r="E3" s="10" t="inlineStr">
        <x:is>
          <x:t xml:space="preserve">Display name used in both MCP and public library</x:t>
        </x:is>
      </x:c>
    </x:row>
    <x:row r="4">
      <x:c r="A4" s="10" t="inlineStr">
        <x:is>
          <x:t xml:space="preserve">brand</x:t>
        </x:is>
      </x:c>
      <x:c r="B4" s="10" t="inlineStr">
        <x:is>
          <x:t xml:space="preserve">string</x:t>
        </x:is>
      </x:c>
      <x:c r="C4" s="10" t="inlineStr">
        <x:is>
          <x:t xml:space="preserve">Y</x:t>
        </x:is>
      </x:c>
      <x:c r="D4" s="10" t="inlineStr">
        <x:is>
          <x:t xml:space="preserve">Y</x:t>
        </x:is>
      </x:c>
      <x:c r="E4" s="10" t="inlineStr">
        <x:is>
          <x:t xml:space="preserve">Brand family</x:t>
        </x:is>
      </x:c>
    </x:row>
    <x:row r="5">
      <x:c r="A5" s="10" t="inlineStr">
        <x:is>
          <x:t xml:space="preserve">tg_category</x:t>
        </x:is>
      </x:c>
      <x:c r="B5" s="10" t="inlineStr">
        <x:is>
          <x:t xml:space="preserve">string</x:t>
        </x:is>
      </x:c>
      <x:c r="C5" s="10" t="inlineStr">
        <x:is>
          <x:t xml:space="preserve">Y</x:t>
        </x:is>
      </x:c>
      <x:c r="D5" s="10" t="inlineStr">
        <x:is>
          <x:t xml:space="preserve">Y</x:t>
        </x:is>
      </x:c>
      <x:c r="E5" s="10" t="inlineStr">
        <x:is>
          <x:t xml:space="preserve">TrailGenic category such as zero_sugar_high_sodium or ors_style</x:t>
        </x:is>
      </x:c>
    </x:row>
    <x:row r="6">
      <x:c r="A6" s="10" t="inlineStr">
        <x:is>
          <x:t xml:space="preserve">tg_protocols</x:t>
        </x:is>
      </x:c>
      <x:c r="B6" s="10" t="inlineStr">
        <x:is>
          <x:t xml:space="preserve">string</x:t>
        </x:is>
      </x:c>
      <x:c r="C6" s="10" t="inlineStr">
        <x:is>
          <x:t xml:space="preserve">Y</x:t>
        </x:is>
      </x:c>
      <x:c r="D6" s="10" t="inlineStr">
        <x:is>
          <x:t xml:space="preserve">Y</x:t>
        </x:is>
      </x:c>
      <x:c r="E6" s="10" t="inlineStr">
        <x:is>
          <x:t xml:space="preserve">Comma-separated list of TG protocols (1-5)</x:t>
        </x:is>
      </x:c>
    </x:row>
    <x:row r="7">
      <x:c r="A7" s="10" t="inlineStr">
        <x:is>
          <x:t xml:space="preserve">form_factor</x:t>
        </x:is>
      </x:c>
      <x:c r="B7" s="10" t="inlineStr">
        <x:is>
          <x:t xml:space="preserve">string</x:t>
        </x:is>
      </x:c>
      <x:c r="C7" s="10" t="inlineStr">
        <x:is>
          <x:t xml:space="preserve">Y</x:t>
        </x:is>
      </x:c>
      <x:c r="D7" s="10" t="inlineStr">
        <x:is>
          <x:t xml:space="preserve">Y</x:t>
        </x:is>
      </x:c>
      <x:c r="E7" s="10" t="inlineStr">
        <x:is>
          <x:t xml:space="preserve">powder, tablet, chew, capsule, ready-to-drink, concentrate</x:t>
        </x:is>
      </x:c>
    </x:row>
    <x:row r="8">
      <x:c r="A8" s="10" t="inlineStr">
        <x:is>
          <x:t xml:space="preserve">serving_basis</x:t>
        </x:is>
      </x:c>
      <x:c r="B8" s="10" t="inlineStr">
        <x:is>
          <x:t xml:space="preserve">string</x:t>
        </x:is>
      </x:c>
      <x:c r="C8" s="10" t="inlineStr">
        <x:is>
          <x:t xml:space="preserve">Y</x:t>
        </x:is>
      </x:c>
      <x:c r="D8" s="10" t="inlineStr">
        <x:is>
          <x:t xml:space="preserve">N</x:t>
        </x:is>
      </x:c>
      <x:c r="E8" s="10" t="inlineStr">
        <x:is>
          <x:t xml:space="preserve">How the values are expressed (stick, tablet, 12 oz, liter, etc.)</x:t>
        </x:is>
      </x:c>
    </x:row>
    <x:row r="9">
      <x:c r="A9" s="10" t="inlineStr">
        <x:is>
          <x:t xml:space="preserve">public_24_flag</x:t>
        </x:is>
      </x:c>
      <x:c r="B9" s="10" t="inlineStr">
        <x:is>
          <x:t xml:space="preserve">string</x:t>
        </x:is>
      </x:c>
      <x:c r="C9" s="10" t="inlineStr">
        <x:is>
          <x:t xml:space="preserve">Y</x:t>
        </x:is>
      </x:c>
      <x:c r="D9" s="10" t="inlineStr">
        <x:is>
          <x:t xml:space="preserve">N</x:t>
        </x:is>
      </x:c>
      <x:c r="E9" s="10" t="inlineStr">
        <x:is>
          <x:t xml:space="preserve">Y if included in the site sample</x:t>
        </x:is>
      </x:c>
    </x:row>
    <x:row r="10">
      <x:c r="A10" s="10" t="inlineStr">
        <x:is>
          <x:t xml:space="preserve">calories</x:t>
        </x:is>
      </x:c>
      <x:c r="B10" s="10" t="inlineStr">
        <x:is>
          <x:t xml:space="preserve">number</x:t>
        </x:is>
      </x:c>
      <x:c r="C10" s="10" t="inlineStr">
        <x:is>
          <x:t xml:space="preserve">N</x:t>
        </x:is>
      </x:c>
      <x:c r="D10" s="10" t="inlineStr">
        <x:is>
          <x:t xml:space="preserve">Y</x:t>
        </x:is>
      </x:c>
      <x:c r="E10" s="10" t="inlineStr">
        <x:is>
          <x:t xml:space="preserve">Calories per stated serving basis</x:t>
        </x:is>
      </x:c>
    </x:row>
    <x:row r="11">
      <x:c r="A11" s="10" t="inlineStr">
        <x:is>
          <x:t xml:space="preserve">carbs_g</x:t>
        </x:is>
      </x:c>
      <x:c r="B11" s="10" t="inlineStr">
        <x:is>
          <x:t xml:space="preserve">number</x:t>
        </x:is>
      </x:c>
      <x:c r="C11" s="10" t="inlineStr">
        <x:is>
          <x:t xml:space="preserve">N</x:t>
        </x:is>
      </x:c>
      <x:c r="D11" s="10" t="inlineStr">
        <x:is>
          <x:t xml:space="preserve">Y</x:t>
        </x:is>
      </x:c>
      <x:c r="E11" s="10" t="inlineStr">
        <x:is>
          <x:t xml:space="preserve">Carbohydrates per stated serving basis</x:t>
        </x:is>
      </x:c>
    </x:row>
    <x:row r="12">
      <x:c r="A12" s="10" t="inlineStr">
        <x:is>
          <x:t xml:space="preserve">sugars_g</x:t>
        </x:is>
      </x:c>
      <x:c r="B12" s="10" t="inlineStr">
        <x:is>
          <x:t xml:space="preserve">number</x:t>
        </x:is>
      </x:c>
      <x:c r="C12" s="10" t="inlineStr">
        <x:is>
          <x:t xml:space="preserve">N</x:t>
        </x:is>
      </x:c>
      <x:c r="D12" s="10" t="inlineStr">
        <x:is>
          <x:t xml:space="preserve">N</x:t>
        </x:is>
      </x:c>
      <x:c r="E12" s="10" t="inlineStr">
        <x:is>
          <x:t xml:space="preserve">Sugar per stated serving basis</x:t>
        </x:is>
      </x:c>
    </x:row>
    <x:row r="13">
      <x:c r="A13" s="10" t="inlineStr">
        <x:is>
          <x:t xml:space="preserve">sodium_mg</x:t>
        </x:is>
      </x:c>
      <x:c r="B13" s="10" t="inlineStr">
        <x:is>
          <x:t xml:space="preserve">number</x:t>
        </x:is>
      </x:c>
      <x:c r="C13" s="10" t="inlineStr">
        <x:is>
          <x:t xml:space="preserve">N</x:t>
        </x:is>
      </x:c>
      <x:c r="D13" s="10" t="inlineStr">
        <x:is>
          <x:t xml:space="preserve">Y</x:t>
        </x:is>
      </x:c>
      <x:c r="E13" s="10" t="inlineStr">
        <x:is>
          <x:t xml:space="preserve">Core sodium metric</x:t>
        </x:is>
      </x:c>
    </x:row>
    <x:row r="14">
      <x:c r="A14" s="10" t="inlineStr">
        <x:is>
          <x:t xml:space="preserve">potassium_mg</x:t>
        </x:is>
      </x:c>
      <x:c r="B14" s="10" t="inlineStr">
        <x:is>
          <x:t xml:space="preserve">number</x:t>
        </x:is>
      </x:c>
      <x:c r="C14" s="10" t="inlineStr">
        <x:is>
          <x:t xml:space="preserve">N</x:t>
        </x:is>
      </x:c>
      <x:c r="D14" s="10" t="inlineStr">
        <x:is>
          <x:t xml:space="preserve">Y</x:t>
        </x:is>
      </x:c>
      <x:c r="E14" s="10" t="inlineStr">
        <x:is>
          <x:t xml:space="preserve">Secondary electrolyte metric</x:t>
        </x:is>
      </x:c>
    </x:row>
    <x:row r="15">
      <x:c r="A15" s="10" t="inlineStr">
        <x:is>
          <x:t xml:space="preserve">magnesium_mg</x:t>
        </x:is>
      </x:c>
      <x:c r="B15" s="10" t="inlineStr">
        <x:is>
          <x:t xml:space="preserve">number</x:t>
        </x:is>
      </x:c>
      <x:c r="C15" s="10" t="inlineStr">
        <x:is>
          <x:t xml:space="preserve">N</x:t>
        </x:is>
      </x:c>
      <x:c r="D15" s="10" t="inlineStr">
        <x:is>
          <x:t xml:space="preserve">Y</x:t>
        </x:is>
      </x:c>
      <x:c r="E15" s="10" t="inlineStr">
        <x:is>
          <x:t xml:space="preserve">Secondary electrolyte metric</x:t>
        </x:is>
      </x:c>
    </x:row>
    <x:row r="16">
      <x:c r="A16" s="10" t="inlineStr">
        <x:is>
          <x:t xml:space="preserve">calcium_mg</x:t>
        </x:is>
      </x:c>
      <x:c r="B16" s="10" t="inlineStr">
        <x:is>
          <x:t xml:space="preserve">number</x:t>
        </x:is>
      </x:c>
      <x:c r="C16" s="10" t="inlineStr">
        <x:is>
          <x:t xml:space="preserve">N</x:t>
        </x:is>
      </x:c>
      <x:c r="D16" s="10" t="inlineStr">
        <x:is>
          <x:t xml:space="preserve">N</x:t>
        </x:is>
      </x:c>
      <x:c r="E16" s="10" t="inlineStr">
        <x:is>
          <x:t xml:space="preserve">Optional mineral field</x:t>
        </x:is>
      </x:c>
    </x:row>
    <x:row r="17">
      <x:c r="A17" s="10" t="inlineStr">
        <x:is>
          <x:t xml:space="preserve">chloride_mg</x:t>
        </x:is>
      </x:c>
      <x:c r="B17" s="10" t="inlineStr">
        <x:is>
          <x:t xml:space="preserve">number</x:t>
        </x:is>
      </x:c>
      <x:c r="C17" s="10" t="inlineStr">
        <x:is>
          <x:t xml:space="preserve">N</x:t>
        </x:is>
      </x:c>
      <x:c r="D17" s="10" t="inlineStr">
        <x:is>
          <x:t xml:space="preserve">N</x:t>
        </x:is>
      </x:c>
      <x:c r="E17" s="10" t="inlineStr">
        <x:is>
          <x:t xml:space="preserve">Optional mineral field</x:t>
        </x:is>
      </x:c>
    </x:row>
    <x:row r="18">
      <x:c r="A18" s="10" t="inlineStr">
        <x:is>
          <x:t xml:space="preserve">caffeine_mg</x:t>
        </x:is>
      </x:c>
      <x:c r="B18" s="10" t="inlineStr">
        <x:is>
          <x:t xml:space="preserve">number</x:t>
        </x:is>
      </x:c>
      <x:c r="C18" s="10" t="inlineStr">
        <x:is>
          <x:t xml:space="preserve">N</x:t>
        </x:is>
      </x:c>
      <x:c r="D18" s="10" t="inlineStr">
        <x:is>
          <x:t xml:space="preserve">N</x:t>
        </x:is>
      </x:c>
      <x:c r="E18" s="10" t="inlineStr">
        <x:is>
          <x:t xml:space="preserve">Optional stimulant field</x:t>
        </x:is>
      </x:c>
    </x:row>
    <x:row r="19">
      <x:c r="A19" s="10" t="inlineStr">
        <x:is>
          <x:t xml:space="preserve">sweetener_type</x:t>
        </x:is>
      </x:c>
      <x:c r="B19" s="10" t="inlineStr">
        <x:is>
          <x:t xml:space="preserve">string</x:t>
        </x:is>
      </x:c>
      <x:c r="C19" s="10" t="inlineStr">
        <x:is>
          <x:t xml:space="preserve">N</x:t>
        </x:is>
      </x:c>
      <x:c r="D19" s="10" t="inlineStr">
        <x:is>
          <x:t xml:space="preserve">N</x:t>
        </x:is>
      </x:c>
      <x:c r="E19" s="10" t="inlineStr">
        <x:is>
          <x:t xml:space="preserve">Helps classify metabolic fit</x:t>
        </x:is>
      </x:c>
    </x:row>
    <x:row r="20">
      <x:c r="A20" s="10" t="inlineStr">
        <x:is>
          <x:t xml:space="preserve">artificial_sweetener</x:t>
        </x:is>
      </x:c>
      <x:c r="B20" s="10" t="inlineStr">
        <x:is>
          <x:t xml:space="preserve">string</x:t>
        </x:is>
      </x:c>
      <x:c r="C20" s="10" t="inlineStr">
        <x:is>
          <x:t xml:space="preserve">N</x:t>
        </x:is>
      </x:c>
      <x:c r="D20" s="10" t="inlineStr">
        <x:is>
          <x:t xml:space="preserve">N</x:t>
        </x:is>
      </x:c>
      <x:c r="E20" s="10" t="inlineStr">
        <x:is>
          <x:t xml:space="preserve">Y/N for quick filtering</x:t>
        </x:is>
      </x:c>
    </x:row>
    <x:row r="21">
      <x:c r="A21" s="10" t="inlineStr">
        <x:is>
          <x:t xml:space="preserve">data_status</x:t>
        </x:is>
      </x:c>
      <x:c r="B21" s="10" t="inlineStr">
        <x:is>
          <x:t xml:space="preserve">string</x:t>
        </x:is>
      </x:c>
      <x:c r="C21" s="10" t="inlineStr">
        <x:is>
          <x:t xml:space="preserve">Y</x:t>
        </x:is>
      </x:c>
      <x:c r="D21" s="10" t="inlineStr">
        <x:is>
          <x:t xml:space="preserve">N</x:t>
        </x:is>
      </x:c>
      <x:c r="E21" s="10" t="inlineStr">
        <x:is>
          <x:t xml:space="preserve">verified_exact, verified_family_level, or partial</x:t>
        </x:is>
      </x:c>
    </x:row>
    <x:row r="22">
      <x:c r="A22" s="10" t="inlineStr">
        <x:is>
          <x:t xml:space="preserve">tg_primary_use</x:t>
        </x:is>
      </x:c>
      <x:c r="B22" s="10" t="inlineStr">
        <x:is>
          <x:t xml:space="preserve">string</x:t>
        </x:is>
      </x:c>
      <x:c r="C22" s="10" t="inlineStr">
        <x:is>
          <x:t xml:space="preserve">Y</x:t>
        </x:is>
      </x:c>
      <x:c r="D22" s="10" t="inlineStr">
        <x:is>
          <x:t xml:space="preserve">Y</x:t>
        </x:is>
      </x:c>
      <x:c r="E22" s="10" t="inlineStr">
        <x:is>
          <x:t xml:space="preserve">Short TrailGenic use-case label</x:t>
        </x:is>
      </x:c>
    </x:row>
    <x:row r="23">
      <x:c r="A23" s="10" t="inlineStr">
        <x:is>
          <x:t xml:space="preserve">tg_fit_summary</x:t>
        </x:is>
      </x:c>
      <x:c r="B23" s="10" t="inlineStr">
        <x:is>
          <x:t xml:space="preserve">string</x:t>
        </x:is>
      </x:c>
      <x:c r="C23" s="10" t="inlineStr">
        <x:is>
          <x:t xml:space="preserve">Y</x:t>
        </x:is>
      </x:c>
      <x:c r="D23" s="10" t="inlineStr">
        <x:is>
          <x:t xml:space="preserve">N</x:t>
        </x:is>
      </x:c>
      <x:c r="E23" s="10" t="inlineStr">
        <x:is>
          <x:t xml:space="preserve">One-line interpretation used by editors and MCP</x:t>
        </x:is>
      </x:c>
    </x:row>
    <x:row r="24">
      <x:c r="A24" s="10" t="inlineStr">
        <x:is>
          <x:t xml:space="preserve">source_url</x:t>
        </x:is>
      </x:c>
      <x:c r="B24" s="10" t="inlineStr">
        <x:is>
          <x:t xml:space="preserve">string</x:t>
        </x:is>
      </x:c>
      <x:c r="C24" s="10" t="inlineStr">
        <x:is>
          <x:t xml:space="preserve">Y</x:t>
        </x:is>
      </x:c>
      <x:c r="D24" s="10" t="inlineStr">
        <x:is>
          <x:t xml:space="preserve">N</x:t>
        </x:is>
      </x:c>
      <x:c r="E24" s="10" t="inlineStr">
        <x:is>
          <x:t xml:space="preserve">Official source link</x:t>
        </x:is>
      </x:c>
    </x:row>
    <x:row r="25">
      <x:c r="A25" s="10" t="inlineStr">
        <x:is>
          <x:t xml:space="preserve">notes</x:t>
        </x:is>
      </x:c>
      <x:c r="B25" s="10" t="inlineStr">
        <x:is>
          <x:t xml:space="preserve">string</x:t>
        </x:is>
      </x:c>
      <x:c r="C25" s="10" t="inlineStr">
        <x:is>
          <x:t xml:space="preserve">N</x:t>
        </x:is>
      </x:c>
      <x:c r="D25" s="10" t="inlineStr">
        <x:is>
          <x:t xml:space="preserve">N</x:t>
        </x:is>
      </x:c>
      <x:c r="E25" s="10" t="inlineStr">
        <x:is>
          <x:t xml:space="preserve">Editorial caveats / normalization notes</x:t>
        </x:is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110" customWidth="1"/>
    <x:col min="3" max="3" width="5" customWidth="1"/>
    <x:col min="4" max="4" width="5" customWidth="1"/>
    <x:col min="5" max="5" width="5" customWidth="1"/>
    <x:col min="6" max="6" width="5" customWidth="1"/>
  </x:cols>
  <x:sheetData>
    <x:row r="1">
      <x:c r="A1" s="20" t="inlineStr">
        <x:is>
          <x:t xml:space="preserve">TrailGenic Longevity Electrolyte Playbook — Publishing Brief</x:t>
        </x:is>
      </x:c>
    </x:row>
    <x:row r="3">
      <x:c r="A3" s="21" t="inlineStr">
        <x:is>
          <x:t xml:space="preserve">Page goal</x:t>
        </x:is>
      </x:c>
      <x:c r="B3" s="22" t="inlineStr">
        <x:is>
          <x:t xml:space="preserve">Publish the public-facing electrolyte library and practical selection guidance using the 24-row public subset.</x:t>
        </x:is>
      </x:c>
    </x:row>
    <x:row r="4">
      <x:c r="A4" s="23" t="inlineStr">
        <x:is>
          <x:t xml:space="preserve">Primary page title</x:t>
        </x:is>
      </x:c>
      <x:c r="B4" s="24" t="inlineStr">
        <x:is>
          <x:t xml:space="preserve">TrailGenic Longevity Electrolyte Playbook</x:t>
        </x:is>
      </x:c>
    </x:row>
    <x:row r="5">
      <x:c r="A5" s="21" t="inlineStr">
        <x:is>
          <x:t xml:space="preserve">Suggested subtitle</x:t>
        </x:is>
      </x:c>
      <x:c r="B5" s="22" t="inlineStr">
        <x:is>
          <x:t xml:space="preserve">A practical guide to sodium, potassium, magnesium, and the best electrolyte formats for daily hydration, heat, endurance, and recovery.</x:t>
        </x:is>
      </x:c>
    </x:row>
    <x:row r="6">
      <x:c r="A6" s="23" t="inlineStr">
        <x:is>
          <x:t xml:space="preserve">Intro copy</x:t>
        </x:is>
      </x:c>
      <x:c r="B6" s="24" t="inlineStr">
        <x:is>
          <x:t xml:space="preserve">The TrailGenic Longevity Electrolyte Playbook translates the science of hydration into practical product choices. This page uses the TG Hydration Dataset to show when high-sodium mixes, lower-sugar daily hydration products, ORS-style formulas, carb-inclusive endurance drinks, and portable tablets or chews make the most sense.</x:t>
        </x:is>
      </x:c>
    </x:row>
    <x:row r="7">
      <x:c r="A7" s="21" t="inlineStr">
        <x:is>
          <x:t xml:space="preserve">Core sections</x:t>
        </x:is>
      </x:c>
      <x:c r="B7" s="22" t="inlineStr">
        <x:is>
          <x:t xml:space="preserve">1. What electrolytes do; 2. How to choose by use-case; 3. Sample of 24 products from the TG Hydration Dataset; 4. Protocol fit notes; 5. FAQs; 6. Cross-links.</x:t>
        </x:is>
      </x:c>
    </x:row>
    <x:row r="8">
      <x:c r="A8" s="23" t="inlineStr">
        <x:is>
          <x:t xml:space="preserve">Suggested section: How to choose</x:t>
        </x:is>
      </x:c>
      <x:c r="B8" s="24" t="inlineStr">
        <x:is>
          <x:t xml:space="preserve">Daily hydration; Fasted / low-carb / ketogenic support; Endurance sessions with fuel; Heat / heavy sweat / travel; Recovery / rehydration; Portable race-day options.</x:t>
        </x:is>
      </x:c>
    </x:row>
    <x:row r="9">
      <x:c r="A9" s="21" t="inlineStr">
        <x:is>
          <x:t xml:space="preserve">TG protocol framing</x:t>
        </x:is>
      </x:c>
      <x:c r="B9" s="22" t="inlineStr">
        <x:is>
          <x:t xml:space="preserve">Protocol 1 = daily baseline hydration; Protocol 2 = training-day hydration; Protocol 3 = longer endurance use; Protocol 4 = low-sugar / metabolic control; Protocol 5 = most versatile / race and heat capable.</x:t>
        </x:is>
      </x:c>
    </x:row>
    <x:row r="10">
      <x:c r="A10" s="23" t="inlineStr">
        <x:is>
          <x:t xml:space="preserve">Interlinking plan</x:t>
        </x:is>
      </x:c>
      <x:c r="B10" s="24" t="inlineStr">
        <x:is>
          <x:t xml:space="preserve">Link from the Playbook to the existing Science of Electrolytes page near the intro and FAQ. Add a reciprocal module on the science page: 'Prefer the practical version? Visit the TrailGenic Longevity Electrolyte Playbook.'</x:t>
        </x:is>
      </x:c>
    </x:row>
    <x:row r="11">
      <x:c r="A11" s="21" t="inlineStr">
        <x:is>
          <x:t xml:space="preserve">Public table block</x:t>
        </x:is>
      </x:c>
      <x:c r="B11" s="22" t="inlineStr">
        <x:is>
          <x:t xml:space="preserve">Use the Public_24 tab as the table source. Keep table columns concise: Product, Brand, TG Category, TG Protocols, Sodium, Potassium, Magnesium, Calories, Carbs, Primary Use.</x:t>
        </x:is>
      </x:c>
    </x:row>
    <x:row r="12">
      <x:c r="A12" s="23" t="inlineStr">
        <x:is>
          <x:t xml:space="preserve">Editorial note</x:t>
        </x:is>
      </x:c>
      <x:c r="B12" s="24" t="inlineStr">
        <x:is>
          <x:t xml:space="preserve">Because the electrolyte market is narrower than foods, keep the public sample curated at 24 and let MCP hold the broader 50-row working dataset.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customWidth="1"/>
    <x:col min="2" max="2" width="24" customWidth="1"/>
    <x:col min="3" max="3" width="24" customWidth="1"/>
    <x:col min="4" max="4" width="24" customWidth="1"/>
    <x:col min="5" max="5" width="24" customWidth="1"/>
    <x:col min="6" max="6" width="24" customWidth="1"/>
  </x:cols>
  <x:sheetData>
    <x:row r="1">
      <x:c r="A1" s="20" t="inlineStr">
        <x:is>
          <x:t xml:space="preserve">Codex Handoff — Schema + MCP ingestion</x:t>
        </x:is>
      </x:c>
    </x:row>
    <x:row r="3">
      <x:c r="A3" s="25" t="inlineStr">
        <x:is>
          <x:t xml:space="preserve">Use the workbook 'TG_Electrolyte_Dataset_Workbook.xlsx' as the source of truth.
Tasks:
1) Read the sheet 'Electrolyte_Dataset_50' and normalize every row into a JSON object using the minimal schema from the 'Schema_Minimal' sheet.
2) Read the sheet 'Public_24' and use it as the public-facing sample for the website page titled 'TrailGenic Longevity Electrolyte Playbook'.
3) Generate simple JSON-LD for the page using only WebPage + Dataset. Do NOT use ProductCollection or Product for the list page.
4) Preserve source_url, data_status, and notes in the MCP payload so editors can trace every row back to an official source.
5) Keep product rows exactly as named in the workbook unless a direct source label requires a correction.
6) Publish the public table on the Playbook page and cross-link it with the existing 'Science of Electrolytes' page in both directions.
7) Add the 50-row dataset to the TG MCP dataset store as version 'electrolytes_v1'.
8) Respect blanks/nulls. Do not invent missing nutrient values. If a field is blank in Excel, publish it as null in MCP.
9) Use public_24_flag='Y' to determine which rows appear on the site.
10) Keep tg_protocols as the editorial TrailGenic classification string from Excel.
Suggested page metadata:
- title: TrailGenic Longevity Electrolyte Playbook
- description: A practical guide to sodium, potassium, magnesium, and 24 curated electrolyte products from the TG Hydration Dataset.
- canonical slug suggestion: /trailgenic-longevity-electrolyte-playbook
Suggested JSON-LD shape:
{
  "@context": "https://schema.org",
  "@type": "WebPage",
  "name": "TrailGenic Longevity Electrolyte Playbook",
  "about": {
    "@type": "Dataset",
    "name": "TG Hydration Dataset — Electrolytes v1",
    "description": "A 50-row TrailGenic electrolyte dataset with a 24-row public sample.",
    "keywords": ["electrolytes","hydration","sodium","potassium","magnesium","endurance","recovery"]
  }
}
MCP object rules:
- numeric cells -&gt; numbers
- blank nutrient cells -&gt; null
- Y/N fields -&gt; booleans where appropriate
- source_url -&gt; keep as string
- data_status -&gt; keep as one of: verified_exact, verified_family_level, partial
- do not collapse distinct product families into one row
- do not dedupe away product lines like PH 500 / PH 1000 / PH 1500
</x:t>
        </x:is>
      </x:c>
    </x:row>
    <x:row r="4"/>
    <x:row r="5"/>
    <x:row r="6"/>
    <x:row r="7"/>
    <x:row r="8"/>
    <x:row r="9"/>
    <x:row r="10"/>
    <x:row r="11"/>
    <x:row r="12"/>
    <x:row r="13"/>
    <x:row r="14"/>
    <x:row r="15"/>
    <x:row r="16"/>
    <x:row r="17"/>
    <x:row r="18"/>
    <x:row r="19"/>
    <x:row r="20"/>
    <x:row r="21"/>
    <x:row r="22"/>
    <x:row r="23"/>
    <x:row r="24"/>
    <x:row r="25"/>
    <x:row r="26"/>
    <x:row r="27"/>
    <x:row r="28"/>
  </x:sheetData>
  <x:mergeCells>
    <x:mergeCell ref="A3:F28"/>
    <x:mergeCell ref="A1:F1"/>
  </x:mergeCells>
  <x:pageMargins left="0.7" right="0.7" top="0.75" bottom="0.75" header="0.3" footer="0.3"/>
</x:worksheet>
</file>
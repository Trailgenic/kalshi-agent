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bd8160fc85f4c918/Documents/Cowork/TrailGenic/Data ^0 Nutrition/"/>
    </mc:Choice>
  </mc:AlternateContent>
  <xr:revisionPtr revIDLastSave="7833" documentId="8_{7734130E-97EA-4580-BE99-0AC80CA5324D}" xr6:coauthVersionLast="47" xr6:coauthVersionMax="47" xr10:uidLastSave="{3B50F74F-1C22-4D86-80F8-531F5BF42CB6}"/>
  <bookViews>
    <workbookView xWindow="-120" yWindow="-120" windowWidth="29040" windowHeight="15720" tabRatio="805" activeTab="1" xr2:uid="{64C11F47-2D03-478C-A170-52C4031629B3}"/>
  </bookViews>
  <sheets>
    <sheet name="Legend" sheetId="1" r:id="rId1"/>
    <sheet name="Hikes - High" sheetId="2" r:id="rId2"/>
    <sheet name="Sheet4" sheetId="16" r:id="rId3"/>
    <sheet name="HikeWorldModel" sheetId="5" r:id="rId4"/>
    <sheet name="Findings" sheetId="9" r:id="rId5"/>
    <sheet name="Sleep" sheetId="17" r:id="rId6"/>
    <sheet name="Trails Data" sheetId="7" r:id="rId7"/>
    <sheet name="Valid" sheetId="8" r:id="rId8"/>
    <sheet name="Foundation" sheetId="6" r:id="rId9"/>
    <sheet name="Run" sheetId="11" r:id="rId10"/>
    <sheet name="Population" sheetId="12" r:id="rId11"/>
    <sheet name="Pop Comparison"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7" i="2" l="1"/>
  <c r="X15" i="2"/>
  <c r="L23" i="6"/>
  <c r="L20" i="6"/>
  <c r="E56" i="11" l="1"/>
  <c r="E26" i="11"/>
  <c r="E22" i="11"/>
  <c r="K20" i="6"/>
  <c r="K13" i="6"/>
  <c r="K89" i="17" l="1"/>
  <c r="J89" i="17"/>
  <c r="I89" i="17"/>
  <c r="K88" i="17"/>
  <c r="J88" i="17"/>
  <c r="I88" i="17"/>
  <c r="K85" i="17"/>
  <c r="J85" i="17"/>
  <c r="I85" i="17"/>
  <c r="K82" i="17"/>
  <c r="J82" i="17"/>
  <c r="I82" i="17"/>
  <c r="E79" i="17"/>
  <c r="E78" i="17"/>
  <c r="E77" i="17"/>
  <c r="E76" i="17"/>
  <c r="E75" i="17"/>
  <c r="E74" i="17"/>
  <c r="E73" i="17"/>
  <c r="E72" i="17"/>
  <c r="D66" i="17"/>
  <c r="C66" i="17"/>
  <c r="D65" i="17"/>
  <c r="C65" i="17"/>
  <c r="D64" i="17"/>
  <c r="C64" i="17"/>
  <c r="D63" i="17"/>
  <c r="C63" i="17"/>
  <c r="D62" i="17"/>
  <c r="C62" i="17"/>
  <c r="B62" i="17"/>
  <c r="D61" i="17"/>
  <c r="C61" i="17"/>
  <c r="D60" i="17"/>
  <c r="C60" i="17"/>
  <c r="B60" i="17"/>
  <c r="D59" i="17"/>
  <c r="C59" i="17"/>
  <c r="E55" i="17"/>
  <c r="D55" i="17"/>
  <c r="C55" i="17"/>
  <c r="B55" i="17"/>
  <c r="E54" i="17"/>
  <c r="D54" i="17"/>
  <c r="C54" i="17"/>
  <c r="B54" i="17"/>
  <c r="E53" i="17"/>
  <c r="D53" i="17"/>
  <c r="C53" i="17"/>
  <c r="B53" i="17"/>
  <c r="E52" i="17"/>
  <c r="D52" i="17"/>
  <c r="C52" i="17"/>
  <c r="B52" i="17"/>
  <c r="E51" i="17"/>
  <c r="D51" i="17"/>
  <c r="C51" i="17"/>
  <c r="B51" i="17"/>
  <c r="E50" i="17"/>
  <c r="D50" i="17"/>
  <c r="C50" i="17"/>
  <c r="B50" i="17"/>
  <c r="F44" i="17"/>
  <c r="E44" i="17"/>
  <c r="D44" i="17"/>
  <c r="C44" i="17"/>
  <c r="B44" i="17"/>
  <c r="F43" i="17"/>
  <c r="E43" i="17"/>
  <c r="D43" i="17"/>
  <c r="C43" i="17"/>
  <c r="B43" i="17"/>
  <c r="F42" i="17"/>
  <c r="E42" i="17"/>
  <c r="D42" i="17"/>
  <c r="C42" i="17"/>
  <c r="B42" i="17"/>
  <c r="G38" i="17"/>
  <c r="F38" i="17"/>
  <c r="D38" i="17"/>
  <c r="C38" i="17"/>
  <c r="B38" i="17"/>
  <c r="G37" i="17"/>
  <c r="F37" i="17"/>
  <c r="D37" i="17"/>
  <c r="C37" i="17"/>
  <c r="B37" i="17"/>
  <c r="G36" i="17"/>
  <c r="F36" i="17"/>
  <c r="E36" i="17"/>
  <c r="D36" i="17"/>
  <c r="C36" i="17"/>
  <c r="B36" i="17"/>
  <c r="G35" i="17"/>
  <c r="F35" i="17"/>
  <c r="E35" i="17"/>
  <c r="D35" i="17"/>
  <c r="C35" i="17"/>
  <c r="B35" i="17"/>
  <c r="G34" i="17"/>
  <c r="F34" i="17"/>
  <c r="E34" i="17"/>
  <c r="D34" i="17"/>
  <c r="C34" i="17"/>
  <c r="B34" i="17"/>
  <c r="G33" i="17"/>
  <c r="F33" i="17"/>
  <c r="E33" i="17"/>
  <c r="D33" i="17"/>
  <c r="C33" i="17"/>
  <c r="B33" i="17"/>
  <c r="G32" i="17"/>
  <c r="F32" i="17"/>
  <c r="E32" i="17"/>
  <c r="D32" i="17"/>
  <c r="C32" i="17"/>
  <c r="B32" i="17"/>
  <c r="G31" i="17"/>
  <c r="F31" i="17"/>
  <c r="E31" i="17"/>
  <c r="D31" i="17"/>
  <c r="C31" i="17"/>
  <c r="B31" i="17"/>
  <c r="G30" i="17"/>
  <c r="E30" i="17"/>
  <c r="D30" i="17"/>
  <c r="C30" i="17"/>
  <c r="B30" i="17"/>
  <c r="AN22" i="17" a="1"/>
  <c r="AN22" i="17" s="1"/>
  <c r="AM22" i="17" a="1"/>
  <c r="AM22" i="17" s="1"/>
  <c r="AL22" i="17" a="1"/>
  <c r="AL22" i="17"/>
  <c r="AK22" i="17" a="1"/>
  <c r="AK22" i="17" s="1"/>
  <c r="AJ22" i="17" a="1"/>
  <c r="AJ22" i="17" s="1"/>
  <c r="AI22" i="17" a="1"/>
  <c r="AI22" i="17" s="1"/>
  <c r="AH22" i="17" a="1"/>
  <c r="AH22" i="17" s="1"/>
  <c r="AG22" i="17" a="1"/>
  <c r="AG22" i="17" s="1"/>
  <c r="AF22" i="17" a="1"/>
  <c r="AF22" i="17" s="1"/>
  <c r="AE22" i="17" a="1"/>
  <c r="AE22" i="17" s="1"/>
  <c r="AD22" i="17" a="1"/>
  <c r="AD22" i="17" s="1"/>
  <c r="AC24" i="17" a="1"/>
  <c r="AC24" i="17" s="1"/>
  <c r="AC23" i="17" a="1"/>
  <c r="AC23" i="17" s="1"/>
  <c r="AC22" i="17" a="1"/>
  <c r="AC22" i="17" s="1"/>
  <c r="AB24" i="17" a="1"/>
  <c r="AB24" i="17" s="1"/>
  <c r="AB23" i="17" a="1"/>
  <c r="AB23" i="17" s="1"/>
  <c r="AB22" i="17" a="1"/>
  <c r="AB22" i="17"/>
  <c r="AA24" i="17" a="1"/>
  <c r="AA24" i="17" s="1"/>
  <c r="AA23" i="17" a="1"/>
  <c r="AA23" i="17" s="1"/>
  <c r="AA22" i="17" a="1"/>
  <c r="AA22" i="17" s="1"/>
  <c r="Z24" i="17" a="1"/>
  <c r="Z24" i="17" s="1"/>
  <c r="Z23" i="17" a="1"/>
  <c r="Z23" i="17" s="1"/>
  <c r="Z22" i="17" a="1"/>
  <c r="Z22" i="17" s="1"/>
  <c r="Y24" i="17" a="1"/>
  <c r="Y24" i="17"/>
  <c r="Y23" i="17" a="1"/>
  <c r="Y23" i="17" s="1"/>
  <c r="Y22" i="17" a="1"/>
  <c r="Y22" i="17" s="1"/>
  <c r="X24" i="17" a="1"/>
  <c r="X24" i="17" s="1"/>
  <c r="X23" i="17" a="1"/>
  <c r="X23" i="17" s="1"/>
  <c r="X22" i="17" a="1"/>
  <c r="X22" i="17"/>
  <c r="W24" i="17" a="1"/>
  <c r="W24" i="17" s="1"/>
  <c r="W23" i="17" a="1"/>
  <c r="W23" i="17" s="1"/>
  <c r="W22" i="17" a="1"/>
  <c r="W22" i="17"/>
  <c r="V24" i="17" a="1"/>
  <c r="V24" i="17" s="1"/>
  <c r="V23" i="17" a="1"/>
  <c r="V23" i="17" s="1"/>
  <c r="V22" i="17" a="1"/>
  <c r="V22" i="17" s="1"/>
  <c r="U24" i="17" a="1"/>
  <c r="U24" i="17" s="1"/>
  <c r="U23" i="17" a="1"/>
  <c r="U23" i="17" s="1"/>
  <c r="U22" i="17" a="1"/>
  <c r="U22" i="17" s="1"/>
  <c r="T24" i="17" a="1"/>
  <c r="T24" i="17" s="1"/>
  <c r="T23" i="17" a="1"/>
  <c r="T23" i="17" s="1"/>
  <c r="T22" i="17" a="1"/>
  <c r="T22" i="17" s="1"/>
  <c r="S24" i="17" a="1"/>
  <c r="S24" i="17" s="1"/>
  <c r="S23" i="17" a="1"/>
  <c r="S23" i="17" s="1"/>
  <c r="S22" i="17" a="1"/>
  <c r="S22" i="17" s="1"/>
  <c r="R24" i="17" a="1"/>
  <c r="R24" i="17" s="1"/>
  <c r="R23" i="17" a="1"/>
  <c r="R23" i="17" s="1"/>
  <c r="R22" i="17" a="1"/>
  <c r="R22" i="17" s="1"/>
  <c r="Q24" i="17" a="1"/>
  <c r="Q24" i="17"/>
  <c r="Q23" i="17" a="1"/>
  <c r="Q23" i="17"/>
  <c r="Q22" i="17" a="1"/>
  <c r="Q22" i="17" s="1"/>
  <c r="P24" i="17" a="1"/>
  <c r="P24" i="17" s="1"/>
  <c r="P23" i="17" a="1"/>
  <c r="P23" i="17" s="1"/>
  <c r="P22" i="17" a="1"/>
  <c r="P22" i="17" s="1"/>
  <c r="O24" i="17" a="1"/>
  <c r="O24" i="17" s="1"/>
  <c r="O23" i="17" a="1"/>
  <c r="O23" i="17" s="1"/>
  <c r="O22" i="17" a="1"/>
  <c r="O22" i="17" s="1"/>
  <c r="N24" i="17" a="1"/>
  <c r="N24" i="17" s="1"/>
  <c r="N23" i="17" a="1"/>
  <c r="N23" i="17" s="1"/>
  <c r="N22" i="17" a="1"/>
  <c r="N22" i="17" s="1"/>
  <c r="M24" i="17"/>
  <c r="M23" i="17"/>
  <c r="M22" i="17"/>
  <c r="L24" i="17"/>
  <c r="L23" i="17"/>
  <c r="L22" i="17"/>
  <c r="K24" i="17"/>
  <c r="K23" i="17"/>
  <c r="K22" i="17"/>
  <c r="J24" i="17"/>
  <c r="J23" i="17"/>
  <c r="J22" i="17"/>
  <c r="I24" i="17"/>
  <c r="I23" i="17"/>
  <c r="I22" i="17"/>
  <c r="H24" i="17"/>
  <c r="H23" i="17"/>
  <c r="H22" i="17"/>
  <c r="G24" i="17"/>
  <c r="G23" i="17"/>
  <c r="G22" i="17"/>
  <c r="F24" i="17"/>
  <c r="F23" i="17"/>
  <c r="F22" i="17"/>
  <c r="E24" i="17"/>
  <c r="E23" i="17"/>
  <c r="E22" i="17"/>
  <c r="D24" i="17"/>
  <c r="D23" i="17"/>
  <c r="D22" i="17"/>
  <c r="AN20" i="17"/>
  <c r="AN19" i="17"/>
  <c r="AN18" i="17"/>
  <c r="AN17" i="17"/>
  <c r="AN16" i="17"/>
  <c r="AN15" i="17"/>
  <c r="AN14" i="17"/>
  <c r="AN13" i="17"/>
  <c r="AN12" i="17"/>
  <c r="AN11" i="17"/>
  <c r="AN10" i="17"/>
  <c r="AN9" i="17"/>
  <c r="AN8" i="17"/>
  <c r="AN7" i="17"/>
  <c r="AN6" i="17"/>
  <c r="AN5" i="17"/>
  <c r="AG20" i="17"/>
  <c r="AF20" i="17"/>
  <c r="AK20" i="17" s="1"/>
  <c r="AE20" i="17"/>
  <c r="AD20" i="17"/>
  <c r="AA20" i="17"/>
  <c r="Z20" i="17"/>
  <c r="AB20" i="17" s="1"/>
  <c r="Y20" i="17"/>
  <c r="AC20" i="17" s="1"/>
  <c r="X20" i="17"/>
  <c r="AI20" i="17" s="1"/>
  <c r="W20" i="17"/>
  <c r="V20" i="17"/>
  <c r="AJ20" i="17" s="1"/>
  <c r="U20" i="17"/>
  <c r="T20" i="17"/>
  <c r="Q20" i="17"/>
  <c r="P20" i="17"/>
  <c r="O20" i="17"/>
  <c r="S20" i="17" s="1"/>
  <c r="N20" i="17"/>
  <c r="AH20" i="17" s="1"/>
  <c r="M20" i="17"/>
  <c r="L20" i="17"/>
  <c r="K20" i="17"/>
  <c r="AM20" i="17" s="1"/>
  <c r="J20" i="17"/>
  <c r="G20" i="17"/>
  <c r="F20" i="17"/>
  <c r="E20" i="17"/>
  <c r="I20" i="17" s="1"/>
  <c r="D20" i="17"/>
  <c r="C20" i="17"/>
  <c r="B20" i="17"/>
  <c r="A20" i="17"/>
  <c r="AL19" i="17"/>
  <c r="AG19" i="17"/>
  <c r="AF19" i="17"/>
  <c r="AE19" i="17"/>
  <c r="AM19" i="17" s="1"/>
  <c r="AD19" i="17"/>
  <c r="AA19" i="17"/>
  <c r="Z19" i="17"/>
  <c r="AB19" i="17" s="1"/>
  <c r="Y19" i="17"/>
  <c r="AC19" i="17" s="1"/>
  <c r="X19" i="17"/>
  <c r="AI19" i="17" s="1"/>
  <c r="W19" i="17"/>
  <c r="V19" i="17"/>
  <c r="AJ19" i="17" s="1"/>
  <c r="U19" i="17"/>
  <c r="T19" i="17"/>
  <c r="S19" i="17"/>
  <c r="R19" i="17"/>
  <c r="Q19" i="17"/>
  <c r="P19" i="17"/>
  <c r="O19" i="17"/>
  <c r="N19" i="17"/>
  <c r="AH19" i="17" s="1"/>
  <c r="M19" i="17"/>
  <c r="L19" i="17"/>
  <c r="K19" i="17"/>
  <c r="J19" i="17"/>
  <c r="G19" i="17"/>
  <c r="I19" i="17" s="1"/>
  <c r="F19" i="17"/>
  <c r="H19" i="17" s="1"/>
  <c r="E19" i="17"/>
  <c r="D19" i="17"/>
  <c r="C19" i="17"/>
  <c r="B19" i="17"/>
  <c r="A19" i="17"/>
  <c r="AI18" i="17"/>
  <c r="AH18" i="17"/>
  <c r="AG18" i="17"/>
  <c r="AF18" i="17"/>
  <c r="AE18" i="17"/>
  <c r="AM18" i="17" s="1"/>
  <c r="AD18" i="17"/>
  <c r="AA18" i="17"/>
  <c r="Z18" i="17"/>
  <c r="Y18" i="17"/>
  <c r="AC18" i="17" s="1"/>
  <c r="X18" i="17"/>
  <c r="W18" i="17"/>
  <c r="V18" i="17"/>
  <c r="AJ18" i="17" s="1"/>
  <c r="U18" i="17"/>
  <c r="T18" i="17"/>
  <c r="S18" i="17"/>
  <c r="R18" i="17"/>
  <c r="Q18" i="17"/>
  <c r="P18" i="17"/>
  <c r="O18" i="17"/>
  <c r="N18" i="17"/>
  <c r="M18" i="17"/>
  <c r="L18" i="17"/>
  <c r="AK18" i="17" s="1"/>
  <c r="K18" i="17"/>
  <c r="AL18" i="17" s="1"/>
  <c r="J18" i="17"/>
  <c r="G18" i="17"/>
  <c r="F18" i="17"/>
  <c r="H18" i="17" s="1"/>
  <c r="E18" i="17"/>
  <c r="I18" i="17" s="1"/>
  <c r="D18" i="17"/>
  <c r="C18" i="17"/>
  <c r="B18" i="17"/>
  <c r="A18" i="17"/>
  <c r="AM17" i="17"/>
  <c r="AL17" i="17"/>
  <c r="AG17" i="17"/>
  <c r="AF17" i="17"/>
  <c r="AK17" i="17" s="1"/>
  <c r="AE17" i="17"/>
  <c r="AD17" i="17"/>
  <c r="AA17" i="17"/>
  <c r="AC17" i="17" s="1"/>
  <c r="Z17" i="17"/>
  <c r="AB17" i="17" s="1"/>
  <c r="Y17" i="17"/>
  <c r="X17" i="17"/>
  <c r="AI17" i="17" s="1"/>
  <c r="W17" i="17"/>
  <c r="V17" i="17"/>
  <c r="U17" i="17"/>
  <c r="T17" i="17"/>
  <c r="Q17" i="17"/>
  <c r="P17" i="17"/>
  <c r="O17" i="17"/>
  <c r="S17" i="17" s="1"/>
  <c r="N17" i="17"/>
  <c r="AH17" i="17" s="1"/>
  <c r="M17" i="17"/>
  <c r="L17" i="17"/>
  <c r="AJ17" i="17" s="1"/>
  <c r="K17" i="17"/>
  <c r="J17" i="17"/>
  <c r="G17" i="17"/>
  <c r="F17" i="17"/>
  <c r="E17" i="17"/>
  <c r="I17" i="17" s="1"/>
  <c r="D17" i="17"/>
  <c r="C17" i="17"/>
  <c r="B17" i="17"/>
  <c r="A17" i="17"/>
  <c r="AL16" i="17"/>
  <c r="AG16" i="17"/>
  <c r="AF16" i="17"/>
  <c r="AE16" i="17"/>
  <c r="AM16" i="17" s="1"/>
  <c r="AD16" i="17"/>
  <c r="AB16" i="17"/>
  <c r="AA16" i="17"/>
  <c r="Z16" i="17"/>
  <c r="Y16" i="17"/>
  <c r="AC16" i="17" s="1"/>
  <c r="X16" i="17"/>
  <c r="AI16" i="17" s="1"/>
  <c r="W16" i="17"/>
  <c r="V16" i="17"/>
  <c r="U16" i="17"/>
  <c r="T16" i="17"/>
  <c r="S16" i="17"/>
  <c r="R16" i="17"/>
  <c r="Q16" i="17"/>
  <c r="P16" i="17"/>
  <c r="O16" i="17"/>
  <c r="N16" i="17"/>
  <c r="AH16" i="17" s="1"/>
  <c r="M16" i="17"/>
  <c r="L16" i="17"/>
  <c r="AJ16" i="17" s="1"/>
  <c r="K16" i="17"/>
  <c r="J16" i="17"/>
  <c r="G16" i="17"/>
  <c r="I16" i="17" s="1"/>
  <c r="F16" i="17"/>
  <c r="H16" i="17" s="1"/>
  <c r="E16" i="17"/>
  <c r="D16" i="17"/>
  <c r="C16" i="17"/>
  <c r="B16" i="17"/>
  <c r="A16" i="17"/>
  <c r="AH15" i="17"/>
  <c r="AG15" i="17"/>
  <c r="AF15" i="17"/>
  <c r="AK15" i="17" s="1"/>
  <c r="AE15" i="17"/>
  <c r="AM15" i="17" s="1"/>
  <c r="AD15" i="17"/>
  <c r="AA15" i="17"/>
  <c r="Z15" i="17"/>
  <c r="Y15" i="17"/>
  <c r="AC15" i="17" s="1"/>
  <c r="X15" i="17"/>
  <c r="AI15" i="17" s="1"/>
  <c r="W15" i="17"/>
  <c r="V15" i="17"/>
  <c r="U15" i="17"/>
  <c r="T15" i="17"/>
  <c r="S15" i="17"/>
  <c r="R15" i="17"/>
  <c r="Q15" i="17"/>
  <c r="P15" i="17"/>
  <c r="O15" i="17"/>
  <c r="N15" i="17"/>
  <c r="M15" i="17"/>
  <c r="L15" i="17"/>
  <c r="AJ15" i="17" s="1"/>
  <c r="K15" i="17"/>
  <c r="AL15" i="17" s="1"/>
  <c r="J15" i="17"/>
  <c r="H15" i="17"/>
  <c r="G15" i="17"/>
  <c r="F15" i="17"/>
  <c r="E15" i="17"/>
  <c r="I15" i="17" s="1"/>
  <c r="D15" i="17"/>
  <c r="C15" i="17"/>
  <c r="B15" i="17"/>
  <c r="A15" i="17"/>
  <c r="AM14" i="17"/>
  <c r="AL14" i="17"/>
  <c r="AG14" i="17"/>
  <c r="AF14" i="17"/>
  <c r="AK14" i="17" s="1"/>
  <c r="AE14" i="17"/>
  <c r="AD14" i="17"/>
  <c r="AB14" i="17"/>
  <c r="AA14" i="17"/>
  <c r="AC14" i="17" s="1"/>
  <c r="Z14" i="17"/>
  <c r="Y14" i="17"/>
  <c r="X14" i="17"/>
  <c r="AI14" i="17" s="1"/>
  <c r="W14" i="17"/>
  <c r="V14" i="17"/>
  <c r="U14" i="17"/>
  <c r="T14" i="17"/>
  <c r="Q14" i="17"/>
  <c r="P14" i="17"/>
  <c r="O14" i="17"/>
  <c r="S14" i="17" s="1"/>
  <c r="N14" i="17"/>
  <c r="AH14" i="17" s="1"/>
  <c r="M14" i="17"/>
  <c r="L14" i="17"/>
  <c r="AJ14" i="17" s="1"/>
  <c r="K14" i="17"/>
  <c r="J14" i="17"/>
  <c r="G14" i="17"/>
  <c r="F14" i="17"/>
  <c r="E14" i="17"/>
  <c r="I14" i="17" s="1"/>
  <c r="D14" i="17"/>
  <c r="C14" i="17"/>
  <c r="B14" i="17"/>
  <c r="A14" i="17"/>
  <c r="AL13" i="17"/>
  <c r="AG13" i="17"/>
  <c r="AF13" i="17"/>
  <c r="AE13" i="17"/>
  <c r="AM13" i="17" s="1"/>
  <c r="AD13" i="17"/>
  <c r="AB13" i="17"/>
  <c r="AA13" i="17"/>
  <c r="Z13" i="17"/>
  <c r="Y13" i="17"/>
  <c r="AC13" i="17" s="1"/>
  <c r="X13" i="17"/>
  <c r="AI13" i="17" s="1"/>
  <c r="W13" i="17"/>
  <c r="V13" i="17"/>
  <c r="U13" i="17"/>
  <c r="T13" i="17"/>
  <c r="S13" i="17"/>
  <c r="R13" i="17"/>
  <c r="Q13" i="17"/>
  <c r="P13" i="17"/>
  <c r="O13" i="17"/>
  <c r="N13" i="17"/>
  <c r="AH13" i="17" s="1"/>
  <c r="M13" i="17"/>
  <c r="L13" i="17"/>
  <c r="AJ13" i="17" s="1"/>
  <c r="K13" i="17"/>
  <c r="J13" i="17"/>
  <c r="H13" i="17"/>
  <c r="G13" i="17"/>
  <c r="I13" i="17" s="1"/>
  <c r="F13" i="17"/>
  <c r="E13" i="17"/>
  <c r="D13" i="17"/>
  <c r="C13" i="17"/>
  <c r="B13" i="17"/>
  <c r="A13" i="17"/>
  <c r="AH12" i="17"/>
  <c r="AG12" i="17"/>
  <c r="AF12" i="17"/>
  <c r="AE12" i="17"/>
  <c r="AM12" i="17" s="1"/>
  <c r="AD12" i="17"/>
  <c r="AA12" i="17"/>
  <c r="Z12" i="17"/>
  <c r="Y12" i="17"/>
  <c r="AC12" i="17" s="1"/>
  <c r="X12" i="17"/>
  <c r="AI12" i="17" s="1"/>
  <c r="W12" i="17"/>
  <c r="V12" i="17"/>
  <c r="U12" i="17"/>
  <c r="T12" i="17"/>
  <c r="S12" i="17"/>
  <c r="R12" i="17"/>
  <c r="Q12" i="17"/>
  <c r="P12" i="17"/>
  <c r="O12" i="17"/>
  <c r="N12" i="17"/>
  <c r="M12" i="17"/>
  <c r="L12" i="17"/>
  <c r="AJ12" i="17" s="1"/>
  <c r="K12" i="17"/>
  <c r="AL12" i="17" s="1"/>
  <c r="J12" i="17"/>
  <c r="H12" i="17"/>
  <c r="G12" i="17"/>
  <c r="F12" i="17"/>
  <c r="E12" i="17"/>
  <c r="I12" i="17" s="1"/>
  <c r="D12" i="17"/>
  <c r="C12" i="17"/>
  <c r="B12" i="17"/>
  <c r="A12" i="17"/>
  <c r="AM11" i="17"/>
  <c r="AL11" i="17"/>
  <c r="AG11" i="17"/>
  <c r="AF11" i="17"/>
  <c r="AK11" i="17" s="1"/>
  <c r="AE11" i="17"/>
  <c r="AD11" i="17"/>
  <c r="AB11" i="17"/>
  <c r="AA11" i="17"/>
  <c r="AC11" i="17" s="1"/>
  <c r="Z11" i="17"/>
  <c r="Y11" i="17"/>
  <c r="X11" i="17"/>
  <c r="AI11" i="17" s="1"/>
  <c r="W11" i="17"/>
  <c r="V11" i="17"/>
  <c r="U11" i="17"/>
  <c r="T11" i="17"/>
  <c r="Q11" i="17"/>
  <c r="P11" i="17"/>
  <c r="O11" i="17"/>
  <c r="S11" i="17" s="1"/>
  <c r="N11" i="17"/>
  <c r="AH11" i="17" s="1"/>
  <c r="M11" i="17"/>
  <c r="L11" i="17"/>
  <c r="AJ11" i="17" s="1"/>
  <c r="K11" i="17"/>
  <c r="J11" i="17"/>
  <c r="G11" i="17"/>
  <c r="F11" i="17"/>
  <c r="E11" i="17"/>
  <c r="I11" i="17" s="1"/>
  <c r="D11" i="17"/>
  <c r="C11" i="17"/>
  <c r="B11" i="17"/>
  <c r="A11" i="17"/>
  <c r="AL10" i="17"/>
  <c r="AG10" i="17"/>
  <c r="AF10" i="17"/>
  <c r="AE10" i="17"/>
  <c r="AM10" i="17" s="1"/>
  <c r="AD10" i="17"/>
  <c r="AB10" i="17"/>
  <c r="AA10" i="17"/>
  <c r="Z10" i="17"/>
  <c r="Y10" i="17"/>
  <c r="AC10" i="17" s="1"/>
  <c r="X10" i="17"/>
  <c r="AI10" i="17" s="1"/>
  <c r="W10" i="17"/>
  <c r="V10" i="17"/>
  <c r="U10" i="17"/>
  <c r="T10" i="17"/>
  <c r="S10" i="17"/>
  <c r="R10" i="17"/>
  <c r="Q10" i="17"/>
  <c r="P10" i="17"/>
  <c r="O10" i="17"/>
  <c r="N10" i="17"/>
  <c r="AH10" i="17" s="1"/>
  <c r="M10" i="17"/>
  <c r="L10" i="17"/>
  <c r="AJ10" i="17" s="1"/>
  <c r="K10" i="17"/>
  <c r="J10" i="17"/>
  <c r="H10" i="17"/>
  <c r="G10" i="17"/>
  <c r="I10" i="17" s="1"/>
  <c r="F10" i="17"/>
  <c r="E10" i="17"/>
  <c r="D10" i="17"/>
  <c r="C10" i="17"/>
  <c r="B10" i="17"/>
  <c r="A10" i="17"/>
  <c r="AH9" i="17"/>
  <c r="AG9" i="17"/>
  <c r="AF9" i="17"/>
  <c r="AK9" i="17" s="1"/>
  <c r="AE9" i="17"/>
  <c r="AM9" i="17" s="1"/>
  <c r="AD9" i="17"/>
  <c r="AA9" i="17"/>
  <c r="Z9" i="17"/>
  <c r="Y9" i="17"/>
  <c r="AC9" i="17" s="1"/>
  <c r="X9" i="17"/>
  <c r="AI9" i="17" s="1"/>
  <c r="W9" i="17"/>
  <c r="V9" i="17"/>
  <c r="U9" i="17"/>
  <c r="T9" i="17"/>
  <c r="S9" i="17"/>
  <c r="R9" i="17"/>
  <c r="Q9" i="17"/>
  <c r="P9" i="17"/>
  <c r="O9" i="17"/>
  <c r="N9" i="17"/>
  <c r="M9" i="17"/>
  <c r="L9" i="17"/>
  <c r="AJ9" i="17" s="1"/>
  <c r="K9" i="17"/>
  <c r="AL9" i="17" s="1"/>
  <c r="J9" i="17"/>
  <c r="H9" i="17"/>
  <c r="G9" i="17"/>
  <c r="F9" i="17"/>
  <c r="E9" i="17"/>
  <c r="I9" i="17" s="1"/>
  <c r="D9" i="17"/>
  <c r="C9" i="17"/>
  <c r="B9" i="17"/>
  <c r="A9" i="17"/>
  <c r="AM8" i="17"/>
  <c r="AL8" i="17"/>
  <c r="AG8" i="17"/>
  <c r="AF8" i="17"/>
  <c r="AK8" i="17" s="1"/>
  <c r="AE8" i="17"/>
  <c r="AD8" i="17"/>
  <c r="AB8" i="17"/>
  <c r="AA8" i="17"/>
  <c r="AC8" i="17" s="1"/>
  <c r="Z8" i="17"/>
  <c r="Y8" i="17"/>
  <c r="X8" i="17"/>
  <c r="AI8" i="17" s="1"/>
  <c r="W8" i="17"/>
  <c r="V8" i="17"/>
  <c r="U8" i="17"/>
  <c r="T8" i="17"/>
  <c r="Q8" i="17"/>
  <c r="P8" i="17"/>
  <c r="O8" i="17"/>
  <c r="S8" i="17" s="1"/>
  <c r="N8" i="17"/>
  <c r="AH8" i="17" s="1"/>
  <c r="M8" i="17"/>
  <c r="L8" i="17"/>
  <c r="AJ8" i="17" s="1"/>
  <c r="K8" i="17"/>
  <c r="J8" i="17"/>
  <c r="G8" i="17"/>
  <c r="F8" i="17"/>
  <c r="E8" i="17"/>
  <c r="I8" i="17" s="1"/>
  <c r="D8" i="17"/>
  <c r="C8" i="17"/>
  <c r="B8" i="17"/>
  <c r="A8" i="17"/>
  <c r="AJ7" i="17"/>
  <c r="AG7" i="17"/>
  <c r="AF7" i="17"/>
  <c r="AE7" i="17"/>
  <c r="AM7" i="17" s="1"/>
  <c r="AD7" i="17"/>
  <c r="AB7" i="17"/>
  <c r="AA7" i="17"/>
  <c r="Z7" i="17"/>
  <c r="Y7" i="17"/>
  <c r="AC7" i="17" s="1"/>
  <c r="X7" i="17"/>
  <c r="AI7" i="17" s="1"/>
  <c r="W7" i="17"/>
  <c r="V7" i="17"/>
  <c r="U7" i="17"/>
  <c r="AL7" i="17" s="1"/>
  <c r="T7" i="17"/>
  <c r="S7" i="17"/>
  <c r="R7" i="17"/>
  <c r="Q7" i="17"/>
  <c r="P7" i="17"/>
  <c r="O7" i="17"/>
  <c r="N7" i="17"/>
  <c r="AH7" i="17" s="1"/>
  <c r="M7" i="17"/>
  <c r="L7" i="17"/>
  <c r="K7" i="17"/>
  <c r="J7" i="17"/>
  <c r="H7" i="17"/>
  <c r="G7" i="17"/>
  <c r="I7" i="17" s="1"/>
  <c r="F7" i="17"/>
  <c r="E7" i="17"/>
  <c r="D7" i="17"/>
  <c r="C7" i="17"/>
  <c r="B7" i="17"/>
  <c r="A7" i="17"/>
  <c r="AH6" i="17"/>
  <c r="AG6" i="17"/>
  <c r="AF6" i="17"/>
  <c r="AK6" i="17" s="1"/>
  <c r="AE6" i="17"/>
  <c r="AM6" i="17" s="1"/>
  <c r="AD6" i="17"/>
  <c r="AA6" i="17"/>
  <c r="Z6" i="17"/>
  <c r="Y6" i="17"/>
  <c r="AC6" i="17" s="1"/>
  <c r="X6" i="17"/>
  <c r="AI6" i="17" s="1"/>
  <c r="W6" i="17"/>
  <c r="V6" i="17"/>
  <c r="U6" i="17"/>
  <c r="T6" i="17"/>
  <c r="S6" i="17"/>
  <c r="R6" i="17"/>
  <c r="Q6" i="17"/>
  <c r="P6" i="17"/>
  <c r="O6" i="17"/>
  <c r="N6" i="17"/>
  <c r="M6" i="17"/>
  <c r="L6" i="17"/>
  <c r="AJ6" i="17" s="1"/>
  <c r="K6" i="17"/>
  <c r="AL6" i="17" s="1"/>
  <c r="J6" i="17"/>
  <c r="H6" i="17"/>
  <c r="G6" i="17"/>
  <c r="F6" i="17"/>
  <c r="E6" i="17"/>
  <c r="I6" i="17" s="1"/>
  <c r="D6" i="17"/>
  <c r="C6" i="17"/>
  <c r="B6" i="17"/>
  <c r="A6" i="17"/>
  <c r="AM5" i="17"/>
  <c r="AL5" i="17"/>
  <c r="AK5" i="17"/>
  <c r="AJ5" i="17"/>
  <c r="AI5" i="17"/>
  <c r="AH5" i="17"/>
  <c r="AG5" i="17"/>
  <c r="AF5" i="17"/>
  <c r="AE5" i="17"/>
  <c r="AD5" i="17"/>
  <c r="AC5" i="17"/>
  <c r="AB5" i="17"/>
  <c r="AA5" i="17"/>
  <c r="Z5" i="17"/>
  <c r="Y5" i="17"/>
  <c r="X5" i="17"/>
  <c r="W5" i="17"/>
  <c r="V5" i="17"/>
  <c r="U5" i="17"/>
  <c r="T5" i="17"/>
  <c r="S5" i="17"/>
  <c r="R5" i="17"/>
  <c r="Q5" i="17"/>
  <c r="P5" i="17"/>
  <c r="O5" i="17"/>
  <c r="N5" i="17"/>
  <c r="M5" i="17"/>
  <c r="L5" i="17"/>
  <c r="K5" i="17"/>
  <c r="J5" i="17"/>
  <c r="I5" i="17"/>
  <c r="H5" i="17"/>
  <c r="G5" i="17"/>
  <c r="F5" i="17"/>
  <c r="E5" i="17"/>
  <c r="D5" i="17"/>
  <c r="C5" i="17"/>
  <c r="B5" i="17"/>
  <c r="A5" i="17"/>
  <c r="W96" i="2"/>
  <c r="W15" i="2"/>
  <c r="D56" i="11"/>
  <c r="D22" i="11"/>
  <c r="D26" i="11"/>
  <c r="C26" i="11"/>
  <c r="R8" i="17" l="1"/>
  <c r="R11" i="17"/>
  <c r="R14" i="17"/>
  <c r="R17" i="17"/>
  <c r="R20" i="17"/>
  <c r="AK12" i="17"/>
  <c r="AB6" i="17"/>
  <c r="H8" i="17"/>
  <c r="AB9" i="17"/>
  <c r="H11" i="17"/>
  <c r="AB12" i="17"/>
  <c r="H14" i="17"/>
  <c r="AB15" i="17"/>
  <c r="H17" i="17"/>
  <c r="AB18" i="17"/>
  <c r="H20" i="17"/>
  <c r="AK7" i="17"/>
  <c r="AK10" i="17"/>
  <c r="AK13" i="17"/>
  <c r="AK16" i="17"/>
  <c r="AK19" i="17"/>
  <c r="AL20" i="17"/>
  <c r="J23" i="6"/>
  <c r="J20" i="6"/>
  <c r="J13" i="6"/>
  <c r="H25" i="13"/>
  <c r="L19" i="13"/>
  <c r="L18" i="13"/>
  <c r="L17" i="13"/>
  <c r="L16" i="13"/>
  <c r="L15" i="13"/>
  <c r="L14" i="13"/>
  <c r="L13" i="13"/>
  <c r="L12" i="13"/>
  <c r="L11" i="13"/>
  <c r="L10" i="13"/>
  <c r="L9" i="13"/>
  <c r="L8" i="13"/>
  <c r="L7" i="13"/>
  <c r="L6" i="13"/>
  <c r="L5" i="13"/>
  <c r="H51" i="13"/>
  <c r="G51" i="13"/>
  <c r="F51" i="13"/>
  <c r="E51" i="13"/>
  <c r="D51" i="13"/>
  <c r="C51" i="13"/>
  <c r="H50" i="13"/>
  <c r="G50" i="13"/>
  <c r="F50" i="13"/>
  <c r="E50" i="13"/>
  <c r="D50" i="13"/>
  <c r="C50" i="13"/>
  <c r="O41" i="13"/>
  <c r="N41" i="13"/>
  <c r="M41" i="13"/>
  <c r="L41" i="13"/>
  <c r="O40" i="13"/>
  <c r="N40" i="13"/>
  <c r="M40" i="13"/>
  <c r="L40" i="13"/>
  <c r="O39" i="13"/>
  <c r="N39" i="13"/>
  <c r="M39" i="13"/>
  <c r="L39" i="13"/>
  <c r="O38" i="13"/>
  <c r="N38" i="13"/>
  <c r="M38" i="13"/>
  <c r="L38" i="13"/>
  <c r="O37" i="13"/>
  <c r="N37" i="13"/>
  <c r="M37" i="13"/>
  <c r="L37" i="13"/>
  <c r="O36" i="13"/>
  <c r="N36" i="13"/>
  <c r="M36" i="13"/>
  <c r="L36" i="13"/>
  <c r="O35" i="13"/>
  <c r="N35" i="13"/>
  <c r="M35" i="13"/>
  <c r="L35" i="13"/>
  <c r="H30" i="13"/>
  <c r="G30" i="13"/>
  <c r="F30" i="13"/>
  <c r="E30" i="13"/>
  <c r="D30" i="13"/>
  <c r="C30" i="13"/>
  <c r="H29" i="13"/>
  <c r="G29" i="13"/>
  <c r="F29" i="13"/>
  <c r="E29" i="13"/>
  <c r="D29" i="13"/>
  <c r="C29" i="13"/>
  <c r="Y19" i="13"/>
  <c r="X19" i="13"/>
  <c r="W19" i="13"/>
  <c r="V19" i="13"/>
  <c r="Z19" i="13" s="1"/>
  <c r="U19" i="13"/>
  <c r="Y18" i="13"/>
  <c r="X18" i="13"/>
  <c r="W18" i="13"/>
  <c r="V18" i="13"/>
  <c r="Z18" i="13" s="1"/>
  <c r="U18" i="13"/>
  <c r="Y17" i="13"/>
  <c r="X17" i="13"/>
  <c r="W17" i="13"/>
  <c r="V17" i="13"/>
  <c r="Z17" i="13" s="1"/>
  <c r="U17" i="13"/>
  <c r="Y16" i="13"/>
  <c r="X16" i="13"/>
  <c r="W16" i="13"/>
  <c r="V16" i="13"/>
  <c r="Z16" i="13" s="1"/>
  <c r="U16" i="13"/>
  <c r="Y15" i="13"/>
  <c r="X15" i="13"/>
  <c r="W15" i="13"/>
  <c r="V15" i="13"/>
  <c r="Z15" i="13" s="1"/>
  <c r="U15" i="13"/>
  <c r="Y14" i="13"/>
  <c r="X14" i="13"/>
  <c r="W14" i="13"/>
  <c r="V14" i="13"/>
  <c r="Z14" i="13" s="1"/>
  <c r="U14" i="13"/>
  <c r="Y13" i="13"/>
  <c r="X13" i="13"/>
  <c r="W13" i="13"/>
  <c r="V13" i="13"/>
  <c r="Z13" i="13" s="1"/>
  <c r="U13" i="13"/>
  <c r="Y12" i="13"/>
  <c r="X12" i="13"/>
  <c r="W12" i="13"/>
  <c r="V12" i="13"/>
  <c r="Z12" i="13" s="1"/>
  <c r="U12" i="13"/>
  <c r="Y11" i="13"/>
  <c r="X11" i="13"/>
  <c r="W11" i="13"/>
  <c r="V11" i="13"/>
  <c r="Z11" i="13" s="1"/>
  <c r="U11" i="13"/>
  <c r="Y10" i="13"/>
  <c r="X10" i="13"/>
  <c r="W10" i="13"/>
  <c r="V10" i="13"/>
  <c r="Z10" i="13" s="1"/>
  <c r="U10" i="13"/>
  <c r="Y9" i="13"/>
  <c r="X9" i="13"/>
  <c r="W9" i="13"/>
  <c r="V9" i="13"/>
  <c r="Z9" i="13" s="1"/>
  <c r="U9" i="13"/>
  <c r="Y8" i="13"/>
  <c r="X8" i="13"/>
  <c r="W8" i="13"/>
  <c r="V8" i="13"/>
  <c r="Z8" i="13" s="1"/>
  <c r="U8" i="13"/>
  <c r="Y7" i="13"/>
  <c r="X7" i="13"/>
  <c r="W7" i="13"/>
  <c r="V7" i="13"/>
  <c r="Z7" i="13" s="1"/>
  <c r="U7" i="13"/>
  <c r="Y6" i="13"/>
  <c r="X6" i="13"/>
  <c r="W6" i="13"/>
  <c r="V6" i="13"/>
  <c r="Z6" i="13" s="1"/>
  <c r="U6" i="13"/>
  <c r="Z5" i="13"/>
  <c r="Y5" i="13"/>
  <c r="X5" i="13"/>
  <c r="W5" i="13"/>
  <c r="V5" i="13"/>
  <c r="U5" i="13"/>
  <c r="B36" i="12"/>
  <c r="B35" i="12"/>
  <c r="B34" i="12"/>
  <c r="C49" i="13"/>
  <c r="H48" i="13"/>
  <c r="G48" i="13"/>
  <c r="F48" i="13"/>
  <c r="E48" i="13"/>
  <c r="D48" i="13"/>
  <c r="C48" i="13"/>
  <c r="H47" i="13"/>
  <c r="G47" i="13"/>
  <c r="F47" i="13"/>
  <c r="E47" i="13"/>
  <c r="D47" i="13"/>
  <c r="C47" i="13"/>
  <c r="H46" i="13"/>
  <c r="G46" i="13"/>
  <c r="F46" i="13"/>
  <c r="E46" i="13"/>
  <c r="D46" i="13"/>
  <c r="C46" i="13"/>
  <c r="H45" i="13"/>
  <c r="G45" i="13"/>
  <c r="F45" i="13"/>
  <c r="E45" i="13"/>
  <c r="D45" i="13"/>
  <c r="C45" i="13"/>
  <c r="F41" i="13"/>
  <c r="F40" i="13"/>
  <c r="H40" i="13" s="1"/>
  <c r="F39" i="13"/>
  <c r="F38" i="13"/>
  <c r="F37" i="13"/>
  <c r="H37" i="13" s="1"/>
  <c r="F36" i="13"/>
  <c r="F35" i="13"/>
  <c r="H35" i="13" s="1"/>
  <c r="C41" i="13"/>
  <c r="E41" i="13" s="1"/>
  <c r="C40" i="13"/>
  <c r="C39" i="13"/>
  <c r="E39" i="13" s="1"/>
  <c r="C38" i="13"/>
  <c r="E38" i="13" s="1"/>
  <c r="C37" i="13"/>
  <c r="E37" i="13" s="1"/>
  <c r="C36" i="13"/>
  <c r="E36" i="13" s="1"/>
  <c r="C35" i="13"/>
  <c r="E35" i="13" s="1"/>
  <c r="K41" i="13"/>
  <c r="J41" i="13"/>
  <c r="I41" i="13"/>
  <c r="H41" i="13"/>
  <c r="G41" i="13"/>
  <c r="D41" i="13"/>
  <c r="B41" i="13"/>
  <c r="K40" i="13"/>
  <c r="J40" i="13"/>
  <c r="I40" i="13"/>
  <c r="G40" i="13"/>
  <c r="E40" i="13"/>
  <c r="D40" i="13"/>
  <c r="B40" i="13"/>
  <c r="K39" i="13"/>
  <c r="J39" i="13"/>
  <c r="I39" i="13"/>
  <c r="H39" i="13"/>
  <c r="G39" i="13"/>
  <c r="D39" i="13"/>
  <c r="B39" i="13"/>
  <c r="K38" i="13"/>
  <c r="J38" i="13"/>
  <c r="I38" i="13"/>
  <c r="H38" i="13"/>
  <c r="G38" i="13"/>
  <c r="D38" i="13"/>
  <c r="B38" i="13"/>
  <c r="K37" i="13"/>
  <c r="J37" i="13"/>
  <c r="I37" i="13"/>
  <c r="G37" i="13"/>
  <c r="D37" i="13"/>
  <c r="B37" i="13"/>
  <c r="K36" i="13"/>
  <c r="J36" i="13"/>
  <c r="I36" i="13"/>
  <c r="H36" i="13"/>
  <c r="G36" i="13"/>
  <c r="D36" i="13"/>
  <c r="B36" i="13"/>
  <c r="K35" i="13"/>
  <c r="J35" i="13"/>
  <c r="I35" i="13"/>
  <c r="G35" i="13"/>
  <c r="D35" i="13"/>
  <c r="B35" i="13"/>
  <c r="H28" i="13"/>
  <c r="G28" i="13"/>
  <c r="F28" i="13"/>
  <c r="E28" i="13"/>
  <c r="D28" i="13"/>
  <c r="C28" i="13"/>
  <c r="H27" i="13"/>
  <c r="G27" i="13"/>
  <c r="F27" i="13"/>
  <c r="E27" i="13"/>
  <c r="D27" i="13"/>
  <c r="C27" i="13"/>
  <c r="H26" i="13"/>
  <c r="G26" i="13"/>
  <c r="F26" i="13"/>
  <c r="E26" i="13"/>
  <c r="D26" i="13"/>
  <c r="C26" i="13"/>
  <c r="G25" i="13"/>
  <c r="F25" i="13"/>
  <c r="H24" i="13"/>
  <c r="G24" i="13"/>
  <c r="F24" i="13"/>
  <c r="E24" i="13"/>
  <c r="D24" i="13"/>
  <c r="C24" i="13"/>
  <c r="H23" i="13"/>
  <c r="G23" i="13"/>
  <c r="F23" i="13"/>
  <c r="E23" i="13"/>
  <c r="D23" i="13"/>
  <c r="C23" i="13"/>
  <c r="S19" i="13"/>
  <c r="T19" i="13" s="1"/>
  <c r="P19" i="13"/>
  <c r="R19" i="13" s="1"/>
  <c r="M19" i="13"/>
  <c r="O19" i="13" s="1"/>
  <c r="K19" i="13"/>
  <c r="J19" i="13"/>
  <c r="I19" i="13"/>
  <c r="G19" i="13"/>
  <c r="D19" i="13"/>
  <c r="F19" i="13" s="1"/>
  <c r="C19" i="13"/>
  <c r="H19" i="13" s="1"/>
  <c r="B19" i="13"/>
  <c r="A19" i="13"/>
  <c r="S18" i="13"/>
  <c r="T18" i="13" s="1"/>
  <c r="R18" i="13"/>
  <c r="Q18" i="13"/>
  <c r="P18" i="13"/>
  <c r="N18" i="13"/>
  <c r="M18" i="13"/>
  <c r="O18" i="13" s="1"/>
  <c r="K18" i="13"/>
  <c r="J18" i="13"/>
  <c r="H18" i="13"/>
  <c r="G18" i="13"/>
  <c r="I18" i="13" s="1"/>
  <c r="F18" i="13"/>
  <c r="E18" i="13"/>
  <c r="D18" i="13"/>
  <c r="C18" i="13"/>
  <c r="B18" i="13"/>
  <c r="A18" i="13"/>
  <c r="S17" i="13"/>
  <c r="T17" i="13" s="1"/>
  <c r="P17" i="13"/>
  <c r="R17" i="13" s="1"/>
  <c r="N17" i="13"/>
  <c r="M17" i="13"/>
  <c r="O17" i="13" s="1"/>
  <c r="J17" i="13"/>
  <c r="G17" i="13"/>
  <c r="I17" i="13" s="1"/>
  <c r="D17" i="13"/>
  <c r="F17" i="13" s="1"/>
  <c r="C17" i="13"/>
  <c r="K17" i="13" s="1"/>
  <c r="B17" i="13"/>
  <c r="A17" i="13"/>
  <c r="S16" i="13"/>
  <c r="T16" i="13" s="1"/>
  <c r="P16" i="13"/>
  <c r="M16" i="13"/>
  <c r="O16" i="13" s="1"/>
  <c r="K16" i="13"/>
  <c r="J16" i="13"/>
  <c r="I16" i="13"/>
  <c r="G16" i="13"/>
  <c r="D16" i="13"/>
  <c r="C16" i="13"/>
  <c r="H16" i="13" s="1"/>
  <c r="B16" i="13"/>
  <c r="A16" i="13"/>
  <c r="S15" i="13"/>
  <c r="T15" i="13" s="1"/>
  <c r="R15" i="13"/>
  <c r="Q15" i="13"/>
  <c r="P15" i="13"/>
  <c r="N15" i="13"/>
  <c r="M15" i="13"/>
  <c r="O15" i="13" s="1"/>
  <c r="K15" i="13"/>
  <c r="J15" i="13"/>
  <c r="H15" i="13"/>
  <c r="G15" i="13"/>
  <c r="I15" i="13" s="1"/>
  <c r="F15" i="13"/>
  <c r="E15" i="13"/>
  <c r="D15" i="13"/>
  <c r="C15" i="13"/>
  <c r="B15" i="13"/>
  <c r="A15" i="13"/>
  <c r="S14" i="13"/>
  <c r="T14" i="13" s="1"/>
  <c r="P14" i="13"/>
  <c r="R14" i="13" s="1"/>
  <c r="N14" i="13"/>
  <c r="M14" i="13"/>
  <c r="O14" i="13" s="1"/>
  <c r="J14" i="13"/>
  <c r="G14" i="13"/>
  <c r="I14" i="13" s="1"/>
  <c r="D14" i="13"/>
  <c r="F14" i="13" s="1"/>
  <c r="C14" i="13"/>
  <c r="K14" i="13" s="1"/>
  <c r="B14" i="13"/>
  <c r="A14" i="13"/>
  <c r="S13" i="13"/>
  <c r="T13" i="13" s="1"/>
  <c r="P13" i="13"/>
  <c r="M13" i="13"/>
  <c r="O13" i="13" s="1"/>
  <c r="K13" i="13"/>
  <c r="J13" i="13"/>
  <c r="I13" i="13"/>
  <c r="G13" i="13"/>
  <c r="D13" i="13"/>
  <c r="C13" i="13"/>
  <c r="H13" i="13" s="1"/>
  <c r="B13" i="13"/>
  <c r="A13" i="13"/>
  <c r="S12" i="13"/>
  <c r="T12" i="13" s="1"/>
  <c r="R12" i="13"/>
  <c r="Q12" i="13"/>
  <c r="P12" i="13"/>
  <c r="N12" i="13"/>
  <c r="M12" i="13"/>
  <c r="O12" i="13" s="1"/>
  <c r="K12" i="13"/>
  <c r="J12" i="13"/>
  <c r="H12" i="13"/>
  <c r="G12" i="13"/>
  <c r="I12" i="13" s="1"/>
  <c r="F12" i="13"/>
  <c r="E12" i="13"/>
  <c r="D12" i="13"/>
  <c r="C12" i="13"/>
  <c r="B12" i="13"/>
  <c r="A12" i="13"/>
  <c r="S11" i="13"/>
  <c r="T11" i="13" s="1"/>
  <c r="P11" i="13"/>
  <c r="R11" i="13" s="1"/>
  <c r="N11" i="13"/>
  <c r="M11" i="13"/>
  <c r="O11" i="13" s="1"/>
  <c r="J11" i="13"/>
  <c r="G11" i="13"/>
  <c r="I11" i="13" s="1"/>
  <c r="D11" i="13"/>
  <c r="F11" i="13" s="1"/>
  <c r="C11" i="13"/>
  <c r="K11" i="13" s="1"/>
  <c r="B11" i="13"/>
  <c r="A11" i="13"/>
  <c r="S10" i="13"/>
  <c r="T10" i="13" s="1"/>
  <c r="P10" i="13"/>
  <c r="M10" i="13"/>
  <c r="O10" i="13" s="1"/>
  <c r="K10" i="13"/>
  <c r="J10" i="13"/>
  <c r="I10" i="13"/>
  <c r="G10" i="13"/>
  <c r="D10" i="13"/>
  <c r="C10" i="13"/>
  <c r="H10" i="13" s="1"/>
  <c r="B10" i="13"/>
  <c r="A10" i="13"/>
  <c r="S9" i="13"/>
  <c r="T9" i="13" s="1"/>
  <c r="R9" i="13"/>
  <c r="Q9" i="13"/>
  <c r="P9" i="13"/>
  <c r="N9" i="13"/>
  <c r="M9" i="13"/>
  <c r="O9" i="13" s="1"/>
  <c r="K9" i="13"/>
  <c r="J9" i="13"/>
  <c r="H9" i="13"/>
  <c r="G9" i="13"/>
  <c r="I9" i="13" s="1"/>
  <c r="F9" i="13"/>
  <c r="E9" i="13"/>
  <c r="D9" i="13"/>
  <c r="C9" i="13"/>
  <c r="B9" i="13"/>
  <c r="A9" i="13"/>
  <c r="S8" i="13"/>
  <c r="T8" i="13" s="1"/>
  <c r="P8" i="13"/>
  <c r="R8" i="13" s="1"/>
  <c r="N8" i="13"/>
  <c r="M8" i="13"/>
  <c r="O8" i="13" s="1"/>
  <c r="J8" i="13"/>
  <c r="G8" i="13"/>
  <c r="I8" i="13" s="1"/>
  <c r="D8" i="13"/>
  <c r="F8" i="13" s="1"/>
  <c r="C8" i="13"/>
  <c r="K8" i="13" s="1"/>
  <c r="B8" i="13"/>
  <c r="A8" i="13"/>
  <c r="S7" i="13"/>
  <c r="T7" i="13" s="1"/>
  <c r="R7" i="13"/>
  <c r="P7" i="13"/>
  <c r="M7" i="13"/>
  <c r="O7" i="13" s="1"/>
  <c r="K7" i="13"/>
  <c r="J7" i="13"/>
  <c r="I7" i="13"/>
  <c r="G7" i="13"/>
  <c r="F7" i="13"/>
  <c r="D7" i="13"/>
  <c r="C7" i="13"/>
  <c r="H7" i="13" s="1"/>
  <c r="B7" i="13"/>
  <c r="A7" i="13"/>
  <c r="S6" i="13"/>
  <c r="T6" i="13" s="1"/>
  <c r="R6" i="13"/>
  <c r="Q6" i="13"/>
  <c r="P6" i="13"/>
  <c r="N6" i="13"/>
  <c r="M6" i="13"/>
  <c r="O6" i="13" s="1"/>
  <c r="K6" i="13"/>
  <c r="J6" i="13"/>
  <c r="H6" i="13"/>
  <c r="G6" i="13"/>
  <c r="I6" i="13" s="1"/>
  <c r="F6" i="13"/>
  <c r="E6" i="13"/>
  <c r="D6" i="13"/>
  <c r="C6" i="13"/>
  <c r="B6" i="13"/>
  <c r="A6" i="13"/>
  <c r="C5" i="13"/>
  <c r="T5" i="13" s="1"/>
  <c r="S5" i="13"/>
  <c r="P5" i="13"/>
  <c r="N5" i="13"/>
  <c r="M5" i="13"/>
  <c r="K5" i="13"/>
  <c r="J5" i="13"/>
  <c r="D25" i="13" s="1"/>
  <c r="I5" i="13"/>
  <c r="H5" i="13"/>
  <c r="G5" i="13"/>
  <c r="E5" i="13"/>
  <c r="D5" i="13"/>
  <c r="B5" i="13"/>
  <c r="A5" i="13"/>
  <c r="I20" i="6"/>
  <c r="H13" i="6"/>
  <c r="I13" i="6"/>
  <c r="V57" i="2"/>
  <c r="V16" i="2"/>
  <c r="V15" i="2" s="1"/>
  <c r="H20" i="6"/>
  <c r="C56" i="11"/>
  <c r="C22" i="11"/>
  <c r="E25" i="13" l="1"/>
  <c r="C25" i="13"/>
  <c r="E8" i="13"/>
  <c r="E11" i="13"/>
  <c r="Q11" i="13"/>
  <c r="E14" i="13"/>
  <c r="Q14" i="13"/>
  <c r="E17" i="13"/>
  <c r="Q17" i="13"/>
  <c r="N7" i="13"/>
  <c r="N10" i="13"/>
  <c r="N13" i="13"/>
  <c r="N16" i="13"/>
  <c r="N19" i="13"/>
  <c r="Q8" i="13"/>
  <c r="H8" i="13"/>
  <c r="H11" i="13"/>
  <c r="H14" i="13"/>
  <c r="H17" i="13"/>
  <c r="E7" i="13"/>
  <c r="Q7" i="13"/>
  <c r="E10" i="13"/>
  <c r="Q10" i="13"/>
  <c r="E13" i="13"/>
  <c r="Q13" i="13"/>
  <c r="E16" i="13"/>
  <c r="Q16" i="13"/>
  <c r="E19" i="13"/>
  <c r="Q19" i="13"/>
  <c r="F10" i="13"/>
  <c r="R10" i="13"/>
  <c r="F13" i="13"/>
  <c r="R13" i="13"/>
  <c r="F16" i="13"/>
  <c r="R16" i="13"/>
  <c r="O5" i="13"/>
  <c r="Q5" i="13"/>
  <c r="R5" i="13"/>
  <c r="F5" i="13"/>
  <c r="G17" i="5"/>
  <c r="G16" i="5"/>
  <c r="G15" i="5"/>
  <c r="G14" i="5"/>
  <c r="G13" i="5"/>
  <c r="G12" i="5"/>
  <c r="G11" i="5"/>
  <c r="G10" i="5"/>
  <c r="G9" i="5"/>
  <c r="G8" i="5"/>
  <c r="G7" i="5"/>
  <c r="G6" i="5"/>
  <c r="G5" i="5"/>
  <c r="G4" i="5"/>
  <c r="U75" i="2"/>
  <c r="U16" i="2"/>
  <c r="U15" i="2"/>
  <c r="G20" i="6"/>
  <c r="G13" i="6"/>
  <c r="D20" i="6"/>
  <c r="E20" i="6"/>
  <c r="F20" i="6"/>
  <c r="C20" i="6"/>
  <c r="C13" i="6"/>
  <c r="D13" i="6"/>
  <c r="E13" i="6"/>
  <c r="F13" i="6"/>
  <c r="J16" i="8" a="1"/>
  <c r="J16" i="8" s="1"/>
  <c r="J12" i="8" a="1"/>
  <c r="J12" i="8" s="1"/>
  <c r="J9" i="8" a="1"/>
  <c r="J9" i="8" s="1"/>
  <c r="J25" i="8" a="1"/>
  <c r="J25" i="8" s="1"/>
  <c r="J4" i="8" a="1"/>
  <c r="J4" i="8" s="1"/>
  <c r="J7" i="8" a="1"/>
  <c r="J7" i="8" s="1"/>
  <c r="J3" i="8" a="1"/>
  <c r="J3" i="8" s="1"/>
  <c r="J2" i="8" a="1"/>
  <c r="J2" i="8" s="1"/>
  <c r="J5" i="8" a="1"/>
  <c r="J5" i="8" s="1"/>
  <c r="J24" i="8" a="1"/>
  <c r="J24" i="8" s="1"/>
  <c r="J26" i="8" a="1"/>
  <c r="J26" i="8" s="1"/>
  <c r="J27" i="8" a="1"/>
  <c r="J27" i="8" s="1"/>
  <c r="J6" i="8" a="1"/>
  <c r="J6" i="8" s="1"/>
  <c r="J8" i="8" a="1"/>
  <c r="J8" i="8" s="1"/>
  <c r="J15" i="8" a="1"/>
  <c r="J15" i="8" s="1"/>
  <c r="J22" i="8" a="1"/>
  <c r="J22" i="8" s="1"/>
  <c r="J17" i="8" a="1"/>
  <c r="J17" i="8" s="1"/>
  <c r="J14" i="8" a="1"/>
  <c r="J14" i="8" s="1"/>
  <c r="J13" i="8" a="1"/>
  <c r="J13" i="8" s="1"/>
  <c r="J10" i="8" a="1"/>
  <c r="J10" i="8" s="1"/>
  <c r="J11" i="8" a="1"/>
  <c r="J11" i="8" s="1"/>
  <c r="J18" i="8" a="1"/>
  <c r="J18" i="8" s="1"/>
  <c r="J20" i="8" a="1"/>
  <c r="J20" i="8" s="1"/>
  <c r="J21" i="8" a="1"/>
  <c r="J21" i="8" s="1"/>
  <c r="J19" i="8" a="1"/>
  <c r="J19" i="8" s="1"/>
  <c r="J23" i="8" a="1"/>
  <c r="J23" i="8" s="1"/>
  <c r="J28" i="8" a="1"/>
  <c r="J28" i="8" s="1"/>
  <c r="J101" i="7" a="1"/>
  <c r="J101" i="7" s="1"/>
  <c r="J100" i="7" a="1"/>
  <c r="J100" i="7" s="1"/>
  <c r="J99" i="7" a="1"/>
  <c r="J99" i="7" s="1"/>
  <c r="J98" i="7" a="1"/>
  <c r="J98" i="7" s="1"/>
  <c r="J97" i="7" a="1"/>
  <c r="J97" i="7" s="1"/>
  <c r="J96" i="7" a="1"/>
  <c r="J96" i="7" s="1"/>
  <c r="J95" i="7" a="1"/>
  <c r="J95" i="7" s="1"/>
  <c r="J94" i="7" a="1"/>
  <c r="J94" i="7" s="1"/>
  <c r="J93" i="7" a="1"/>
  <c r="J93" i="7" s="1"/>
  <c r="J92" i="7" a="1"/>
  <c r="J92" i="7" s="1"/>
  <c r="J91" i="7" a="1"/>
  <c r="J91" i="7" s="1"/>
  <c r="J90" i="7" a="1"/>
  <c r="J90" i="7" s="1"/>
  <c r="J89" i="7" a="1"/>
  <c r="J89" i="7" s="1"/>
  <c r="J88" i="7" a="1"/>
  <c r="J88" i="7" s="1"/>
  <c r="J87" i="7" a="1"/>
  <c r="J87" i="7" s="1"/>
  <c r="J86" i="7" a="1"/>
  <c r="J86" i="7" s="1"/>
  <c r="J85" i="7" a="1"/>
  <c r="J85" i="7" s="1"/>
  <c r="J84" i="7" a="1"/>
  <c r="J84" i="7" s="1"/>
  <c r="J83" i="7" a="1"/>
  <c r="J83" i="7" s="1"/>
  <c r="J82" i="7" a="1"/>
  <c r="J82" i="7" s="1"/>
  <c r="J81" i="7" a="1"/>
  <c r="J81" i="7" s="1"/>
  <c r="J80" i="7" a="1"/>
  <c r="J80" i="7" s="1"/>
  <c r="J79" i="7" a="1"/>
  <c r="J79" i="7" s="1"/>
  <c r="J78" i="7" a="1"/>
  <c r="J78" i="7" s="1"/>
  <c r="J77" i="7" a="1"/>
  <c r="J77" i="7" s="1"/>
  <c r="J76" i="7" a="1"/>
  <c r="J76" i="7" s="1"/>
  <c r="J75" i="7" a="1"/>
  <c r="J75" i="7" s="1"/>
  <c r="J74" i="7" a="1"/>
  <c r="J74" i="7" s="1"/>
  <c r="J73" i="7" a="1"/>
  <c r="J73" i="7" s="1"/>
  <c r="J72" i="7" a="1"/>
  <c r="J72" i="7" s="1"/>
  <c r="J71" i="7" a="1"/>
  <c r="J71" i="7" s="1"/>
  <c r="J70" i="7" a="1"/>
  <c r="J70" i="7" s="1"/>
  <c r="J69" i="7" a="1"/>
  <c r="J69" i="7" s="1"/>
  <c r="J68" i="7" a="1"/>
  <c r="J68" i="7" s="1"/>
  <c r="J67" i="7" a="1"/>
  <c r="J67" i="7" s="1"/>
  <c r="J66" i="7" a="1"/>
  <c r="J66" i="7" s="1"/>
  <c r="J65" i="7" a="1"/>
  <c r="J65" i="7" s="1"/>
  <c r="J64" i="7" a="1"/>
  <c r="J64" i="7" s="1"/>
  <c r="J63" i="7" a="1"/>
  <c r="J63" i="7" s="1"/>
  <c r="J62" i="7" a="1"/>
  <c r="J62" i="7" s="1"/>
  <c r="J61" i="7" a="1"/>
  <c r="J61" i="7" s="1"/>
  <c r="J60" i="7" a="1"/>
  <c r="J60" i="7" s="1"/>
  <c r="J59" i="7" a="1"/>
  <c r="J59" i="7" s="1"/>
  <c r="J58" i="7" a="1"/>
  <c r="J58" i="7" s="1"/>
  <c r="J57" i="7" a="1"/>
  <c r="J57" i="7" s="1"/>
  <c r="J56" i="7" a="1"/>
  <c r="J56" i="7" s="1"/>
  <c r="J55" i="7" a="1"/>
  <c r="J55" i="7" s="1"/>
  <c r="J54" i="7" a="1"/>
  <c r="J54" i="7" s="1"/>
  <c r="J53" i="7" a="1"/>
  <c r="J53" i="7" s="1"/>
  <c r="J52" i="7" a="1"/>
  <c r="J52" i="7" s="1"/>
  <c r="J51" i="7" a="1"/>
  <c r="J51" i="7" s="1"/>
  <c r="J50" i="7" a="1"/>
  <c r="J50" i="7" s="1"/>
  <c r="J49" i="7" a="1"/>
  <c r="J49" i="7" s="1"/>
  <c r="J48" i="7" a="1"/>
  <c r="J48" i="7" s="1"/>
  <c r="J47" i="7" a="1"/>
  <c r="J47" i="7" s="1"/>
  <c r="J46" i="7" a="1"/>
  <c r="J46" i="7" s="1"/>
  <c r="J45" i="7" a="1"/>
  <c r="J45" i="7" s="1"/>
  <c r="J44" i="7" a="1"/>
  <c r="J44" i="7" s="1"/>
  <c r="J43" i="7" a="1"/>
  <c r="J43" i="7" s="1"/>
  <c r="J42" i="7" a="1"/>
  <c r="J42" i="7" s="1"/>
  <c r="J41" i="7" a="1"/>
  <c r="J41" i="7" s="1"/>
  <c r="J40" i="7" a="1"/>
  <c r="J40" i="7" s="1"/>
  <c r="J39" i="7" a="1"/>
  <c r="J39" i="7" s="1"/>
  <c r="J38" i="7" a="1"/>
  <c r="J38" i="7" s="1"/>
  <c r="J37" i="7" a="1"/>
  <c r="J37" i="7" s="1"/>
  <c r="J36" i="7" a="1"/>
  <c r="J36" i="7" s="1"/>
  <c r="J35" i="7" a="1"/>
  <c r="J35" i="7" s="1"/>
  <c r="J34" i="7" a="1"/>
  <c r="J34" i="7" s="1"/>
  <c r="J33" i="7" a="1"/>
  <c r="J33" i="7" s="1"/>
  <c r="J32" i="7" a="1"/>
  <c r="J32" i="7" s="1"/>
  <c r="J31" i="7" a="1"/>
  <c r="J31" i="7" s="1"/>
  <c r="J30" i="7" a="1"/>
  <c r="J30" i="7" s="1"/>
  <c r="J29" i="7" a="1"/>
  <c r="J29" i="7" s="1"/>
  <c r="J28" i="7" a="1"/>
  <c r="J28" i="7" s="1"/>
  <c r="J27" i="7" a="1"/>
  <c r="J27" i="7" s="1"/>
  <c r="J26" i="7" a="1"/>
  <c r="J26" i="7" s="1"/>
  <c r="J25" i="7" a="1"/>
  <c r="J25" i="7" s="1"/>
  <c r="J24" i="7" a="1"/>
  <c r="J24" i="7" s="1"/>
  <c r="J23" i="7" a="1"/>
  <c r="J23" i="7" s="1"/>
  <c r="J22" i="7" a="1"/>
  <c r="J22" i="7" s="1"/>
  <c r="J21" i="7" a="1"/>
  <c r="J21" i="7" s="1"/>
  <c r="J20" i="7" a="1"/>
  <c r="J20" i="7" s="1"/>
  <c r="J19" i="7" a="1"/>
  <c r="J19" i="7" s="1"/>
  <c r="J18" i="7" a="1"/>
  <c r="J18" i="7" s="1"/>
  <c r="J17" i="7" a="1"/>
  <c r="J17" i="7" s="1"/>
  <c r="J16" i="7" a="1"/>
  <c r="J16" i="7" s="1"/>
  <c r="J15" i="7" a="1"/>
  <c r="J15" i="7" s="1"/>
  <c r="J14" i="7" a="1"/>
  <c r="J14" i="7" s="1"/>
  <c r="J13" i="7" a="1"/>
  <c r="J13" i="7" s="1"/>
  <c r="J12" i="7" a="1"/>
  <c r="J12" i="7" s="1"/>
  <c r="J11" i="7" a="1"/>
  <c r="J11" i="7" s="1"/>
  <c r="J10" i="7" a="1"/>
  <c r="J10" i="7" s="1"/>
  <c r="J9" i="7" a="1"/>
  <c r="J9" i="7" s="1"/>
  <c r="J8" i="7" a="1"/>
  <c r="J8" i="7" s="1"/>
  <c r="J7" i="7" a="1"/>
  <c r="J7" i="7" s="1"/>
  <c r="J6" i="7" a="1"/>
  <c r="J6" i="7" s="1"/>
  <c r="J5" i="7" a="1"/>
  <c r="J5" i="7" s="1"/>
  <c r="J4" i="7" a="1"/>
  <c r="J4" i="7" s="1"/>
  <c r="J3" i="7" a="1"/>
  <c r="J3" i="7" s="1"/>
  <c r="J2" i="7" a="1"/>
  <c r="J2" i="7" s="1"/>
  <c r="T60" i="2"/>
  <c r="T15" i="2"/>
  <c r="S15" i="2"/>
  <c r="R15" i="2"/>
  <c r="Q16" i="2" l="1"/>
  <c r="Q15" i="2"/>
  <c r="P57" i="2"/>
  <c r="P16" i="2"/>
  <c r="P15" i="2" s="1"/>
  <c r="O75" i="2"/>
  <c r="O15" i="2"/>
  <c r="O16" i="2"/>
  <c r="N76" i="2"/>
  <c r="N16" i="2"/>
  <c r="N15" i="2"/>
  <c r="M96" i="2"/>
  <c r="M78" i="2"/>
  <c r="M75" i="2"/>
  <c r="M60" i="2"/>
  <c r="M57" i="2"/>
  <c r="M16" i="2"/>
  <c r="M15" i="2" s="1"/>
  <c r="H15" i="2"/>
  <c r="L96" i="2"/>
  <c r="L15" i="2"/>
  <c r="H48" i="1"/>
  <c r="J15" i="2"/>
  <c r="K15" i="2"/>
  <c r="I15" i="2"/>
  <c r="K60" i="2"/>
  <c r="I57" i="2"/>
  <c r="F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Ye</author>
  </authors>
  <commentList>
    <comment ref="N16" authorId="0" shapeId="0" xr:uid="{E647382A-84B6-4332-BDFD-38570650CABC}">
      <text>
        <r>
          <rPr>
            <b/>
            <sz val="9"/>
            <color indexed="81"/>
            <rFont val="Tahoma"/>
            <family val="2"/>
          </rPr>
          <t>Michael Ye:</t>
        </r>
        <r>
          <rPr>
            <sz val="9"/>
            <color indexed="81"/>
            <rFont val="Tahoma"/>
            <family val="2"/>
          </rPr>
          <t xml:space="preserve">
Duration in minutes not available — raw value in Hikes-High T16 appears to be a time fraction (0.198), not minutes. Needs manual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Ye</author>
  </authors>
  <commentList>
    <comment ref="F2" authorId="0" shapeId="0" xr:uid="{A77EC76A-FC1C-4BFA-8CC6-EF45C8B8CBC0}">
      <text>
        <r>
          <rPr>
            <b/>
            <sz val="9"/>
            <color indexed="81"/>
            <rFont val="Tahoma"/>
            <family val="2"/>
          </rPr>
          <t>Michael Ye:</t>
        </r>
        <r>
          <rPr>
            <sz val="9"/>
            <color indexed="81"/>
            <rFont val="Tahoma"/>
            <family val="2"/>
          </rPr>
          <t xml:space="preserve">
Round-trip loop. Source: Training data (NPS/AllTrails public estimates)</t>
        </r>
      </text>
    </comment>
    <comment ref="G2" authorId="0" shapeId="0" xr:uid="{6B273874-62A3-443F-AED5-C4E0DD038401}">
      <text>
        <r>
          <rPr>
            <b/>
            <sz val="9"/>
            <color indexed="81"/>
            <rFont val="Tahoma"/>
            <family val="2"/>
          </rPr>
          <t>Michael Ye:</t>
        </r>
        <r>
          <rPr>
            <sz val="9"/>
            <color indexed="81"/>
            <rFont val="Tahoma"/>
            <family val="2"/>
          </rPr>
          <t xml:space="preserve">
Source: Training data (NPS/AllTrails public estimates)</t>
        </r>
      </text>
    </comment>
    <comment ref="F3" authorId="0" shapeId="0" xr:uid="{1E437880-3522-478F-BE71-4B07EB431C73}">
      <text>
        <r>
          <rPr>
            <b/>
            <sz val="9"/>
            <color indexed="81"/>
            <rFont val="Tahoma"/>
            <family val="2"/>
          </rPr>
          <t>Michael Ye:</t>
        </r>
        <r>
          <rPr>
            <sz val="9"/>
            <color indexed="81"/>
            <rFont val="Tahoma"/>
            <family val="2"/>
          </rPr>
          <t xml:space="preserve">
Full loop. Source: Training data</t>
        </r>
      </text>
    </comment>
    <comment ref="G3" authorId="0" shapeId="0" xr:uid="{4E80FF7F-1562-46D1-A5AD-065F01B53DDE}">
      <text>
        <r>
          <rPr>
            <b/>
            <sz val="9"/>
            <color indexed="81"/>
            <rFont val="Tahoma"/>
            <family val="2"/>
          </rPr>
          <t>Michael Ye:</t>
        </r>
        <r>
          <rPr>
            <sz val="9"/>
            <color indexed="81"/>
            <rFont val="Tahoma"/>
            <family val="2"/>
          </rPr>
          <t xml:space="preserve">
Source: Training data</t>
        </r>
      </text>
    </comment>
    <comment ref="F4" authorId="0" shapeId="0" xr:uid="{02ABEB70-3FD9-4DC1-BBB4-976828A1349C}">
      <text>
        <r>
          <rPr>
            <b/>
            <sz val="9"/>
            <color indexed="81"/>
            <rFont val="Tahoma"/>
            <family val="2"/>
          </rPr>
          <t>Michael Ye:</t>
        </r>
        <r>
          <rPr>
            <sz val="9"/>
            <color indexed="81"/>
            <rFont val="Tahoma"/>
            <family val="2"/>
          </rPr>
          <t xml:space="preserve">
Loop estimate. Source: Training data</t>
        </r>
      </text>
    </comment>
    <comment ref="G4" authorId="0" shapeId="0" xr:uid="{2720E271-EDBA-4B57-885B-D6142E90DF47}">
      <text>
        <r>
          <rPr>
            <b/>
            <sz val="9"/>
            <color indexed="81"/>
            <rFont val="Tahoma"/>
            <family val="2"/>
          </rPr>
          <t>Michael Ye:</t>
        </r>
        <r>
          <rPr>
            <sz val="9"/>
            <color indexed="81"/>
            <rFont val="Tahoma"/>
            <family val="2"/>
          </rPr>
          <t xml:space="preserve">
Source: Training data</t>
        </r>
      </text>
    </comment>
    <comment ref="F5" authorId="0" shapeId="0" xr:uid="{BCCCA9A7-E0C1-4285-AAF8-222BF9F66633}">
      <text>
        <r>
          <rPr>
            <b/>
            <sz val="9"/>
            <color indexed="81"/>
            <rFont val="Tahoma"/>
            <family val="2"/>
          </rPr>
          <t>Michael Ye:</t>
        </r>
        <r>
          <rPr>
            <sz val="9"/>
            <color indexed="81"/>
            <rFont val="Tahoma"/>
            <family val="2"/>
          </rPr>
          <t xml:space="preserve">
Loop. Source: Training data</t>
        </r>
      </text>
    </comment>
    <comment ref="G5" authorId="0" shapeId="0" xr:uid="{BCBCFF79-66BB-45DA-8992-1937FA273ED1}">
      <text>
        <r>
          <rPr>
            <b/>
            <sz val="9"/>
            <color indexed="81"/>
            <rFont val="Tahoma"/>
            <family val="2"/>
          </rPr>
          <t>Michael Ye:</t>
        </r>
        <r>
          <rPr>
            <sz val="9"/>
            <color indexed="81"/>
            <rFont val="Tahoma"/>
            <family val="2"/>
          </rPr>
          <t xml:space="preserve">
Source: Training data</t>
        </r>
      </text>
    </comment>
    <comment ref="F6" authorId="0" shapeId="0" xr:uid="{9000316C-073F-4BE5-AE09-FAA325045A99}">
      <text>
        <r>
          <rPr>
            <b/>
            <sz val="9"/>
            <color indexed="81"/>
            <rFont val="Tahoma"/>
            <family val="2"/>
          </rPr>
          <t>Michael Ye:</t>
        </r>
        <r>
          <rPr>
            <sz val="9"/>
            <color indexed="81"/>
            <rFont val="Tahoma"/>
            <family val="2"/>
          </rPr>
          <t xml:space="preserve">
Out and back. Source: Training data</t>
        </r>
      </text>
    </comment>
    <comment ref="G6" authorId="0" shapeId="0" xr:uid="{0706EFB0-E8AF-41DE-AAF0-836798DA781F}">
      <text>
        <r>
          <rPr>
            <b/>
            <sz val="9"/>
            <color indexed="81"/>
            <rFont val="Tahoma"/>
            <family val="2"/>
          </rPr>
          <t>Michael Ye:</t>
        </r>
        <r>
          <rPr>
            <sz val="9"/>
            <color indexed="81"/>
            <rFont val="Tahoma"/>
            <family val="2"/>
          </rPr>
          <t xml:space="preserve">
Source: Training data</t>
        </r>
      </text>
    </comment>
    <comment ref="F7" authorId="0" shapeId="0" xr:uid="{DC924AAC-43F5-4874-9FD7-FF86BF7520A9}">
      <text>
        <r>
          <rPr>
            <b/>
            <sz val="9"/>
            <color indexed="81"/>
            <rFont val="Tahoma"/>
            <family val="2"/>
          </rPr>
          <t>Michael Ye:</t>
        </r>
        <r>
          <rPr>
            <sz val="9"/>
            <color indexed="81"/>
            <rFont val="Tahoma"/>
            <family val="2"/>
          </rPr>
          <t xml:space="preserve">
Loop with stairs. Source: Training data</t>
        </r>
      </text>
    </comment>
    <comment ref="G7" authorId="0" shapeId="0" xr:uid="{2047863C-3919-41DC-99D1-39C531EE4206}">
      <text>
        <r>
          <rPr>
            <b/>
            <sz val="9"/>
            <color indexed="81"/>
            <rFont val="Tahoma"/>
            <family val="2"/>
          </rPr>
          <t>Michael Ye:</t>
        </r>
        <r>
          <rPr>
            <sz val="9"/>
            <color indexed="81"/>
            <rFont val="Tahoma"/>
            <family val="2"/>
          </rPr>
          <t xml:space="preserve">
Source: Training data</t>
        </r>
      </text>
    </comment>
    <comment ref="F8" authorId="0" shapeId="0" xr:uid="{159A3B37-6978-4B46-9C0D-EF0CB422A8D5}">
      <text>
        <r>
          <rPr>
            <b/>
            <sz val="9"/>
            <color indexed="81"/>
            <rFont val="Tahoma"/>
            <family val="2"/>
          </rPr>
          <t>Michael Ye:</t>
        </r>
        <r>
          <rPr>
            <sz val="9"/>
            <color indexed="81"/>
            <rFont val="Tahoma"/>
            <family val="2"/>
          </rPr>
          <t xml:space="preserve">
Out and back to falls. Source: Training data</t>
        </r>
      </text>
    </comment>
    <comment ref="G8" authorId="0" shapeId="0" xr:uid="{F505460F-7790-4E44-ADC2-3E5CF56A9E4D}">
      <text>
        <r>
          <rPr>
            <b/>
            <sz val="9"/>
            <color indexed="81"/>
            <rFont val="Tahoma"/>
            <family val="2"/>
          </rPr>
          <t>Michael Ye:</t>
        </r>
        <r>
          <rPr>
            <sz val="9"/>
            <color indexed="81"/>
            <rFont val="Tahoma"/>
            <family val="2"/>
          </rPr>
          <t xml:space="preserve">
Source: Training data</t>
        </r>
      </text>
    </comment>
    <comment ref="F9" authorId="0" shapeId="0" xr:uid="{70EBB643-2276-48FC-9384-5865F17EFEDE}">
      <text>
        <r>
          <rPr>
            <b/>
            <sz val="9"/>
            <color indexed="81"/>
            <rFont val="Tahoma"/>
            <family val="2"/>
          </rPr>
          <t>Michael Ye:</t>
        </r>
        <r>
          <rPr>
            <sz val="9"/>
            <color indexed="81"/>
            <rFont val="Tahoma"/>
            <family val="2"/>
          </rPr>
          <t xml:space="preserve">
Out and back to falls. Source: Training data</t>
        </r>
      </text>
    </comment>
    <comment ref="G9" authorId="0" shapeId="0" xr:uid="{A0DBACF6-6157-4D68-8067-44EC5D27E136}">
      <text>
        <r>
          <rPr>
            <b/>
            <sz val="9"/>
            <color indexed="81"/>
            <rFont val="Tahoma"/>
            <family val="2"/>
          </rPr>
          <t>Michael Ye:</t>
        </r>
        <r>
          <rPr>
            <sz val="9"/>
            <color indexed="81"/>
            <rFont val="Tahoma"/>
            <family val="2"/>
          </rPr>
          <t xml:space="preserve">
Source: Training data</t>
        </r>
      </text>
    </comment>
    <comment ref="F10" authorId="0" shapeId="0" xr:uid="{6D8F1DDD-700A-47B5-8C92-4CD2EB17FA89}">
      <text>
        <r>
          <rPr>
            <b/>
            <sz val="9"/>
            <color indexed="81"/>
            <rFont val="Tahoma"/>
            <family val="2"/>
          </rPr>
          <t>Michael Ye:</t>
        </r>
        <r>
          <rPr>
            <sz val="9"/>
            <color indexed="81"/>
            <rFont val="Tahoma"/>
            <family val="2"/>
          </rPr>
          <t xml:space="preserve">
Out and back. Source: Training data</t>
        </r>
      </text>
    </comment>
    <comment ref="G10" authorId="0" shapeId="0" xr:uid="{5412C213-45D4-4B63-AB2F-B429E623187A}">
      <text>
        <r>
          <rPr>
            <b/>
            <sz val="9"/>
            <color indexed="81"/>
            <rFont val="Tahoma"/>
            <family val="2"/>
          </rPr>
          <t>Michael Ye:</t>
        </r>
        <r>
          <rPr>
            <sz val="9"/>
            <color indexed="81"/>
            <rFont val="Tahoma"/>
            <family val="2"/>
          </rPr>
          <t xml:space="preserve">
Source: Training data</t>
        </r>
      </text>
    </comment>
    <comment ref="F11" authorId="0" shapeId="0" xr:uid="{3D8D2EC2-99C9-4F70-8CF4-01C43ABA0A2B}">
      <text>
        <r>
          <rPr>
            <b/>
            <sz val="9"/>
            <color indexed="81"/>
            <rFont val="Tahoma"/>
            <family val="2"/>
          </rPr>
          <t>Michael Ye:</t>
        </r>
        <r>
          <rPr>
            <sz val="9"/>
            <color indexed="81"/>
            <rFont val="Tahoma"/>
            <family val="2"/>
          </rPr>
          <t xml:space="preserve">
Out and back. Source: Training data</t>
        </r>
      </text>
    </comment>
    <comment ref="G11" authorId="0" shapeId="0" xr:uid="{E3C1472D-7A02-4904-B76A-0C6C61CCE543}">
      <text>
        <r>
          <rPr>
            <b/>
            <sz val="9"/>
            <color indexed="81"/>
            <rFont val="Tahoma"/>
            <family val="2"/>
          </rPr>
          <t>Michael Ye:</t>
        </r>
        <r>
          <rPr>
            <sz val="9"/>
            <color indexed="81"/>
            <rFont val="Tahoma"/>
            <family val="2"/>
          </rPr>
          <t xml:space="preserve">
Source: Training data</t>
        </r>
      </text>
    </comment>
    <comment ref="F12" authorId="0" shapeId="0" xr:uid="{667533CE-EC03-47FE-8661-F528B4107447}">
      <text>
        <r>
          <rPr>
            <b/>
            <sz val="9"/>
            <color indexed="81"/>
            <rFont val="Tahoma"/>
            <family val="2"/>
          </rPr>
          <t>Michael Ye:</t>
        </r>
        <r>
          <rPr>
            <sz val="9"/>
            <color indexed="81"/>
            <rFont val="Tahoma"/>
            <family val="2"/>
          </rPr>
          <t xml:space="preserve">
Out and back. Source: Training data</t>
        </r>
      </text>
    </comment>
    <comment ref="G12" authorId="0" shapeId="0" xr:uid="{A8306384-AA60-451A-B2DD-DC680893B405}">
      <text>
        <r>
          <rPr>
            <b/>
            <sz val="9"/>
            <color indexed="81"/>
            <rFont val="Tahoma"/>
            <family val="2"/>
          </rPr>
          <t>Michael Ye:</t>
        </r>
        <r>
          <rPr>
            <sz val="9"/>
            <color indexed="81"/>
            <rFont val="Tahoma"/>
            <family val="2"/>
          </rPr>
          <t xml:space="preserve">
Source: Training data</t>
        </r>
      </text>
    </comment>
    <comment ref="F13" authorId="0" shapeId="0" xr:uid="{ADEAA17F-F1DE-4A5B-B3BB-96810BF8CBDD}">
      <text>
        <r>
          <rPr>
            <b/>
            <sz val="9"/>
            <color indexed="81"/>
            <rFont val="Tahoma"/>
            <family val="2"/>
          </rPr>
          <t>Michael Ye:</t>
        </r>
        <r>
          <rPr>
            <sz val="9"/>
            <color indexed="81"/>
            <rFont val="Tahoma"/>
            <family val="2"/>
          </rPr>
          <t xml:space="preserve">
Out and back. Source: Training data</t>
        </r>
      </text>
    </comment>
    <comment ref="G13" authorId="0" shapeId="0" xr:uid="{39FF5B94-6B30-4BD7-92EB-631321E1A434}">
      <text>
        <r>
          <rPr>
            <b/>
            <sz val="9"/>
            <color indexed="81"/>
            <rFont val="Tahoma"/>
            <family val="2"/>
          </rPr>
          <t>Michael Ye:</t>
        </r>
        <r>
          <rPr>
            <sz val="9"/>
            <color indexed="81"/>
            <rFont val="Tahoma"/>
            <family val="2"/>
          </rPr>
          <t xml:space="preserve">
Source: Training data</t>
        </r>
      </text>
    </comment>
    <comment ref="F14" authorId="0" shapeId="0" xr:uid="{4664B7C8-4082-4AC9-8FB9-D8A08EE01682}">
      <text>
        <r>
          <rPr>
            <b/>
            <sz val="9"/>
            <color indexed="81"/>
            <rFont val="Tahoma"/>
            <family val="2"/>
          </rPr>
          <t>Michael Ye:</t>
        </r>
        <r>
          <rPr>
            <sz val="9"/>
            <color indexed="81"/>
            <rFont val="Tahoma"/>
            <family val="2"/>
          </rPr>
          <t xml:space="preserve">
Out and back. Source: Training data</t>
        </r>
      </text>
    </comment>
    <comment ref="G14" authorId="0" shapeId="0" xr:uid="{957246D4-AAF0-4D67-B505-0E297AADE570}">
      <text>
        <r>
          <rPr>
            <b/>
            <sz val="9"/>
            <color indexed="81"/>
            <rFont val="Tahoma"/>
            <family val="2"/>
          </rPr>
          <t>Michael Ye:</t>
        </r>
        <r>
          <rPr>
            <sz val="9"/>
            <color indexed="81"/>
            <rFont val="Tahoma"/>
            <family val="2"/>
          </rPr>
          <t xml:space="preserve">
Source: Training data</t>
        </r>
      </text>
    </comment>
    <comment ref="F15" authorId="0" shapeId="0" xr:uid="{E26E93E2-68F5-44F2-A41C-C5BE6FAF2C26}">
      <text>
        <r>
          <rPr>
            <b/>
            <sz val="9"/>
            <color indexed="81"/>
            <rFont val="Tahoma"/>
            <family val="2"/>
          </rPr>
          <t>Michael Ye:</t>
        </r>
        <r>
          <rPr>
            <sz val="9"/>
            <color indexed="81"/>
            <rFont val="Tahoma"/>
            <family val="2"/>
          </rPr>
          <t xml:space="preserve">
Out and back via Sturtevant. Source: Training data</t>
        </r>
      </text>
    </comment>
    <comment ref="G15" authorId="0" shapeId="0" xr:uid="{1AD6BF18-0199-4B38-BCFB-322DF6BC193A}">
      <text>
        <r>
          <rPr>
            <b/>
            <sz val="9"/>
            <color indexed="81"/>
            <rFont val="Tahoma"/>
            <family val="2"/>
          </rPr>
          <t>Michael Ye:</t>
        </r>
        <r>
          <rPr>
            <sz val="9"/>
            <color indexed="81"/>
            <rFont val="Tahoma"/>
            <family val="2"/>
          </rPr>
          <t xml:space="preserve">
Source: Training data</t>
        </r>
      </text>
    </comment>
    <comment ref="F16" authorId="0" shapeId="0" xr:uid="{065E76CE-06D8-41DE-BE4C-A4B4B652767F}">
      <text>
        <r>
          <rPr>
            <b/>
            <sz val="9"/>
            <color indexed="81"/>
            <rFont val="Tahoma"/>
            <family val="2"/>
          </rPr>
          <t>Michael Ye:</t>
        </r>
        <r>
          <rPr>
            <sz val="9"/>
            <color indexed="81"/>
            <rFont val="Tahoma"/>
            <family val="2"/>
          </rPr>
          <t xml:space="preserve">
Out and back via Chantry Flats. Source: Training data</t>
        </r>
      </text>
    </comment>
    <comment ref="G16" authorId="0" shapeId="0" xr:uid="{7FC9A6A3-FE79-428C-ABBB-B80328FD6BD4}">
      <text>
        <r>
          <rPr>
            <b/>
            <sz val="9"/>
            <color indexed="81"/>
            <rFont val="Tahoma"/>
            <family val="2"/>
          </rPr>
          <t>Michael Ye:</t>
        </r>
        <r>
          <rPr>
            <sz val="9"/>
            <color indexed="81"/>
            <rFont val="Tahoma"/>
            <family val="2"/>
          </rPr>
          <t xml:space="preserve">
Source: Training data</t>
        </r>
      </text>
    </comment>
    <comment ref="F17" authorId="0" shapeId="0" xr:uid="{2CB9AE9B-6902-4AC3-8CFF-9CC7253F9FB0}">
      <text>
        <r>
          <rPr>
            <b/>
            <sz val="9"/>
            <color indexed="81"/>
            <rFont val="Tahoma"/>
            <family val="2"/>
          </rPr>
          <t>Michael Ye:</t>
        </r>
        <r>
          <rPr>
            <sz val="9"/>
            <color indexed="81"/>
            <rFont val="Tahoma"/>
            <family val="2"/>
          </rPr>
          <t xml:space="preserve">
Out and back. Source: Training data</t>
        </r>
      </text>
    </comment>
    <comment ref="G17" authorId="0" shapeId="0" xr:uid="{6A1EB89F-D367-4614-98D3-6C384FF3EFC9}">
      <text>
        <r>
          <rPr>
            <b/>
            <sz val="9"/>
            <color indexed="81"/>
            <rFont val="Tahoma"/>
            <family val="2"/>
          </rPr>
          <t>Michael Ye:</t>
        </r>
        <r>
          <rPr>
            <sz val="9"/>
            <color indexed="81"/>
            <rFont val="Tahoma"/>
            <family val="2"/>
          </rPr>
          <t xml:space="preserve">
Source: Training data</t>
        </r>
      </text>
    </comment>
    <comment ref="F18" authorId="0" shapeId="0" xr:uid="{A0C8C56B-A5F3-4DB7-BD9A-F2DAF3FAE349}">
      <text>
        <r>
          <rPr>
            <b/>
            <sz val="9"/>
            <color indexed="81"/>
            <rFont val="Tahoma"/>
            <family val="2"/>
          </rPr>
          <t>Michael Ye:</t>
        </r>
        <r>
          <rPr>
            <sz val="9"/>
            <color indexed="81"/>
            <rFont val="Tahoma"/>
            <family val="2"/>
          </rPr>
          <t xml:space="preserve">
Out and back. Source: Training data</t>
        </r>
      </text>
    </comment>
    <comment ref="G18" authorId="0" shapeId="0" xr:uid="{559041EA-1BA7-4763-84F5-BBA3709BECC3}">
      <text>
        <r>
          <rPr>
            <b/>
            <sz val="9"/>
            <color indexed="81"/>
            <rFont val="Tahoma"/>
            <family val="2"/>
          </rPr>
          <t>Michael Ye:</t>
        </r>
        <r>
          <rPr>
            <sz val="9"/>
            <color indexed="81"/>
            <rFont val="Tahoma"/>
            <family val="2"/>
          </rPr>
          <t xml:space="preserve">
Source: Training data</t>
        </r>
      </text>
    </comment>
    <comment ref="F19" authorId="0" shapeId="0" xr:uid="{B076521B-AF92-4A23-B8A7-64E6420B3E8B}">
      <text>
        <r>
          <rPr>
            <b/>
            <sz val="9"/>
            <color indexed="81"/>
            <rFont val="Tahoma"/>
            <family val="2"/>
          </rPr>
          <t>Michael Ye:</t>
        </r>
        <r>
          <rPr>
            <sz val="9"/>
            <color indexed="81"/>
            <rFont val="Tahoma"/>
            <family val="2"/>
          </rPr>
          <t xml:space="preserve">
Out and back via Ski Hut. Source: Training data</t>
        </r>
      </text>
    </comment>
    <comment ref="G19" authorId="0" shapeId="0" xr:uid="{352CDC05-DF9A-459A-BD0F-41D6C6E599FC}">
      <text>
        <r>
          <rPr>
            <b/>
            <sz val="9"/>
            <color indexed="81"/>
            <rFont val="Tahoma"/>
            <family val="2"/>
          </rPr>
          <t>Michael Ye:</t>
        </r>
        <r>
          <rPr>
            <sz val="9"/>
            <color indexed="81"/>
            <rFont val="Tahoma"/>
            <family val="2"/>
          </rPr>
          <t xml:space="preserve">
Source: Training data</t>
        </r>
      </text>
    </comment>
    <comment ref="F20" authorId="0" shapeId="0" xr:uid="{2350F415-9A77-4632-98F9-DF774E143D90}">
      <text>
        <r>
          <rPr>
            <b/>
            <sz val="9"/>
            <color indexed="81"/>
            <rFont val="Tahoma"/>
            <family val="2"/>
          </rPr>
          <t>Michael Ye:</t>
        </r>
        <r>
          <rPr>
            <sz val="9"/>
            <color indexed="81"/>
            <rFont val="Tahoma"/>
            <family val="2"/>
          </rPr>
          <t xml:space="preserve">
Out and back via Register Ridge. Source: Training data</t>
        </r>
      </text>
    </comment>
    <comment ref="G20" authorId="0" shapeId="0" xr:uid="{653EAEAA-5AB0-4D23-88D6-F57451097CA3}">
      <text>
        <r>
          <rPr>
            <b/>
            <sz val="9"/>
            <color indexed="81"/>
            <rFont val="Tahoma"/>
            <family val="2"/>
          </rPr>
          <t>Michael Ye:</t>
        </r>
        <r>
          <rPr>
            <sz val="9"/>
            <color indexed="81"/>
            <rFont val="Tahoma"/>
            <family val="2"/>
          </rPr>
          <t xml:space="preserve">
Source: Training data</t>
        </r>
      </text>
    </comment>
    <comment ref="F21" authorId="0" shapeId="0" xr:uid="{2889B14A-2079-4524-9B5B-617264BC370A}">
      <text>
        <r>
          <rPr>
            <b/>
            <sz val="9"/>
            <color indexed="81"/>
            <rFont val="Tahoma"/>
            <family val="2"/>
          </rPr>
          <t>Michael Ye:</t>
        </r>
        <r>
          <rPr>
            <sz val="9"/>
            <color indexed="81"/>
            <rFont val="Tahoma"/>
            <family val="2"/>
          </rPr>
          <t xml:space="preserve">
Out and back. Source: Training data</t>
        </r>
      </text>
    </comment>
    <comment ref="G21" authorId="0" shapeId="0" xr:uid="{BACF1948-83DD-412D-89E4-A2DD5CB2B91C}">
      <text>
        <r>
          <rPr>
            <b/>
            <sz val="9"/>
            <color indexed="81"/>
            <rFont val="Tahoma"/>
            <family val="2"/>
          </rPr>
          <t>Michael Ye:</t>
        </r>
        <r>
          <rPr>
            <sz val="9"/>
            <color indexed="81"/>
            <rFont val="Tahoma"/>
            <family val="2"/>
          </rPr>
          <t xml:space="preserve">
Source: Training data</t>
        </r>
      </text>
    </comment>
    <comment ref="F22" authorId="0" shapeId="0" xr:uid="{77EDF759-5C21-4E5C-B883-C6E6084C2E44}">
      <text>
        <r>
          <rPr>
            <b/>
            <sz val="9"/>
            <color indexed="81"/>
            <rFont val="Tahoma"/>
            <family val="2"/>
          </rPr>
          <t>Michael Ye:</t>
        </r>
        <r>
          <rPr>
            <sz val="9"/>
            <color indexed="81"/>
            <rFont val="Tahoma"/>
            <family val="2"/>
          </rPr>
          <t xml:space="preserve">
Out and back. Source: Training data</t>
        </r>
      </text>
    </comment>
    <comment ref="G22" authorId="0" shapeId="0" xr:uid="{AEECCD98-7A2B-415D-86AA-69B3BE9594A7}">
      <text>
        <r>
          <rPr>
            <b/>
            <sz val="9"/>
            <color indexed="81"/>
            <rFont val="Tahoma"/>
            <family val="2"/>
          </rPr>
          <t>Michael Ye:</t>
        </r>
        <r>
          <rPr>
            <sz val="9"/>
            <color indexed="81"/>
            <rFont val="Tahoma"/>
            <family val="2"/>
          </rPr>
          <t xml:space="preserve">
Source: Training data</t>
        </r>
      </text>
    </comment>
    <comment ref="F23" authorId="0" shapeId="0" xr:uid="{E1294C89-502A-42D9-84B8-0C66C7AA3FFC}">
      <text>
        <r>
          <rPr>
            <b/>
            <sz val="9"/>
            <color indexed="81"/>
            <rFont val="Tahoma"/>
            <family val="2"/>
          </rPr>
          <t>Michael Ye:</t>
        </r>
        <r>
          <rPr>
            <sz val="9"/>
            <color indexed="81"/>
            <rFont val="Tahoma"/>
            <family val="2"/>
          </rPr>
          <t xml:space="preserve">
Out and back. Source: Training data</t>
        </r>
      </text>
    </comment>
    <comment ref="G23" authorId="0" shapeId="0" xr:uid="{F28E41CE-596C-4DC5-AC7F-611291813F89}">
      <text>
        <r>
          <rPr>
            <b/>
            <sz val="9"/>
            <color indexed="81"/>
            <rFont val="Tahoma"/>
            <family val="2"/>
          </rPr>
          <t>Michael Ye:</t>
        </r>
        <r>
          <rPr>
            <sz val="9"/>
            <color indexed="81"/>
            <rFont val="Tahoma"/>
            <family val="2"/>
          </rPr>
          <t xml:space="preserve">
Source: Training data</t>
        </r>
      </text>
    </comment>
    <comment ref="F24" authorId="0" shapeId="0" xr:uid="{0394C349-9D7C-4BDD-BAAA-65B87E0425C8}">
      <text>
        <r>
          <rPr>
            <b/>
            <sz val="9"/>
            <color indexed="81"/>
            <rFont val="Tahoma"/>
            <family val="2"/>
          </rPr>
          <t>Michael Ye:</t>
        </r>
        <r>
          <rPr>
            <sz val="9"/>
            <color indexed="81"/>
            <rFont val="Tahoma"/>
            <family val="2"/>
          </rPr>
          <t xml:space="preserve">
Out and back. Source: Training data</t>
        </r>
      </text>
    </comment>
    <comment ref="G24" authorId="0" shapeId="0" xr:uid="{A7DF8F09-AD7B-4D23-86AD-A4EC355AA96A}">
      <text>
        <r>
          <rPr>
            <b/>
            <sz val="9"/>
            <color indexed="81"/>
            <rFont val="Tahoma"/>
            <family val="2"/>
          </rPr>
          <t>Michael Ye:</t>
        </r>
        <r>
          <rPr>
            <sz val="9"/>
            <color indexed="81"/>
            <rFont val="Tahoma"/>
            <family val="2"/>
          </rPr>
          <t xml:space="preserve">
Source: Training data</t>
        </r>
      </text>
    </comment>
    <comment ref="F25" authorId="0" shapeId="0" xr:uid="{BBC9CCC7-715A-4AE7-B8DE-864E06D4AD08}">
      <text>
        <r>
          <rPr>
            <b/>
            <sz val="9"/>
            <color indexed="81"/>
            <rFont val="Tahoma"/>
            <family val="2"/>
          </rPr>
          <t>Michael Ye:</t>
        </r>
        <r>
          <rPr>
            <sz val="9"/>
            <color indexed="81"/>
            <rFont val="Tahoma"/>
            <family val="2"/>
          </rPr>
          <t xml:space="preserve">
Out and back. Source: Training data</t>
        </r>
      </text>
    </comment>
    <comment ref="G25" authorId="0" shapeId="0" xr:uid="{5EBCC060-0826-492A-921B-20B9124D79DF}">
      <text>
        <r>
          <rPr>
            <b/>
            <sz val="9"/>
            <color indexed="81"/>
            <rFont val="Tahoma"/>
            <family val="2"/>
          </rPr>
          <t>Michael Ye:</t>
        </r>
        <r>
          <rPr>
            <sz val="9"/>
            <color indexed="81"/>
            <rFont val="Tahoma"/>
            <family val="2"/>
          </rPr>
          <t xml:space="preserve">
Source: Training data</t>
        </r>
      </text>
    </comment>
    <comment ref="F26" authorId="0" shapeId="0" xr:uid="{C16728E6-021C-4EF8-A99D-E0B3BF500F7E}">
      <text>
        <r>
          <rPr>
            <b/>
            <sz val="9"/>
            <color indexed="81"/>
            <rFont val="Tahoma"/>
            <family val="2"/>
          </rPr>
          <t>Michael Ye:</t>
        </r>
        <r>
          <rPr>
            <sz val="9"/>
            <color indexed="81"/>
            <rFont val="Tahoma"/>
            <family val="2"/>
          </rPr>
          <t xml:space="preserve">
Out and back. Source: Training data</t>
        </r>
      </text>
    </comment>
    <comment ref="G26" authorId="0" shapeId="0" xr:uid="{0392460D-A957-42D3-8D93-A3EDC2448024}">
      <text>
        <r>
          <rPr>
            <b/>
            <sz val="9"/>
            <color indexed="81"/>
            <rFont val="Tahoma"/>
            <family val="2"/>
          </rPr>
          <t>Michael Ye:</t>
        </r>
        <r>
          <rPr>
            <sz val="9"/>
            <color indexed="81"/>
            <rFont val="Tahoma"/>
            <family val="2"/>
          </rPr>
          <t xml:space="preserve">
Source: Training data</t>
        </r>
      </text>
    </comment>
    <comment ref="F27" authorId="0" shapeId="0" xr:uid="{735EA1C4-3E01-4AD1-84AE-430E15A755F6}">
      <text>
        <r>
          <rPr>
            <b/>
            <sz val="9"/>
            <color indexed="81"/>
            <rFont val="Tahoma"/>
            <family val="2"/>
          </rPr>
          <t>Michael Ye:</t>
        </r>
        <r>
          <rPr>
            <sz val="9"/>
            <color indexed="81"/>
            <rFont val="Tahoma"/>
            <family val="2"/>
          </rPr>
          <t xml:space="preserve">
Out and back via Vivian Creek. Source: Training data</t>
        </r>
      </text>
    </comment>
    <comment ref="G27" authorId="0" shapeId="0" xr:uid="{FBE794B6-E631-4747-B3FD-9940C4F6E2A1}">
      <text>
        <r>
          <rPr>
            <b/>
            <sz val="9"/>
            <color indexed="81"/>
            <rFont val="Tahoma"/>
            <family val="2"/>
          </rPr>
          <t>Michael Ye:</t>
        </r>
        <r>
          <rPr>
            <sz val="9"/>
            <color indexed="81"/>
            <rFont val="Tahoma"/>
            <family val="2"/>
          </rPr>
          <t xml:space="preserve">
Source: Training data</t>
        </r>
      </text>
    </comment>
    <comment ref="F28" authorId="0" shapeId="0" xr:uid="{71BCECBB-4AAB-447B-9216-BCCB1436E303}">
      <text>
        <r>
          <rPr>
            <b/>
            <sz val="9"/>
            <color indexed="81"/>
            <rFont val="Tahoma"/>
            <family val="2"/>
          </rPr>
          <t>Michael Ye:</t>
        </r>
        <r>
          <rPr>
            <sz val="9"/>
            <color indexed="81"/>
            <rFont val="Tahoma"/>
            <family val="2"/>
          </rPr>
          <t xml:space="preserve">
Out and back. Source: Training data</t>
        </r>
      </text>
    </comment>
    <comment ref="G28" authorId="0" shapeId="0" xr:uid="{EBE1C4B4-90DD-4A34-B6E3-B5DF4225C63C}">
      <text>
        <r>
          <rPr>
            <b/>
            <sz val="9"/>
            <color indexed="81"/>
            <rFont val="Tahoma"/>
            <family val="2"/>
          </rPr>
          <t>Michael Ye:</t>
        </r>
        <r>
          <rPr>
            <sz val="9"/>
            <color indexed="81"/>
            <rFont val="Tahoma"/>
            <family val="2"/>
          </rPr>
          <t xml:space="preserve">
Source: Training data</t>
        </r>
      </text>
    </comment>
    <comment ref="F29" authorId="0" shapeId="0" xr:uid="{FF887AD8-641C-4892-9B40-3564B4CA24D8}">
      <text>
        <r>
          <rPr>
            <b/>
            <sz val="9"/>
            <color indexed="81"/>
            <rFont val="Tahoma"/>
            <family val="2"/>
          </rPr>
          <t>Michael Ye:</t>
        </r>
        <r>
          <rPr>
            <sz val="9"/>
            <color indexed="81"/>
            <rFont val="Tahoma"/>
            <family val="2"/>
          </rPr>
          <t xml:space="preserve">
Loop. Source: Training data</t>
        </r>
      </text>
    </comment>
    <comment ref="G29" authorId="0" shapeId="0" xr:uid="{F9C59752-C3D6-4B3E-AB33-B7E01AA967AE}">
      <text>
        <r>
          <rPr>
            <b/>
            <sz val="9"/>
            <color indexed="81"/>
            <rFont val="Tahoma"/>
            <family val="2"/>
          </rPr>
          <t>Michael Ye:</t>
        </r>
        <r>
          <rPr>
            <sz val="9"/>
            <color indexed="81"/>
            <rFont val="Tahoma"/>
            <family val="2"/>
          </rPr>
          <t xml:space="preserve">
Source: Training data</t>
        </r>
      </text>
    </comment>
    <comment ref="F30" authorId="0" shapeId="0" xr:uid="{E4FA5687-9E05-476F-BC36-9E03359AAF80}">
      <text>
        <r>
          <rPr>
            <b/>
            <sz val="9"/>
            <color indexed="81"/>
            <rFont val="Tahoma"/>
            <family val="2"/>
          </rPr>
          <t>Michael Ye:</t>
        </r>
        <r>
          <rPr>
            <sz val="9"/>
            <color indexed="81"/>
            <rFont val="Tahoma"/>
            <family val="2"/>
          </rPr>
          <t xml:space="preserve">
Loop. Source: Training data</t>
        </r>
      </text>
    </comment>
    <comment ref="G30" authorId="0" shapeId="0" xr:uid="{2366B67E-3D5B-4BC4-AC1D-CC250C5CEDFA}">
      <text>
        <r>
          <rPr>
            <b/>
            <sz val="9"/>
            <color indexed="81"/>
            <rFont val="Tahoma"/>
            <family val="2"/>
          </rPr>
          <t>Michael Ye:</t>
        </r>
        <r>
          <rPr>
            <sz val="9"/>
            <color indexed="81"/>
            <rFont val="Tahoma"/>
            <family val="2"/>
          </rPr>
          <t xml:space="preserve">
Source: Training data</t>
        </r>
      </text>
    </comment>
    <comment ref="F31" authorId="0" shapeId="0" xr:uid="{6F631E46-5920-4625-BA9C-A36F42DEF92F}">
      <text>
        <r>
          <rPr>
            <b/>
            <sz val="9"/>
            <color indexed="81"/>
            <rFont val="Tahoma"/>
            <family val="2"/>
          </rPr>
          <t>Michael Ye:</t>
        </r>
        <r>
          <rPr>
            <sz val="9"/>
            <color indexed="81"/>
            <rFont val="Tahoma"/>
            <family val="2"/>
          </rPr>
          <t xml:space="preserve">
Loop. Source: Training data</t>
        </r>
      </text>
    </comment>
    <comment ref="G31" authorId="0" shapeId="0" xr:uid="{84A8353D-BB8F-48D6-A1D9-E07BA48F544A}">
      <text>
        <r>
          <rPr>
            <b/>
            <sz val="9"/>
            <color indexed="81"/>
            <rFont val="Tahoma"/>
            <family val="2"/>
          </rPr>
          <t>Michael Ye:</t>
        </r>
        <r>
          <rPr>
            <sz val="9"/>
            <color indexed="81"/>
            <rFont val="Tahoma"/>
            <family val="2"/>
          </rPr>
          <t xml:space="preserve">
Source: Training data</t>
        </r>
      </text>
    </comment>
    <comment ref="F32" authorId="0" shapeId="0" xr:uid="{7018B3F2-1981-4310-BB5A-A7AD9978BDF8}">
      <text>
        <r>
          <rPr>
            <b/>
            <sz val="9"/>
            <color indexed="81"/>
            <rFont val="Tahoma"/>
            <family val="2"/>
          </rPr>
          <t>Michael Ye:</t>
        </r>
        <r>
          <rPr>
            <sz val="9"/>
            <color indexed="81"/>
            <rFont val="Tahoma"/>
            <family val="2"/>
          </rPr>
          <t xml:space="preserve">
Out and back. Source: Training data</t>
        </r>
      </text>
    </comment>
    <comment ref="G32" authorId="0" shapeId="0" xr:uid="{F7CA53D6-AEC9-4522-99C0-161D31D682FC}">
      <text>
        <r>
          <rPr>
            <b/>
            <sz val="9"/>
            <color indexed="81"/>
            <rFont val="Tahoma"/>
            <family val="2"/>
          </rPr>
          <t>Michael Ye:</t>
        </r>
        <r>
          <rPr>
            <sz val="9"/>
            <color indexed="81"/>
            <rFont val="Tahoma"/>
            <family val="2"/>
          </rPr>
          <t xml:space="preserve">
Source: Training data</t>
        </r>
      </text>
    </comment>
    <comment ref="F33" authorId="0" shapeId="0" xr:uid="{5BC8AE19-D3A8-4905-9FD9-5A4F0E8C50A2}">
      <text>
        <r>
          <rPr>
            <b/>
            <sz val="9"/>
            <color indexed="81"/>
            <rFont val="Tahoma"/>
            <family val="2"/>
          </rPr>
          <t>Michael Ye:</t>
        </r>
        <r>
          <rPr>
            <sz val="9"/>
            <color indexed="81"/>
            <rFont val="Tahoma"/>
            <family val="2"/>
          </rPr>
          <t xml:space="preserve">
Out and back. Source: Training data</t>
        </r>
      </text>
    </comment>
    <comment ref="G33" authorId="0" shapeId="0" xr:uid="{EB2CBC07-0776-4FB6-BB24-C133113837FF}">
      <text>
        <r>
          <rPr>
            <b/>
            <sz val="9"/>
            <color indexed="81"/>
            <rFont val="Tahoma"/>
            <family val="2"/>
          </rPr>
          <t>Michael Ye:</t>
        </r>
        <r>
          <rPr>
            <sz val="9"/>
            <color indexed="81"/>
            <rFont val="Tahoma"/>
            <family val="2"/>
          </rPr>
          <t xml:space="preserve">
Source: Training data</t>
        </r>
      </text>
    </comment>
    <comment ref="F34" authorId="0" shapeId="0" xr:uid="{A6A6794F-0396-42BE-99A7-B4FA048BF926}">
      <text>
        <r>
          <rPr>
            <b/>
            <sz val="9"/>
            <color indexed="81"/>
            <rFont val="Tahoma"/>
            <family val="2"/>
          </rPr>
          <t>Michael Ye:</t>
        </r>
        <r>
          <rPr>
            <sz val="9"/>
            <color indexed="81"/>
            <rFont val="Tahoma"/>
            <family val="2"/>
          </rPr>
          <t xml:space="preserve">
Out and back. Source: Training data</t>
        </r>
      </text>
    </comment>
    <comment ref="G34" authorId="0" shapeId="0" xr:uid="{F533B646-2FD4-4968-BC70-0BB6E90A3407}">
      <text>
        <r>
          <rPr>
            <b/>
            <sz val="9"/>
            <color indexed="81"/>
            <rFont val="Tahoma"/>
            <family val="2"/>
          </rPr>
          <t>Michael Ye:</t>
        </r>
        <r>
          <rPr>
            <sz val="9"/>
            <color indexed="81"/>
            <rFont val="Tahoma"/>
            <family val="2"/>
          </rPr>
          <t xml:space="preserve">
Source: Training data</t>
        </r>
      </text>
    </comment>
    <comment ref="F35" authorId="0" shapeId="0" xr:uid="{A54CF281-330C-44D2-BC3E-B9CDC1FE1B32}">
      <text>
        <r>
          <rPr>
            <b/>
            <sz val="9"/>
            <color indexed="81"/>
            <rFont val="Tahoma"/>
            <family val="2"/>
          </rPr>
          <t>Michael Ye:</t>
        </r>
        <r>
          <rPr>
            <sz val="9"/>
            <color indexed="81"/>
            <rFont val="Tahoma"/>
            <family val="2"/>
          </rPr>
          <t xml:space="preserve">
Loop segment. Source: Training data</t>
        </r>
      </text>
    </comment>
    <comment ref="G35" authorId="0" shapeId="0" xr:uid="{D23B6E7E-57F5-4052-BF4E-2EC87DC280DA}">
      <text>
        <r>
          <rPr>
            <b/>
            <sz val="9"/>
            <color indexed="81"/>
            <rFont val="Tahoma"/>
            <family val="2"/>
          </rPr>
          <t>Michael Ye:</t>
        </r>
        <r>
          <rPr>
            <sz val="9"/>
            <color indexed="81"/>
            <rFont val="Tahoma"/>
            <family val="2"/>
          </rPr>
          <t xml:space="preserve">
Source: Training data</t>
        </r>
      </text>
    </comment>
    <comment ref="F36" authorId="0" shapeId="0" xr:uid="{327714A8-44BC-43E0-9D60-DF418369946E}">
      <text>
        <r>
          <rPr>
            <b/>
            <sz val="9"/>
            <color indexed="81"/>
            <rFont val="Tahoma"/>
            <family val="2"/>
          </rPr>
          <t>Michael Ye:</t>
        </r>
        <r>
          <rPr>
            <sz val="9"/>
            <color indexed="81"/>
            <rFont val="Tahoma"/>
            <family val="2"/>
          </rPr>
          <t xml:space="preserve">
Out and back to falls. Source: Training data</t>
        </r>
      </text>
    </comment>
    <comment ref="G36" authorId="0" shapeId="0" xr:uid="{FA4838D3-B4C6-476A-B25B-A507B4CA04F7}">
      <text>
        <r>
          <rPr>
            <b/>
            <sz val="9"/>
            <color indexed="81"/>
            <rFont val="Tahoma"/>
            <family val="2"/>
          </rPr>
          <t>Michael Ye:</t>
        </r>
        <r>
          <rPr>
            <sz val="9"/>
            <color indexed="81"/>
            <rFont val="Tahoma"/>
            <family val="2"/>
          </rPr>
          <t xml:space="preserve">
Source: Training data</t>
        </r>
      </text>
    </comment>
    <comment ref="F37" authorId="0" shapeId="0" xr:uid="{C0182C7C-2729-4F9A-BA9C-1EF8CB8704F4}">
      <text>
        <r>
          <rPr>
            <b/>
            <sz val="9"/>
            <color indexed="81"/>
            <rFont val="Tahoma"/>
            <family val="2"/>
          </rPr>
          <t>Michael Ye:</t>
        </r>
        <r>
          <rPr>
            <sz val="9"/>
            <color indexed="81"/>
            <rFont val="Tahoma"/>
            <family val="2"/>
          </rPr>
          <t xml:space="preserve">
Out and back to falls. Source: Training data</t>
        </r>
      </text>
    </comment>
    <comment ref="G37" authorId="0" shapeId="0" xr:uid="{06665784-205C-472F-809F-393804B7A8AA}">
      <text>
        <r>
          <rPr>
            <b/>
            <sz val="9"/>
            <color indexed="81"/>
            <rFont val="Tahoma"/>
            <family val="2"/>
          </rPr>
          <t>Michael Ye:</t>
        </r>
        <r>
          <rPr>
            <sz val="9"/>
            <color indexed="81"/>
            <rFont val="Tahoma"/>
            <family val="2"/>
          </rPr>
          <t xml:space="preserve">
Source: Training data</t>
        </r>
      </text>
    </comment>
    <comment ref="F38" authorId="0" shapeId="0" xr:uid="{B17BC4AE-AA6A-4D3B-A374-6A6A39950CE7}">
      <text>
        <r>
          <rPr>
            <b/>
            <sz val="9"/>
            <color indexed="81"/>
            <rFont val="Tahoma"/>
            <family val="2"/>
          </rPr>
          <t>Michael Ye:</t>
        </r>
        <r>
          <rPr>
            <sz val="9"/>
            <color indexed="81"/>
            <rFont val="Tahoma"/>
            <family val="2"/>
          </rPr>
          <t xml:space="preserve">
Out and back to peak. Source: Training data</t>
        </r>
      </text>
    </comment>
    <comment ref="G38" authorId="0" shapeId="0" xr:uid="{86C19AB9-5499-40F2-BFC5-5003D75C7E7F}">
      <text>
        <r>
          <rPr>
            <b/>
            <sz val="9"/>
            <color indexed="81"/>
            <rFont val="Tahoma"/>
            <family val="2"/>
          </rPr>
          <t>Michael Ye:</t>
        </r>
        <r>
          <rPr>
            <sz val="9"/>
            <color indexed="81"/>
            <rFont val="Tahoma"/>
            <family val="2"/>
          </rPr>
          <t xml:space="preserve">
Source: Training data</t>
        </r>
      </text>
    </comment>
    <comment ref="F39" authorId="0" shapeId="0" xr:uid="{C2FD5F42-8754-4B75-9C0E-23A64B9B12A5}">
      <text>
        <r>
          <rPr>
            <b/>
            <sz val="9"/>
            <color indexed="81"/>
            <rFont val="Tahoma"/>
            <family val="2"/>
          </rPr>
          <t>Michael Ye:</t>
        </r>
        <r>
          <rPr>
            <sz val="9"/>
            <color indexed="81"/>
            <rFont val="Tahoma"/>
            <family val="2"/>
          </rPr>
          <t xml:space="preserve">
Loop. Source: Training data</t>
        </r>
      </text>
    </comment>
    <comment ref="G39" authorId="0" shapeId="0" xr:uid="{255D2091-8C08-4BC6-9DD4-987BAAFC84F6}">
      <text>
        <r>
          <rPr>
            <b/>
            <sz val="9"/>
            <color indexed="81"/>
            <rFont val="Tahoma"/>
            <family val="2"/>
          </rPr>
          <t>Michael Ye:</t>
        </r>
        <r>
          <rPr>
            <sz val="9"/>
            <color indexed="81"/>
            <rFont val="Tahoma"/>
            <family val="2"/>
          </rPr>
          <t xml:space="preserve">
Source: Training data</t>
        </r>
      </text>
    </comment>
    <comment ref="F40" authorId="0" shapeId="0" xr:uid="{DD956471-05FD-475B-B582-60C3AF01C51B}">
      <text>
        <r>
          <rPr>
            <b/>
            <sz val="9"/>
            <color indexed="81"/>
            <rFont val="Tahoma"/>
            <family val="2"/>
          </rPr>
          <t>Michael Ye:</t>
        </r>
        <r>
          <rPr>
            <sz val="9"/>
            <color indexed="81"/>
            <rFont val="Tahoma"/>
            <family val="2"/>
          </rPr>
          <t xml:space="preserve">
Loop. Source: Training data</t>
        </r>
      </text>
    </comment>
    <comment ref="G40" authorId="0" shapeId="0" xr:uid="{11FBD329-E3AA-47F7-A2CE-C0123BFF94C5}">
      <text>
        <r>
          <rPr>
            <b/>
            <sz val="9"/>
            <color indexed="81"/>
            <rFont val="Tahoma"/>
            <family val="2"/>
          </rPr>
          <t>Michael Ye:</t>
        </r>
        <r>
          <rPr>
            <sz val="9"/>
            <color indexed="81"/>
            <rFont val="Tahoma"/>
            <family val="2"/>
          </rPr>
          <t xml:space="preserve">
Source: Training data</t>
        </r>
      </text>
    </comment>
    <comment ref="F41" authorId="0" shapeId="0" xr:uid="{0B9A4A74-854F-47BA-8855-4E49D5DC6455}">
      <text>
        <r>
          <rPr>
            <b/>
            <sz val="9"/>
            <color indexed="81"/>
            <rFont val="Tahoma"/>
            <family val="2"/>
          </rPr>
          <t>Michael Ye:</t>
        </r>
        <r>
          <rPr>
            <sz val="9"/>
            <color indexed="81"/>
            <rFont val="Tahoma"/>
            <family val="2"/>
          </rPr>
          <t xml:space="preserve">
Loop. Source: Training data</t>
        </r>
      </text>
    </comment>
    <comment ref="G41" authorId="0" shapeId="0" xr:uid="{19405B5C-3597-4775-9FF6-D61C3C6ABC78}">
      <text>
        <r>
          <rPr>
            <b/>
            <sz val="9"/>
            <color indexed="81"/>
            <rFont val="Tahoma"/>
            <family val="2"/>
          </rPr>
          <t>Michael Ye:</t>
        </r>
        <r>
          <rPr>
            <sz val="9"/>
            <color indexed="81"/>
            <rFont val="Tahoma"/>
            <family val="2"/>
          </rPr>
          <t xml:space="preserve">
Source: Training data</t>
        </r>
      </text>
    </comment>
    <comment ref="F42" authorId="0" shapeId="0" xr:uid="{0300B367-B089-4579-8CF4-D9CEEEEB4186}">
      <text>
        <r>
          <rPr>
            <b/>
            <sz val="9"/>
            <color indexed="81"/>
            <rFont val="Tahoma"/>
            <family val="2"/>
          </rPr>
          <t>Michael Ye:</t>
        </r>
        <r>
          <rPr>
            <sz val="9"/>
            <color indexed="81"/>
            <rFont val="Tahoma"/>
            <family val="2"/>
          </rPr>
          <t xml:space="preserve">
Out and back. Source: Training data</t>
        </r>
      </text>
    </comment>
    <comment ref="G42" authorId="0" shapeId="0" xr:uid="{3DDEEF92-2845-4819-B842-CC178096675B}">
      <text>
        <r>
          <rPr>
            <b/>
            <sz val="9"/>
            <color indexed="81"/>
            <rFont val="Tahoma"/>
            <family val="2"/>
          </rPr>
          <t>Michael Ye:</t>
        </r>
        <r>
          <rPr>
            <sz val="9"/>
            <color indexed="81"/>
            <rFont val="Tahoma"/>
            <family val="2"/>
          </rPr>
          <t xml:space="preserve">
Source: Training data</t>
        </r>
      </text>
    </comment>
    <comment ref="F43" authorId="0" shapeId="0" xr:uid="{8D9EFE6A-6710-499B-B348-B0D56744497A}">
      <text>
        <r>
          <rPr>
            <b/>
            <sz val="9"/>
            <color indexed="81"/>
            <rFont val="Tahoma"/>
            <family val="2"/>
          </rPr>
          <t>Michael Ye:</t>
        </r>
        <r>
          <rPr>
            <sz val="9"/>
            <color indexed="81"/>
            <rFont val="Tahoma"/>
            <family val="2"/>
          </rPr>
          <t xml:space="preserve">
Out and back via Mitchell Canyon. Source: Training data</t>
        </r>
      </text>
    </comment>
    <comment ref="G43" authorId="0" shapeId="0" xr:uid="{6CB556E2-5964-41B6-954A-D211839AC53C}">
      <text>
        <r>
          <rPr>
            <b/>
            <sz val="9"/>
            <color indexed="81"/>
            <rFont val="Tahoma"/>
            <family val="2"/>
          </rPr>
          <t>Michael Ye:</t>
        </r>
        <r>
          <rPr>
            <sz val="9"/>
            <color indexed="81"/>
            <rFont val="Tahoma"/>
            <family val="2"/>
          </rPr>
          <t xml:space="preserve">
Source: Training data</t>
        </r>
      </text>
    </comment>
    <comment ref="F44" authorId="0" shapeId="0" xr:uid="{8D264842-1027-43DA-945D-7D6AFD98397A}">
      <text>
        <r>
          <rPr>
            <b/>
            <sz val="9"/>
            <color indexed="81"/>
            <rFont val="Tahoma"/>
            <family val="2"/>
          </rPr>
          <t>Michael Ye:</t>
        </r>
        <r>
          <rPr>
            <sz val="9"/>
            <color indexed="81"/>
            <rFont val="Tahoma"/>
            <family val="2"/>
          </rPr>
          <t xml:space="preserve">
Classic segment one-way (often shuttled). Source: Training data</t>
        </r>
      </text>
    </comment>
    <comment ref="G44" authorId="0" shapeId="0" xr:uid="{04C7694A-F7FF-49A2-9CE0-CA81676FAABA}">
      <text>
        <r>
          <rPr>
            <b/>
            <sz val="9"/>
            <color indexed="81"/>
            <rFont val="Tahoma"/>
            <family val="2"/>
          </rPr>
          <t>Michael Ye:</t>
        </r>
        <r>
          <rPr>
            <sz val="9"/>
            <color indexed="81"/>
            <rFont val="Tahoma"/>
            <family val="2"/>
          </rPr>
          <t xml:space="preserve">
Source: Training data</t>
        </r>
      </text>
    </comment>
    <comment ref="F45" authorId="0" shapeId="0" xr:uid="{45F3FDDE-D602-4633-A69C-CF9D99931B8E}">
      <text>
        <r>
          <rPr>
            <b/>
            <sz val="9"/>
            <color indexed="81"/>
            <rFont val="Tahoma"/>
            <family val="2"/>
          </rPr>
          <t>Michael Ye:</t>
        </r>
        <r>
          <rPr>
            <sz val="9"/>
            <color indexed="81"/>
            <rFont val="Tahoma"/>
            <family val="2"/>
          </rPr>
          <t xml:space="preserve">
Loop. Source: Training data</t>
        </r>
      </text>
    </comment>
    <comment ref="G45" authorId="0" shapeId="0" xr:uid="{6F2A1A27-092A-443E-80CF-2E15799AB632}">
      <text>
        <r>
          <rPr>
            <b/>
            <sz val="9"/>
            <color indexed="81"/>
            <rFont val="Tahoma"/>
            <family val="2"/>
          </rPr>
          <t>Michael Ye:</t>
        </r>
        <r>
          <rPr>
            <sz val="9"/>
            <color indexed="81"/>
            <rFont val="Tahoma"/>
            <family val="2"/>
          </rPr>
          <t xml:space="preserve">
Source: Training data</t>
        </r>
      </text>
    </comment>
    <comment ref="F46" authorId="0" shapeId="0" xr:uid="{6AD27DCC-8DE1-4B32-B04B-88C9BCFF2775}">
      <text>
        <r>
          <rPr>
            <b/>
            <sz val="9"/>
            <color indexed="81"/>
            <rFont val="Tahoma"/>
            <family val="2"/>
          </rPr>
          <t>Michael Ye:</t>
        </r>
        <r>
          <rPr>
            <sz val="9"/>
            <color indexed="81"/>
            <rFont val="Tahoma"/>
            <family val="2"/>
          </rPr>
          <t xml:space="preserve">
Out and back. Source: Training data</t>
        </r>
      </text>
    </comment>
    <comment ref="G46" authorId="0" shapeId="0" xr:uid="{47399E85-947D-40EA-B2FC-47B81F5B24E1}">
      <text>
        <r>
          <rPr>
            <b/>
            <sz val="9"/>
            <color indexed="81"/>
            <rFont val="Tahoma"/>
            <family val="2"/>
          </rPr>
          <t>Michael Ye:</t>
        </r>
        <r>
          <rPr>
            <sz val="9"/>
            <color indexed="81"/>
            <rFont val="Tahoma"/>
            <family val="2"/>
          </rPr>
          <t xml:space="preserve">
Source: Training data</t>
        </r>
      </text>
    </comment>
    <comment ref="F47" authorId="0" shapeId="0" xr:uid="{01AAF9F3-4C89-4C9F-98BB-08C5D506BBAA}">
      <text>
        <r>
          <rPr>
            <b/>
            <sz val="9"/>
            <color indexed="81"/>
            <rFont val="Tahoma"/>
            <family val="2"/>
          </rPr>
          <t>Michael Ye:</t>
        </r>
        <r>
          <rPr>
            <sz val="9"/>
            <color indexed="81"/>
            <rFont val="Tahoma"/>
            <family val="2"/>
          </rPr>
          <t xml:space="preserve">
Out and back. Source: Training data</t>
        </r>
      </text>
    </comment>
    <comment ref="G47" authorId="0" shapeId="0" xr:uid="{3497EF0D-1454-4B4E-9556-D8D384D36A76}">
      <text>
        <r>
          <rPr>
            <b/>
            <sz val="9"/>
            <color indexed="81"/>
            <rFont val="Tahoma"/>
            <family val="2"/>
          </rPr>
          <t>Michael Ye:</t>
        </r>
        <r>
          <rPr>
            <sz val="9"/>
            <color indexed="81"/>
            <rFont val="Tahoma"/>
            <family val="2"/>
          </rPr>
          <t xml:space="preserve">
Source: Training data</t>
        </r>
      </text>
    </comment>
    <comment ref="F48" authorId="0" shapeId="0" xr:uid="{4F3D5027-86FA-4746-84B9-D4D86F6C619B}">
      <text>
        <r>
          <rPr>
            <b/>
            <sz val="9"/>
            <color indexed="81"/>
            <rFont val="Tahoma"/>
            <family val="2"/>
          </rPr>
          <t>Michael Ye:</t>
        </r>
        <r>
          <rPr>
            <sz val="9"/>
            <color indexed="81"/>
            <rFont val="Tahoma"/>
            <family val="2"/>
          </rPr>
          <t xml:space="preserve">
Out and back. Source: Training data</t>
        </r>
      </text>
    </comment>
    <comment ref="G48" authorId="0" shapeId="0" xr:uid="{6AE40F89-26AE-48BD-A026-1AB8A568113A}">
      <text>
        <r>
          <rPr>
            <b/>
            <sz val="9"/>
            <color indexed="81"/>
            <rFont val="Tahoma"/>
            <family val="2"/>
          </rPr>
          <t>Michael Ye:</t>
        </r>
        <r>
          <rPr>
            <sz val="9"/>
            <color indexed="81"/>
            <rFont val="Tahoma"/>
            <family val="2"/>
          </rPr>
          <t xml:space="preserve">
Source: Training data</t>
        </r>
      </text>
    </comment>
    <comment ref="F49" authorId="0" shapeId="0" xr:uid="{8FDE9034-55CC-4834-A014-8DFAEA64E6EA}">
      <text>
        <r>
          <rPr>
            <b/>
            <sz val="9"/>
            <color indexed="81"/>
            <rFont val="Tahoma"/>
            <family val="2"/>
          </rPr>
          <t>Michael Ye:</t>
        </r>
        <r>
          <rPr>
            <sz val="9"/>
            <color indexed="81"/>
            <rFont val="Tahoma"/>
            <family val="2"/>
          </rPr>
          <t xml:space="preserve">
Out and back (old trail). Source: Training data</t>
        </r>
      </text>
    </comment>
    <comment ref="G49" authorId="0" shapeId="0" xr:uid="{F519E84C-F5AF-41A4-ABEC-B7853A683352}">
      <text>
        <r>
          <rPr>
            <b/>
            <sz val="9"/>
            <color indexed="81"/>
            <rFont val="Tahoma"/>
            <family val="2"/>
          </rPr>
          <t>Michael Ye:</t>
        </r>
        <r>
          <rPr>
            <sz val="9"/>
            <color indexed="81"/>
            <rFont val="Tahoma"/>
            <family val="2"/>
          </rPr>
          <t xml:space="preserve">
Source: Training data</t>
        </r>
      </text>
    </comment>
    <comment ref="F50" authorId="0" shapeId="0" xr:uid="{FF489DDF-E9C9-4870-AE9F-087CA55E11AE}">
      <text>
        <r>
          <rPr>
            <b/>
            <sz val="9"/>
            <color indexed="81"/>
            <rFont val="Tahoma"/>
            <family val="2"/>
          </rPr>
          <t>Michael Ye:</t>
        </r>
        <r>
          <rPr>
            <sz val="9"/>
            <color indexed="81"/>
            <rFont val="Tahoma"/>
            <family val="2"/>
          </rPr>
          <t xml:space="preserve">
Out and back. Source: Training data</t>
        </r>
      </text>
    </comment>
    <comment ref="G50" authorId="0" shapeId="0" xr:uid="{8BB4419C-6E4E-43F8-A920-646112308513}">
      <text>
        <r>
          <rPr>
            <b/>
            <sz val="9"/>
            <color indexed="81"/>
            <rFont val="Tahoma"/>
            <family val="2"/>
          </rPr>
          <t>Michael Ye:</t>
        </r>
        <r>
          <rPr>
            <sz val="9"/>
            <color indexed="81"/>
            <rFont val="Tahoma"/>
            <family val="2"/>
          </rPr>
          <t xml:space="preserve">
Source: Training data</t>
        </r>
      </text>
    </comment>
    <comment ref="F51" authorId="0" shapeId="0" xr:uid="{C518970C-0C37-4EFA-A74A-3E394665DAE2}">
      <text>
        <r>
          <rPr>
            <b/>
            <sz val="9"/>
            <color indexed="81"/>
            <rFont val="Tahoma"/>
            <family val="2"/>
          </rPr>
          <t>Michael Ye:</t>
        </r>
        <r>
          <rPr>
            <sz val="9"/>
            <color indexed="81"/>
            <rFont val="Tahoma"/>
            <family val="2"/>
          </rPr>
          <t xml:space="preserve">
Out and back. Source: Training data</t>
        </r>
      </text>
    </comment>
    <comment ref="G51" authorId="0" shapeId="0" xr:uid="{4242C46C-85B9-45AF-A4BF-19A67610B519}">
      <text>
        <r>
          <rPr>
            <b/>
            <sz val="9"/>
            <color indexed="81"/>
            <rFont val="Tahoma"/>
            <family val="2"/>
          </rPr>
          <t>Michael Ye:</t>
        </r>
        <r>
          <rPr>
            <sz val="9"/>
            <color indexed="81"/>
            <rFont val="Tahoma"/>
            <family val="2"/>
          </rPr>
          <t xml:space="preserve">
Source: Training data</t>
        </r>
      </text>
    </comment>
    <comment ref="F52" authorId="0" shapeId="0" xr:uid="{DEBE6391-D139-4423-B0C7-38A17F174CF3}">
      <text>
        <r>
          <rPr>
            <b/>
            <sz val="9"/>
            <color indexed="81"/>
            <rFont val="Tahoma"/>
            <family val="2"/>
          </rPr>
          <t>Michael Ye:</t>
        </r>
        <r>
          <rPr>
            <sz val="9"/>
            <color indexed="81"/>
            <rFont val="Tahoma"/>
            <family val="2"/>
          </rPr>
          <t xml:space="preserve">
Segment estimate (Wildwood is 30+ mi total). Source: Training data</t>
        </r>
      </text>
    </comment>
    <comment ref="G52" authorId="0" shapeId="0" xr:uid="{A1D7D784-0E16-4F02-B909-174B40709DD9}">
      <text>
        <r>
          <rPr>
            <b/>
            <sz val="9"/>
            <color indexed="81"/>
            <rFont val="Tahoma"/>
            <family val="2"/>
          </rPr>
          <t>Michael Ye:</t>
        </r>
        <r>
          <rPr>
            <sz val="9"/>
            <color indexed="81"/>
            <rFont val="Tahoma"/>
            <family val="2"/>
          </rPr>
          <t xml:space="preserve">
Source: Training data</t>
        </r>
      </text>
    </comment>
    <comment ref="F53" authorId="0" shapeId="0" xr:uid="{3A635657-E647-49A2-8835-ECA4ACC0F8CB}">
      <text>
        <r>
          <rPr>
            <b/>
            <sz val="9"/>
            <color indexed="81"/>
            <rFont val="Tahoma"/>
            <family val="2"/>
          </rPr>
          <t>Michael Ye:</t>
        </r>
        <r>
          <rPr>
            <sz val="9"/>
            <color indexed="81"/>
            <rFont val="Tahoma"/>
            <family val="2"/>
          </rPr>
          <t xml:space="preserve">
Out and back. Source: Training data</t>
        </r>
      </text>
    </comment>
    <comment ref="G53" authorId="0" shapeId="0" xr:uid="{90D1B230-F8A6-486C-A666-E1CBDCB603CE}">
      <text>
        <r>
          <rPr>
            <b/>
            <sz val="9"/>
            <color indexed="81"/>
            <rFont val="Tahoma"/>
            <family val="2"/>
          </rPr>
          <t>Michael Ye:</t>
        </r>
        <r>
          <rPr>
            <sz val="9"/>
            <color indexed="81"/>
            <rFont val="Tahoma"/>
            <family val="2"/>
          </rPr>
          <t xml:space="preserve">
Source: Training data</t>
        </r>
      </text>
    </comment>
    <comment ref="F54" authorId="0" shapeId="0" xr:uid="{B6950E58-0BEE-4BA1-9DDC-740B7A08A33B}">
      <text>
        <r>
          <rPr>
            <b/>
            <sz val="9"/>
            <color indexed="81"/>
            <rFont val="Tahoma"/>
            <family val="2"/>
          </rPr>
          <t>Michael Ye:</t>
        </r>
        <r>
          <rPr>
            <sz val="9"/>
            <color indexed="81"/>
            <rFont val="Tahoma"/>
            <family val="2"/>
          </rPr>
          <t xml:space="preserve">
Out and back. Source: Training data</t>
        </r>
      </text>
    </comment>
    <comment ref="G54" authorId="0" shapeId="0" xr:uid="{05A8E261-0523-4CFC-86B3-5D9CE4056642}">
      <text>
        <r>
          <rPr>
            <b/>
            <sz val="9"/>
            <color indexed="81"/>
            <rFont val="Tahoma"/>
            <family val="2"/>
          </rPr>
          <t>Michael Ye:</t>
        </r>
        <r>
          <rPr>
            <sz val="9"/>
            <color indexed="81"/>
            <rFont val="Tahoma"/>
            <family val="2"/>
          </rPr>
          <t xml:space="preserve">
Source: Training data</t>
        </r>
      </text>
    </comment>
    <comment ref="F55" authorId="0" shapeId="0" xr:uid="{EFA6C498-AA83-48A0-B92E-74E15EE948FF}">
      <text>
        <r>
          <rPr>
            <b/>
            <sz val="9"/>
            <color indexed="81"/>
            <rFont val="Tahoma"/>
            <family val="2"/>
          </rPr>
          <t>Michael Ye:</t>
        </r>
        <r>
          <rPr>
            <sz val="9"/>
            <color indexed="81"/>
            <rFont val="Tahoma"/>
            <family val="2"/>
          </rPr>
          <t xml:space="preserve">
Out and back to Punchbowl Falls. Source: Training data</t>
        </r>
      </text>
    </comment>
    <comment ref="G55" authorId="0" shapeId="0" xr:uid="{F8388174-35E7-40D9-84B8-152E71874D42}">
      <text>
        <r>
          <rPr>
            <b/>
            <sz val="9"/>
            <color indexed="81"/>
            <rFont val="Tahoma"/>
            <family val="2"/>
          </rPr>
          <t>Michael Ye:</t>
        </r>
        <r>
          <rPr>
            <sz val="9"/>
            <color indexed="81"/>
            <rFont val="Tahoma"/>
            <family val="2"/>
          </rPr>
          <t xml:space="preserve">
Source: Training data</t>
        </r>
      </text>
    </comment>
    <comment ref="F56" authorId="0" shapeId="0" xr:uid="{0EAFC96E-CA3C-4F4E-AD04-8733BD0C728E}">
      <text>
        <r>
          <rPr>
            <b/>
            <sz val="9"/>
            <color indexed="81"/>
            <rFont val="Tahoma"/>
            <family val="2"/>
          </rPr>
          <t>Michael Ye:</t>
        </r>
        <r>
          <rPr>
            <sz val="9"/>
            <color indexed="81"/>
            <rFont val="Tahoma"/>
            <family val="2"/>
          </rPr>
          <t xml:space="preserve">
Out and back to Flatirons viewpoint. Source: Training data</t>
        </r>
      </text>
    </comment>
    <comment ref="G56" authorId="0" shapeId="0" xr:uid="{2ADF958C-260E-405B-B393-7D595549E24F}">
      <text>
        <r>
          <rPr>
            <b/>
            <sz val="9"/>
            <color indexed="81"/>
            <rFont val="Tahoma"/>
            <family val="2"/>
          </rPr>
          <t>Michael Ye:</t>
        </r>
        <r>
          <rPr>
            <sz val="9"/>
            <color indexed="81"/>
            <rFont val="Tahoma"/>
            <family val="2"/>
          </rPr>
          <t xml:space="preserve">
Source: Training data</t>
        </r>
      </text>
    </comment>
    <comment ref="F57" authorId="0" shapeId="0" xr:uid="{64C4C204-D190-4F6D-9C7B-E1112187CBE2}">
      <text>
        <r>
          <rPr>
            <b/>
            <sz val="9"/>
            <color indexed="81"/>
            <rFont val="Tahoma"/>
            <family val="2"/>
          </rPr>
          <t>Michael Ye:</t>
        </r>
        <r>
          <rPr>
            <sz val="9"/>
            <color indexed="81"/>
            <rFont val="Tahoma"/>
            <family val="2"/>
          </rPr>
          <t xml:space="preserve">
Out and back. Source: Training data</t>
        </r>
      </text>
    </comment>
    <comment ref="G57" authorId="0" shapeId="0" xr:uid="{FAE3F880-CD69-411E-950B-0AC646155C9B}">
      <text>
        <r>
          <rPr>
            <b/>
            <sz val="9"/>
            <color indexed="81"/>
            <rFont val="Tahoma"/>
            <family val="2"/>
          </rPr>
          <t>Michael Ye:</t>
        </r>
        <r>
          <rPr>
            <sz val="9"/>
            <color indexed="81"/>
            <rFont val="Tahoma"/>
            <family val="2"/>
          </rPr>
          <t xml:space="preserve">
Source: Training data</t>
        </r>
      </text>
    </comment>
    <comment ref="F58" authorId="0" shapeId="0" xr:uid="{28D0713B-8919-4E64-88DB-7D173BF2C59C}">
      <text>
        <r>
          <rPr>
            <b/>
            <sz val="9"/>
            <color indexed="81"/>
            <rFont val="Tahoma"/>
            <family val="2"/>
          </rPr>
          <t>Michael Ye:</t>
        </r>
        <r>
          <rPr>
            <sz val="9"/>
            <color indexed="81"/>
            <rFont val="Tahoma"/>
            <family val="2"/>
          </rPr>
          <t xml:space="preserve">
Loop. Source: Training data</t>
        </r>
      </text>
    </comment>
    <comment ref="G58" authorId="0" shapeId="0" xr:uid="{39233591-A7CB-4F3D-9D06-3D4E0241716C}">
      <text>
        <r>
          <rPr>
            <b/>
            <sz val="9"/>
            <color indexed="81"/>
            <rFont val="Tahoma"/>
            <family val="2"/>
          </rPr>
          <t>Michael Ye:</t>
        </r>
        <r>
          <rPr>
            <sz val="9"/>
            <color indexed="81"/>
            <rFont val="Tahoma"/>
            <family val="2"/>
          </rPr>
          <t xml:space="preserve">
Source: Training data</t>
        </r>
      </text>
    </comment>
    <comment ref="F59" authorId="0" shapeId="0" xr:uid="{FCA48E36-7346-4B0C-A9FE-1140FC4BFBBA}">
      <text>
        <r>
          <rPr>
            <b/>
            <sz val="9"/>
            <color indexed="81"/>
            <rFont val="Tahoma"/>
            <family val="2"/>
          </rPr>
          <t>Michael Ye:</t>
        </r>
        <r>
          <rPr>
            <sz val="9"/>
            <color indexed="81"/>
            <rFont val="Tahoma"/>
            <family val="2"/>
          </rPr>
          <t xml:space="preserve">
Out and back. Source: Training data</t>
        </r>
      </text>
    </comment>
    <comment ref="G59" authorId="0" shapeId="0" xr:uid="{D592E863-0ECD-4915-BF81-B6795234E6A9}">
      <text>
        <r>
          <rPr>
            <b/>
            <sz val="9"/>
            <color indexed="81"/>
            <rFont val="Tahoma"/>
            <family val="2"/>
          </rPr>
          <t>Michael Ye:</t>
        </r>
        <r>
          <rPr>
            <sz val="9"/>
            <color indexed="81"/>
            <rFont val="Tahoma"/>
            <family val="2"/>
          </rPr>
          <t xml:space="preserve">
Source: Training data</t>
        </r>
      </text>
    </comment>
    <comment ref="F60" authorId="0" shapeId="0" xr:uid="{84E0D468-5C9D-4AC2-A2F8-C988DA07F5A7}">
      <text>
        <r>
          <rPr>
            <b/>
            <sz val="9"/>
            <color indexed="81"/>
            <rFont val="Tahoma"/>
            <family val="2"/>
          </rPr>
          <t>Michael Ye:</t>
        </r>
        <r>
          <rPr>
            <sz val="9"/>
            <color indexed="81"/>
            <rFont val="Tahoma"/>
            <family val="2"/>
          </rPr>
          <t xml:space="preserve">
Out and back via Shadow Canyon. Source: Training data</t>
        </r>
      </text>
    </comment>
    <comment ref="G60" authorId="0" shapeId="0" xr:uid="{448CDC36-837D-4EB1-87FD-E0D8D636BDD3}">
      <text>
        <r>
          <rPr>
            <b/>
            <sz val="9"/>
            <color indexed="81"/>
            <rFont val="Tahoma"/>
            <family val="2"/>
          </rPr>
          <t>Michael Ye:</t>
        </r>
        <r>
          <rPr>
            <sz val="9"/>
            <color indexed="81"/>
            <rFont val="Tahoma"/>
            <family val="2"/>
          </rPr>
          <t xml:space="preserve">
Source: Training data</t>
        </r>
      </text>
    </comment>
    <comment ref="F61" authorId="0" shapeId="0" xr:uid="{5A94478D-C661-41EF-A5C5-CC78ADFDFB71}">
      <text>
        <r>
          <rPr>
            <b/>
            <sz val="9"/>
            <color indexed="81"/>
            <rFont val="Tahoma"/>
            <family val="2"/>
          </rPr>
          <t>Michael Ye:</t>
        </r>
        <r>
          <rPr>
            <sz val="9"/>
            <color indexed="81"/>
            <rFont val="Tahoma"/>
            <family val="2"/>
          </rPr>
          <t xml:space="preserve">
Out and back via Echo Canyon. Source: Training data</t>
        </r>
      </text>
    </comment>
    <comment ref="G61" authorId="0" shapeId="0" xr:uid="{BBE5F7D4-4356-4354-86D7-3F0941692810}">
      <text>
        <r>
          <rPr>
            <b/>
            <sz val="9"/>
            <color indexed="81"/>
            <rFont val="Tahoma"/>
            <family val="2"/>
          </rPr>
          <t>Michael Ye:</t>
        </r>
        <r>
          <rPr>
            <sz val="9"/>
            <color indexed="81"/>
            <rFont val="Tahoma"/>
            <family val="2"/>
          </rPr>
          <t xml:space="preserve">
Source: Training data</t>
        </r>
      </text>
    </comment>
    <comment ref="F62" authorId="0" shapeId="0" xr:uid="{B5ABEE7C-C912-4B22-8AE0-D43C91C56C97}">
      <text>
        <r>
          <rPr>
            <b/>
            <sz val="9"/>
            <color indexed="81"/>
            <rFont val="Tahoma"/>
            <family val="2"/>
          </rPr>
          <t>Michael Ye:</t>
        </r>
        <r>
          <rPr>
            <sz val="9"/>
            <color indexed="81"/>
            <rFont val="Tahoma"/>
            <family val="2"/>
          </rPr>
          <t xml:space="preserve">
Out and back. Source: Training data</t>
        </r>
      </text>
    </comment>
    <comment ref="G62" authorId="0" shapeId="0" xr:uid="{AF618A64-9BFF-4D9C-8DB9-26E14C4C1A10}">
      <text>
        <r>
          <rPr>
            <b/>
            <sz val="9"/>
            <color indexed="81"/>
            <rFont val="Tahoma"/>
            <family val="2"/>
          </rPr>
          <t>Michael Ye:</t>
        </r>
        <r>
          <rPr>
            <sz val="9"/>
            <color indexed="81"/>
            <rFont val="Tahoma"/>
            <family val="2"/>
          </rPr>
          <t xml:space="preserve">
Source: Training data</t>
        </r>
      </text>
    </comment>
    <comment ref="F63" authorId="0" shapeId="0" xr:uid="{9A9CBFFC-5EFB-4325-A465-09587CD56D50}">
      <text>
        <r>
          <rPr>
            <b/>
            <sz val="9"/>
            <color indexed="81"/>
            <rFont val="Tahoma"/>
            <family val="2"/>
          </rPr>
          <t>Michael Ye:</t>
        </r>
        <r>
          <rPr>
            <sz val="9"/>
            <color indexed="81"/>
            <rFont val="Tahoma"/>
            <family val="2"/>
          </rPr>
          <t xml:space="preserve">
Segment estimate. Source: Training data</t>
        </r>
      </text>
    </comment>
    <comment ref="G63" authorId="0" shapeId="0" xr:uid="{40AEA9E1-4A90-45E6-ABFB-E2FA8F767A47}">
      <text>
        <r>
          <rPr>
            <b/>
            <sz val="9"/>
            <color indexed="81"/>
            <rFont val="Tahoma"/>
            <family val="2"/>
          </rPr>
          <t>Michael Ye:</t>
        </r>
        <r>
          <rPr>
            <sz val="9"/>
            <color indexed="81"/>
            <rFont val="Tahoma"/>
            <family val="2"/>
          </rPr>
          <t xml:space="preserve">
Source: Training data</t>
        </r>
      </text>
    </comment>
    <comment ref="F64" authorId="0" shapeId="0" xr:uid="{710FC02D-73E3-4205-9A9F-12CA764C1BDA}">
      <text>
        <r>
          <rPr>
            <b/>
            <sz val="9"/>
            <color indexed="81"/>
            <rFont val="Tahoma"/>
            <family val="2"/>
          </rPr>
          <t>Michael Ye:</t>
        </r>
        <r>
          <rPr>
            <sz val="9"/>
            <color indexed="81"/>
            <rFont val="Tahoma"/>
            <family val="2"/>
          </rPr>
          <t xml:space="preserve">
Out and back. Source: Training data</t>
        </r>
      </text>
    </comment>
    <comment ref="G64" authorId="0" shapeId="0" xr:uid="{F1BA2CEA-8DD9-4E9C-8122-0C5398B64977}">
      <text>
        <r>
          <rPr>
            <b/>
            <sz val="9"/>
            <color indexed="81"/>
            <rFont val="Tahoma"/>
            <family val="2"/>
          </rPr>
          <t>Michael Ye:</t>
        </r>
        <r>
          <rPr>
            <sz val="9"/>
            <color indexed="81"/>
            <rFont val="Tahoma"/>
            <family val="2"/>
          </rPr>
          <t xml:space="preserve">
Source: Training data</t>
        </r>
      </text>
    </comment>
    <comment ref="F65" authorId="0" shapeId="0" xr:uid="{C69696E7-076E-4C3D-96C7-48A178C9D457}">
      <text>
        <r>
          <rPr>
            <b/>
            <sz val="9"/>
            <color indexed="81"/>
            <rFont val="Tahoma"/>
            <family val="2"/>
          </rPr>
          <t>Michael Ye:</t>
        </r>
        <r>
          <rPr>
            <sz val="9"/>
            <color indexed="81"/>
            <rFont val="Tahoma"/>
            <family val="2"/>
          </rPr>
          <t xml:space="preserve">
Out and back. Source: Training data</t>
        </r>
      </text>
    </comment>
    <comment ref="G65" authorId="0" shapeId="0" xr:uid="{1CE5C3E7-9A6A-41A0-9C4E-AE190F228BC8}">
      <text>
        <r>
          <rPr>
            <b/>
            <sz val="9"/>
            <color indexed="81"/>
            <rFont val="Tahoma"/>
            <family val="2"/>
          </rPr>
          <t>Michael Ye:</t>
        </r>
        <r>
          <rPr>
            <sz val="9"/>
            <color indexed="81"/>
            <rFont val="Tahoma"/>
            <family val="2"/>
          </rPr>
          <t xml:space="preserve">
Source: Training data</t>
        </r>
      </text>
    </comment>
    <comment ref="F66" authorId="0" shapeId="0" xr:uid="{A8410DEB-DE7F-46F4-B776-08B70EAE8F92}">
      <text>
        <r>
          <rPr>
            <b/>
            <sz val="9"/>
            <color indexed="81"/>
            <rFont val="Tahoma"/>
            <family val="2"/>
          </rPr>
          <t>Michael Ye:</t>
        </r>
        <r>
          <rPr>
            <sz val="9"/>
            <color indexed="81"/>
            <rFont val="Tahoma"/>
            <family val="2"/>
          </rPr>
          <t xml:space="preserve">
Loop. Source: Training data</t>
        </r>
      </text>
    </comment>
    <comment ref="G66" authorId="0" shapeId="0" xr:uid="{6BC6DB8E-7293-4254-9B30-E11A86AE10BA}">
      <text>
        <r>
          <rPr>
            <b/>
            <sz val="9"/>
            <color indexed="81"/>
            <rFont val="Tahoma"/>
            <family val="2"/>
          </rPr>
          <t>Michael Ye:</t>
        </r>
        <r>
          <rPr>
            <sz val="9"/>
            <color indexed="81"/>
            <rFont val="Tahoma"/>
            <family val="2"/>
          </rPr>
          <t xml:space="preserve">
Source: Training data</t>
        </r>
      </text>
    </comment>
    <comment ref="F67" authorId="0" shapeId="0" xr:uid="{36C27940-ACB5-41A6-99EC-ED99D50B03E1}">
      <text>
        <r>
          <rPr>
            <b/>
            <sz val="9"/>
            <color indexed="81"/>
            <rFont val="Tahoma"/>
            <family val="2"/>
          </rPr>
          <t>Michael Ye:</t>
        </r>
        <r>
          <rPr>
            <sz val="9"/>
            <color indexed="81"/>
            <rFont val="Tahoma"/>
            <family val="2"/>
          </rPr>
          <t xml:space="preserve">
Out and back (South Loop full). Source: Training data</t>
        </r>
      </text>
    </comment>
    <comment ref="G67" authorId="0" shapeId="0" xr:uid="{61EA0BB8-2FCB-440B-B372-3BEA473AEB6A}">
      <text>
        <r>
          <rPr>
            <b/>
            <sz val="9"/>
            <color indexed="81"/>
            <rFont val="Tahoma"/>
            <family val="2"/>
          </rPr>
          <t>Michael Ye:</t>
        </r>
        <r>
          <rPr>
            <sz val="9"/>
            <color indexed="81"/>
            <rFont val="Tahoma"/>
            <family val="2"/>
          </rPr>
          <t xml:space="preserve">
Source: Training data</t>
        </r>
      </text>
    </comment>
    <comment ref="F68" authorId="0" shapeId="0" xr:uid="{2D93E60F-95E5-49B4-BEEC-D77C125FB91F}">
      <text>
        <r>
          <rPr>
            <b/>
            <sz val="9"/>
            <color indexed="81"/>
            <rFont val="Tahoma"/>
            <family val="2"/>
          </rPr>
          <t>Michael Ye:</t>
        </r>
        <r>
          <rPr>
            <sz val="9"/>
            <color indexed="81"/>
            <rFont val="Tahoma"/>
            <family val="2"/>
          </rPr>
          <t xml:space="preserve">
Out and back. Source: Training data</t>
        </r>
      </text>
    </comment>
    <comment ref="G68" authorId="0" shapeId="0" xr:uid="{A444E62C-1E55-4A19-915C-F8EB2786B903}">
      <text>
        <r>
          <rPr>
            <b/>
            <sz val="9"/>
            <color indexed="81"/>
            <rFont val="Tahoma"/>
            <family val="2"/>
          </rPr>
          <t>Michael Ye:</t>
        </r>
        <r>
          <rPr>
            <sz val="9"/>
            <color indexed="81"/>
            <rFont val="Tahoma"/>
            <family val="2"/>
          </rPr>
          <t xml:space="preserve">
Source: Training data</t>
        </r>
      </text>
    </comment>
    <comment ref="F69" authorId="0" shapeId="0" xr:uid="{45FE419A-FA09-4601-86CC-E03315197F7D}">
      <text>
        <r>
          <rPr>
            <b/>
            <sz val="9"/>
            <color indexed="81"/>
            <rFont val="Tahoma"/>
            <family val="2"/>
          </rPr>
          <t>Michael Ye:</t>
        </r>
        <r>
          <rPr>
            <sz val="9"/>
            <color indexed="81"/>
            <rFont val="Tahoma"/>
            <family val="2"/>
          </rPr>
          <t xml:space="preserve">
Out and back. Source: Training data</t>
        </r>
      </text>
    </comment>
    <comment ref="G69" authorId="0" shapeId="0" xr:uid="{BCAABFFE-4961-49B6-A2F6-F46D28F553C2}">
      <text>
        <r>
          <rPr>
            <b/>
            <sz val="9"/>
            <color indexed="81"/>
            <rFont val="Tahoma"/>
            <family val="2"/>
          </rPr>
          <t>Michael Ye:</t>
        </r>
        <r>
          <rPr>
            <sz val="9"/>
            <color indexed="81"/>
            <rFont val="Tahoma"/>
            <family val="2"/>
          </rPr>
          <t xml:space="preserve">
Source: Training data</t>
        </r>
      </text>
    </comment>
    <comment ref="F70" authorId="0" shapeId="0" xr:uid="{F546D51C-3228-45B8-A60B-E94EACE89107}">
      <text>
        <r>
          <rPr>
            <b/>
            <sz val="9"/>
            <color indexed="81"/>
            <rFont val="Tahoma"/>
            <family val="2"/>
          </rPr>
          <t>Michael Ye:</t>
        </r>
        <r>
          <rPr>
            <sz val="9"/>
            <color indexed="81"/>
            <rFont val="Tahoma"/>
            <family val="2"/>
          </rPr>
          <t xml:space="preserve">
Loop. Source: Training data</t>
        </r>
      </text>
    </comment>
    <comment ref="G70" authorId="0" shapeId="0" xr:uid="{59A3D2E4-FB29-4FAF-B2A2-41465CEEB949}">
      <text>
        <r>
          <rPr>
            <b/>
            <sz val="9"/>
            <color indexed="81"/>
            <rFont val="Tahoma"/>
            <family val="2"/>
          </rPr>
          <t>Michael Ye:</t>
        </r>
        <r>
          <rPr>
            <sz val="9"/>
            <color indexed="81"/>
            <rFont val="Tahoma"/>
            <family val="2"/>
          </rPr>
          <t xml:space="preserve">
Source: Training data</t>
        </r>
      </text>
    </comment>
    <comment ref="F71" authorId="0" shapeId="0" xr:uid="{FE3891C2-8D91-41EC-BC16-F59D0839B77A}">
      <text>
        <r>
          <rPr>
            <b/>
            <sz val="9"/>
            <color indexed="81"/>
            <rFont val="Tahoma"/>
            <family val="2"/>
          </rPr>
          <t>Michael Ye:</t>
        </r>
        <r>
          <rPr>
            <sz val="9"/>
            <color indexed="81"/>
            <rFont val="Tahoma"/>
            <family val="2"/>
          </rPr>
          <t xml:space="preserve">
Loop. Source: Training data</t>
        </r>
      </text>
    </comment>
    <comment ref="G71" authorId="0" shapeId="0" xr:uid="{FB963459-6A56-490F-97BE-8A021D9AA396}">
      <text>
        <r>
          <rPr>
            <b/>
            <sz val="9"/>
            <color indexed="81"/>
            <rFont val="Tahoma"/>
            <family val="2"/>
          </rPr>
          <t>Michael Ye:</t>
        </r>
        <r>
          <rPr>
            <sz val="9"/>
            <color indexed="81"/>
            <rFont val="Tahoma"/>
            <family val="2"/>
          </rPr>
          <t xml:space="preserve">
Source: Training data</t>
        </r>
      </text>
    </comment>
    <comment ref="F72" authorId="0" shapeId="0" xr:uid="{0915098F-117B-4A2E-9CD1-5EDEE4775CC1}">
      <text>
        <r>
          <rPr>
            <b/>
            <sz val="9"/>
            <color indexed="81"/>
            <rFont val="Tahoma"/>
            <family val="2"/>
          </rPr>
          <t>Michael Ye:</t>
        </r>
        <r>
          <rPr>
            <sz val="9"/>
            <color indexed="81"/>
            <rFont val="Tahoma"/>
            <family val="2"/>
          </rPr>
          <t xml:space="preserve">
Section A. Source: Training data</t>
        </r>
      </text>
    </comment>
    <comment ref="G72" authorId="0" shapeId="0" xr:uid="{14204C21-64F6-4EE8-B5C7-49840AE30E41}">
      <text>
        <r>
          <rPr>
            <b/>
            <sz val="9"/>
            <color indexed="81"/>
            <rFont val="Tahoma"/>
            <family val="2"/>
          </rPr>
          <t>Michael Ye:</t>
        </r>
        <r>
          <rPr>
            <sz val="9"/>
            <color indexed="81"/>
            <rFont val="Tahoma"/>
            <family val="2"/>
          </rPr>
          <t xml:space="preserve">
Source: Training data</t>
        </r>
      </text>
    </comment>
    <comment ref="F73" authorId="0" shapeId="0" xr:uid="{FA11EA84-68EC-4B1A-A4A6-6F88F95ED831}">
      <text>
        <r>
          <rPr>
            <b/>
            <sz val="9"/>
            <color indexed="81"/>
            <rFont val="Tahoma"/>
            <family val="2"/>
          </rPr>
          <t>Michael Ye:</t>
        </r>
        <r>
          <rPr>
            <sz val="9"/>
            <color indexed="81"/>
            <rFont val="Tahoma"/>
            <family val="2"/>
          </rPr>
          <t xml:space="preserve">
Loop segments. Source: Training data</t>
        </r>
      </text>
    </comment>
    <comment ref="G73" authorId="0" shapeId="0" xr:uid="{90DD502B-0519-4816-96F6-09A7BC3EE078}">
      <text>
        <r>
          <rPr>
            <b/>
            <sz val="9"/>
            <color indexed="81"/>
            <rFont val="Tahoma"/>
            <family val="2"/>
          </rPr>
          <t>Michael Ye:</t>
        </r>
        <r>
          <rPr>
            <sz val="9"/>
            <color indexed="81"/>
            <rFont val="Tahoma"/>
            <family val="2"/>
          </rPr>
          <t xml:space="preserve">
Source: Training data</t>
        </r>
      </text>
    </comment>
    <comment ref="F74" authorId="0" shapeId="0" xr:uid="{CBF94242-F5FA-4C84-905A-3A31BFCFF895}">
      <text>
        <r>
          <rPr>
            <b/>
            <sz val="9"/>
            <color indexed="81"/>
            <rFont val="Tahoma"/>
            <family val="2"/>
          </rPr>
          <t>Michael Ye:</t>
        </r>
        <r>
          <rPr>
            <sz val="9"/>
            <color indexed="81"/>
            <rFont val="Tahoma"/>
            <family val="2"/>
          </rPr>
          <t xml:space="preserve">
Skyline segments. Source: Training data</t>
        </r>
      </text>
    </comment>
    <comment ref="G74" authorId="0" shapeId="0" xr:uid="{11853A9E-210E-4A8B-9F1B-41893A2E4AEC}">
      <text>
        <r>
          <rPr>
            <b/>
            <sz val="9"/>
            <color indexed="81"/>
            <rFont val="Tahoma"/>
            <family val="2"/>
          </rPr>
          <t>Michael Ye:</t>
        </r>
        <r>
          <rPr>
            <sz val="9"/>
            <color indexed="81"/>
            <rFont val="Tahoma"/>
            <family val="2"/>
          </rPr>
          <t xml:space="preserve">
Source: Training data</t>
        </r>
      </text>
    </comment>
    <comment ref="F75" authorId="0" shapeId="0" xr:uid="{7198CA24-C3E0-4188-ABB4-EB34F497FC6F}">
      <text>
        <r>
          <rPr>
            <b/>
            <sz val="9"/>
            <color indexed="81"/>
            <rFont val="Tahoma"/>
            <family val="2"/>
          </rPr>
          <t>Michael Ye:</t>
        </r>
        <r>
          <rPr>
            <sz val="9"/>
            <color indexed="81"/>
            <rFont val="Tahoma"/>
            <family val="2"/>
          </rPr>
          <t xml:space="preserve">
Out and back (White Dot/White Cross). Source: Training data</t>
        </r>
      </text>
    </comment>
    <comment ref="G75" authorId="0" shapeId="0" xr:uid="{991FDCF3-382C-45FD-A414-405112C5C6E4}">
      <text>
        <r>
          <rPr>
            <b/>
            <sz val="9"/>
            <color indexed="81"/>
            <rFont val="Tahoma"/>
            <family val="2"/>
          </rPr>
          <t>Michael Ye:</t>
        </r>
        <r>
          <rPr>
            <sz val="9"/>
            <color indexed="81"/>
            <rFont val="Tahoma"/>
            <family val="2"/>
          </rPr>
          <t xml:space="preserve">
Source: Training data</t>
        </r>
      </text>
    </comment>
    <comment ref="F76" authorId="0" shapeId="0" xr:uid="{AEF365DB-F15F-4397-A29A-338678FF7B2B}">
      <text>
        <r>
          <rPr>
            <b/>
            <sz val="9"/>
            <color indexed="81"/>
            <rFont val="Tahoma"/>
            <family val="2"/>
          </rPr>
          <t>Michael Ye:</t>
        </r>
        <r>
          <rPr>
            <sz val="9"/>
            <color indexed="81"/>
            <rFont val="Tahoma"/>
            <family val="2"/>
          </rPr>
          <t xml:space="preserve">
Out and back via Tuckerman Ravine. Source: Training data</t>
        </r>
      </text>
    </comment>
    <comment ref="G76" authorId="0" shapeId="0" xr:uid="{EC5A65CD-4AAA-415F-8C81-96322FF41CCD}">
      <text>
        <r>
          <rPr>
            <b/>
            <sz val="9"/>
            <color indexed="81"/>
            <rFont val="Tahoma"/>
            <family val="2"/>
          </rPr>
          <t>Michael Ye:</t>
        </r>
        <r>
          <rPr>
            <sz val="9"/>
            <color indexed="81"/>
            <rFont val="Tahoma"/>
            <family val="2"/>
          </rPr>
          <t xml:space="preserve">
Source: Training data</t>
        </r>
      </text>
    </comment>
    <comment ref="F77" authorId="0" shapeId="0" xr:uid="{42973EE5-C5C7-4A49-87AC-C665B3BE2AFF}">
      <text>
        <r>
          <rPr>
            <b/>
            <sz val="9"/>
            <color indexed="81"/>
            <rFont val="Tahoma"/>
            <family val="2"/>
          </rPr>
          <t>Michael Ye:</t>
        </r>
        <r>
          <rPr>
            <sz val="9"/>
            <color indexed="81"/>
            <rFont val="Tahoma"/>
            <family val="2"/>
          </rPr>
          <t xml:space="preserve">
Walk-Up Trail. Source: Training data</t>
        </r>
      </text>
    </comment>
    <comment ref="G77" authorId="0" shapeId="0" xr:uid="{6307D902-5E34-4263-8DD8-9F7FCCE3C87C}">
      <text>
        <r>
          <rPr>
            <b/>
            <sz val="9"/>
            <color indexed="81"/>
            <rFont val="Tahoma"/>
            <family val="2"/>
          </rPr>
          <t>Michael Ye:</t>
        </r>
        <r>
          <rPr>
            <sz val="9"/>
            <color indexed="81"/>
            <rFont val="Tahoma"/>
            <family val="2"/>
          </rPr>
          <t xml:space="preserve">
Source: Training data</t>
        </r>
      </text>
    </comment>
    <comment ref="F78" authorId="0" shapeId="0" xr:uid="{3A40C206-C0DC-4720-8FD4-D451AE81AC4B}">
      <text>
        <r>
          <rPr>
            <b/>
            <sz val="9"/>
            <color indexed="81"/>
            <rFont val="Tahoma"/>
            <family val="2"/>
          </rPr>
          <t>Michael Ye:</t>
        </r>
        <r>
          <rPr>
            <sz val="9"/>
            <color indexed="81"/>
            <rFont val="Tahoma"/>
            <family val="2"/>
          </rPr>
          <t xml:space="preserve">
Out and back to summit. Source: Training data</t>
        </r>
      </text>
    </comment>
    <comment ref="G78" authorId="0" shapeId="0" xr:uid="{1165EC01-DE3D-49F4-B80D-8C1348373C8A}">
      <text>
        <r>
          <rPr>
            <b/>
            <sz val="9"/>
            <color indexed="81"/>
            <rFont val="Tahoma"/>
            <family val="2"/>
          </rPr>
          <t>Michael Ye:</t>
        </r>
        <r>
          <rPr>
            <sz val="9"/>
            <color indexed="81"/>
            <rFont val="Tahoma"/>
            <family val="2"/>
          </rPr>
          <t xml:space="preserve">
Source: Training data</t>
        </r>
      </text>
    </comment>
    <comment ref="F79" authorId="0" shapeId="0" xr:uid="{D1045247-B744-407A-BFA5-23C15DD455A6}">
      <text>
        <r>
          <rPr>
            <b/>
            <sz val="9"/>
            <color indexed="81"/>
            <rFont val="Tahoma"/>
            <family val="2"/>
          </rPr>
          <t>Michael Ye:</t>
        </r>
        <r>
          <rPr>
            <sz val="9"/>
            <color indexed="81"/>
            <rFont val="Tahoma"/>
            <family val="2"/>
          </rPr>
          <t xml:space="preserve">
Out and back. Source: Training data</t>
        </r>
      </text>
    </comment>
    <comment ref="G79" authorId="0" shapeId="0" xr:uid="{7A5A956C-9789-4EAB-80E4-7FDAAD6E91E0}">
      <text>
        <r>
          <rPr>
            <b/>
            <sz val="9"/>
            <color indexed="81"/>
            <rFont val="Tahoma"/>
            <family val="2"/>
          </rPr>
          <t>Michael Ye:</t>
        </r>
        <r>
          <rPr>
            <sz val="9"/>
            <color indexed="81"/>
            <rFont val="Tahoma"/>
            <family val="2"/>
          </rPr>
          <t xml:space="preserve">
Source: Training data</t>
        </r>
      </text>
    </comment>
    <comment ref="F80" authorId="0" shapeId="0" xr:uid="{18EEFA18-E5F7-48FC-81E4-C7F2DF3D5624}">
      <text>
        <r>
          <rPr>
            <b/>
            <sz val="9"/>
            <color indexed="81"/>
            <rFont val="Tahoma"/>
            <family val="2"/>
          </rPr>
          <t>Michael Ye:</t>
        </r>
        <r>
          <rPr>
            <sz val="9"/>
            <color indexed="81"/>
            <rFont val="Tahoma"/>
            <family val="2"/>
          </rPr>
          <t xml:space="preserve">
Loop segments. Source: Training data</t>
        </r>
      </text>
    </comment>
    <comment ref="G80" authorId="0" shapeId="0" xr:uid="{CE15AC10-3182-4B24-B474-C478B366D8B0}">
      <text>
        <r>
          <rPr>
            <b/>
            <sz val="9"/>
            <color indexed="81"/>
            <rFont val="Tahoma"/>
            <family val="2"/>
          </rPr>
          <t>Michael Ye:</t>
        </r>
        <r>
          <rPr>
            <sz val="9"/>
            <color indexed="81"/>
            <rFont val="Tahoma"/>
            <family val="2"/>
          </rPr>
          <t xml:space="preserve">
Source: Training data</t>
        </r>
      </text>
    </comment>
    <comment ref="F81" authorId="0" shapeId="0" xr:uid="{B148D282-A9A8-4AE2-A8FC-ABCF20605F04}">
      <text>
        <r>
          <rPr>
            <b/>
            <sz val="9"/>
            <color indexed="81"/>
            <rFont val="Tahoma"/>
            <family val="2"/>
          </rPr>
          <t>Michael Ye:</t>
        </r>
        <r>
          <rPr>
            <sz val="9"/>
            <color indexed="81"/>
            <rFont val="Tahoma"/>
            <family val="2"/>
          </rPr>
          <t xml:space="preserve">
Segment estimate. Source: Training data</t>
        </r>
      </text>
    </comment>
    <comment ref="G81" authorId="0" shapeId="0" xr:uid="{3D2D792C-4764-4C34-A5C2-D2F72DEBFCFB}">
      <text>
        <r>
          <rPr>
            <b/>
            <sz val="9"/>
            <color indexed="81"/>
            <rFont val="Tahoma"/>
            <family val="2"/>
          </rPr>
          <t>Michael Ye:</t>
        </r>
        <r>
          <rPr>
            <sz val="9"/>
            <color indexed="81"/>
            <rFont val="Tahoma"/>
            <family val="2"/>
          </rPr>
          <t xml:space="preserve">
Source: Training data</t>
        </r>
      </text>
    </comment>
    <comment ref="F82" authorId="0" shapeId="0" xr:uid="{0A31D7AD-EC88-4607-948E-E95D5A85381E}">
      <text>
        <r>
          <rPr>
            <b/>
            <sz val="9"/>
            <color indexed="81"/>
            <rFont val="Tahoma"/>
            <family val="2"/>
          </rPr>
          <t>Michael Ye:</t>
        </r>
        <r>
          <rPr>
            <sz val="9"/>
            <color indexed="81"/>
            <rFont val="Tahoma"/>
            <family val="2"/>
          </rPr>
          <t xml:space="preserve">
Out and back. Source: Training data</t>
        </r>
      </text>
    </comment>
    <comment ref="G82" authorId="0" shapeId="0" xr:uid="{482B7CA4-B27A-42AD-9B47-4035AC64A31E}">
      <text>
        <r>
          <rPr>
            <b/>
            <sz val="9"/>
            <color indexed="81"/>
            <rFont val="Tahoma"/>
            <family val="2"/>
          </rPr>
          <t>Michael Ye:</t>
        </r>
        <r>
          <rPr>
            <sz val="9"/>
            <color indexed="81"/>
            <rFont val="Tahoma"/>
            <family val="2"/>
          </rPr>
          <t xml:space="preserve">
Source: Training data</t>
        </r>
      </text>
    </comment>
    <comment ref="F83" authorId="0" shapeId="0" xr:uid="{851A5FE6-DFAC-461A-B113-D7C220831620}">
      <text>
        <r>
          <rPr>
            <b/>
            <sz val="9"/>
            <color indexed="81"/>
            <rFont val="Tahoma"/>
            <family val="2"/>
          </rPr>
          <t>Michael Ye:</t>
        </r>
        <r>
          <rPr>
            <sz val="9"/>
            <color indexed="81"/>
            <rFont val="Tahoma"/>
            <family val="2"/>
          </rPr>
          <t xml:space="preserve">
Segment estimate. Source: Training data</t>
        </r>
      </text>
    </comment>
    <comment ref="G83" authorId="0" shapeId="0" xr:uid="{86B28D2D-7F6E-4E88-AE3B-428DDB9E843E}">
      <text>
        <r>
          <rPr>
            <b/>
            <sz val="9"/>
            <color indexed="81"/>
            <rFont val="Tahoma"/>
            <family val="2"/>
          </rPr>
          <t>Michael Ye:</t>
        </r>
        <r>
          <rPr>
            <sz val="9"/>
            <color indexed="81"/>
            <rFont val="Tahoma"/>
            <family val="2"/>
          </rPr>
          <t xml:space="preserve">
Source: Training data</t>
        </r>
      </text>
    </comment>
    <comment ref="F84" authorId="0" shapeId="0" xr:uid="{7B2E94D1-E2FA-49EA-BD98-6744ADE53F57}">
      <text>
        <r>
          <rPr>
            <b/>
            <sz val="9"/>
            <color indexed="81"/>
            <rFont val="Tahoma"/>
            <family val="2"/>
          </rPr>
          <t>Michael Ye:</t>
        </r>
        <r>
          <rPr>
            <sz val="9"/>
            <color indexed="81"/>
            <rFont val="Tahoma"/>
            <family val="2"/>
          </rPr>
          <t xml:space="preserve">
Stair repeats. Source: Training data</t>
        </r>
      </text>
    </comment>
    <comment ref="G84" authorId="0" shapeId="0" xr:uid="{C42E706E-8FC1-43DA-B50F-A665886EA035}">
      <text>
        <r>
          <rPr>
            <b/>
            <sz val="9"/>
            <color indexed="81"/>
            <rFont val="Tahoma"/>
            <family val="2"/>
          </rPr>
          <t>Michael Ye:</t>
        </r>
        <r>
          <rPr>
            <sz val="9"/>
            <color indexed="81"/>
            <rFont val="Tahoma"/>
            <family val="2"/>
          </rPr>
          <t xml:space="preserve">
Per set of stairs. Source: Training data</t>
        </r>
      </text>
    </comment>
    <comment ref="F85" authorId="0" shapeId="0" xr:uid="{33409464-BE98-47CF-AE9F-1A73B39CE21C}">
      <text>
        <r>
          <rPr>
            <b/>
            <sz val="9"/>
            <color indexed="81"/>
            <rFont val="Tahoma"/>
            <family val="2"/>
          </rPr>
          <t>Michael Ye:</t>
        </r>
        <r>
          <rPr>
            <sz val="9"/>
            <color indexed="81"/>
            <rFont val="Tahoma"/>
            <family val="2"/>
          </rPr>
          <t xml:space="preserve">
Out and back. Source: Training data</t>
        </r>
      </text>
    </comment>
    <comment ref="G85" authorId="0" shapeId="0" xr:uid="{3EE4BE25-9E28-4E1A-9281-0F4993C99488}">
      <text>
        <r>
          <rPr>
            <b/>
            <sz val="9"/>
            <color indexed="81"/>
            <rFont val="Tahoma"/>
            <family val="2"/>
          </rPr>
          <t>Michael Ye:</t>
        </r>
        <r>
          <rPr>
            <sz val="9"/>
            <color indexed="81"/>
            <rFont val="Tahoma"/>
            <family val="2"/>
          </rPr>
          <t xml:space="preserve">
Source: Training data</t>
        </r>
      </text>
    </comment>
    <comment ref="F86" authorId="0" shapeId="0" xr:uid="{3DE666CB-F7BC-4EDB-8A87-4C23024DA2BF}">
      <text>
        <r>
          <rPr>
            <b/>
            <sz val="9"/>
            <color indexed="81"/>
            <rFont val="Tahoma"/>
            <family val="2"/>
          </rPr>
          <t>Michael Ye:</t>
        </r>
        <r>
          <rPr>
            <sz val="9"/>
            <color indexed="81"/>
            <rFont val="Tahoma"/>
            <family val="2"/>
          </rPr>
          <t xml:space="preserve">
Out and back. Source: Training data</t>
        </r>
      </text>
    </comment>
    <comment ref="G86" authorId="0" shapeId="0" xr:uid="{FB777F1F-9408-4CC1-A66F-A104BAAB6868}">
      <text>
        <r>
          <rPr>
            <b/>
            <sz val="9"/>
            <color indexed="81"/>
            <rFont val="Tahoma"/>
            <family val="2"/>
          </rPr>
          <t>Michael Ye:</t>
        </r>
        <r>
          <rPr>
            <sz val="9"/>
            <color indexed="81"/>
            <rFont val="Tahoma"/>
            <family val="2"/>
          </rPr>
          <t xml:space="preserve">
Source: Training data</t>
        </r>
      </text>
    </comment>
    <comment ref="F87" authorId="0" shapeId="0" xr:uid="{5868A402-8FA7-432C-8598-38F3450FD765}">
      <text>
        <r>
          <rPr>
            <b/>
            <sz val="9"/>
            <color indexed="81"/>
            <rFont val="Tahoma"/>
            <family val="2"/>
          </rPr>
          <t>Michael Ye:</t>
        </r>
        <r>
          <rPr>
            <sz val="9"/>
            <color indexed="81"/>
            <rFont val="Tahoma"/>
            <family val="2"/>
          </rPr>
          <t xml:space="preserve">
Out and back. Source: Training data</t>
        </r>
      </text>
    </comment>
    <comment ref="G87" authorId="0" shapeId="0" xr:uid="{B1425938-5577-4C2D-AF2E-49ED5FD91816}">
      <text>
        <r>
          <rPr>
            <b/>
            <sz val="9"/>
            <color indexed="81"/>
            <rFont val="Tahoma"/>
            <family val="2"/>
          </rPr>
          <t>Michael Ye:</t>
        </r>
        <r>
          <rPr>
            <sz val="9"/>
            <color indexed="81"/>
            <rFont val="Tahoma"/>
            <family val="2"/>
          </rPr>
          <t xml:space="preserve">
Source: Training data</t>
        </r>
      </text>
    </comment>
    <comment ref="F88" authorId="0" shapeId="0" xr:uid="{87F4BBF6-96AD-4007-ABE4-9D9BD98414E2}">
      <text>
        <r>
          <rPr>
            <b/>
            <sz val="9"/>
            <color indexed="81"/>
            <rFont val="Tahoma"/>
            <family val="2"/>
          </rPr>
          <t>Michael Ye:</t>
        </r>
        <r>
          <rPr>
            <sz val="9"/>
            <color indexed="81"/>
            <rFont val="Tahoma"/>
            <family val="2"/>
          </rPr>
          <t xml:space="preserve">
Loop + hill repeats estimate. Source: Training data</t>
        </r>
      </text>
    </comment>
    <comment ref="G88" authorId="0" shapeId="0" xr:uid="{CB4157E7-5670-4EEE-AEED-519562FC4A36}">
      <text>
        <r>
          <rPr>
            <b/>
            <sz val="9"/>
            <color indexed="81"/>
            <rFont val="Tahoma"/>
            <family val="2"/>
          </rPr>
          <t>Michael Ye:</t>
        </r>
        <r>
          <rPr>
            <sz val="9"/>
            <color indexed="81"/>
            <rFont val="Tahoma"/>
            <family val="2"/>
          </rPr>
          <t xml:space="preserve">
Source: Training data</t>
        </r>
      </text>
    </comment>
    <comment ref="F89" authorId="0" shapeId="0" xr:uid="{59EBAEF2-AED9-45D3-814D-9B23310C0CEA}">
      <text>
        <r>
          <rPr>
            <b/>
            <sz val="9"/>
            <color indexed="81"/>
            <rFont val="Tahoma"/>
            <family val="2"/>
          </rPr>
          <t>Michael Ye:</t>
        </r>
        <r>
          <rPr>
            <sz val="9"/>
            <color indexed="81"/>
            <rFont val="Tahoma"/>
            <family val="2"/>
          </rPr>
          <t xml:space="preserve">
Segment estimate. Source: Training data</t>
        </r>
      </text>
    </comment>
    <comment ref="G89" authorId="0" shapeId="0" xr:uid="{1304F232-EEEC-45BF-A147-CCC3EB0DF529}">
      <text>
        <r>
          <rPr>
            <b/>
            <sz val="9"/>
            <color indexed="81"/>
            <rFont val="Tahoma"/>
            <family val="2"/>
          </rPr>
          <t>Michael Ye:</t>
        </r>
        <r>
          <rPr>
            <sz val="9"/>
            <color indexed="81"/>
            <rFont val="Tahoma"/>
            <family val="2"/>
          </rPr>
          <t xml:space="preserve">
Source: Training data</t>
        </r>
      </text>
    </comment>
    <comment ref="F90" authorId="0" shapeId="0" xr:uid="{F2C7252D-2BEE-4D1F-93C7-E10B9DD9A854}">
      <text>
        <r>
          <rPr>
            <b/>
            <sz val="9"/>
            <color indexed="81"/>
            <rFont val="Tahoma"/>
            <family val="2"/>
          </rPr>
          <t>Michael Ye:</t>
        </r>
        <r>
          <rPr>
            <sz val="9"/>
            <color indexed="81"/>
            <rFont val="Tahoma"/>
            <family val="2"/>
          </rPr>
          <t xml:space="preserve">
Loop. Source: Training data</t>
        </r>
      </text>
    </comment>
    <comment ref="G90" authorId="0" shapeId="0" xr:uid="{160E60D1-836A-4760-9E0D-8DA6B0536554}">
      <text>
        <r>
          <rPr>
            <b/>
            <sz val="9"/>
            <color indexed="81"/>
            <rFont val="Tahoma"/>
            <family val="2"/>
          </rPr>
          <t>Michael Ye:</t>
        </r>
        <r>
          <rPr>
            <sz val="9"/>
            <color indexed="81"/>
            <rFont val="Tahoma"/>
            <family val="2"/>
          </rPr>
          <t xml:space="preserve">
Source: Training data</t>
        </r>
      </text>
    </comment>
    <comment ref="F91" authorId="0" shapeId="0" xr:uid="{FBCE4486-1B1B-413C-B84C-6BFFF118DCCB}">
      <text>
        <r>
          <rPr>
            <b/>
            <sz val="9"/>
            <color indexed="81"/>
            <rFont val="Tahoma"/>
            <family val="2"/>
          </rPr>
          <t>Michael Ye:</t>
        </r>
        <r>
          <rPr>
            <sz val="9"/>
            <color indexed="81"/>
            <rFont val="Tahoma"/>
            <family val="2"/>
          </rPr>
          <t xml:space="preserve">
Loop segments. Source: Training data</t>
        </r>
      </text>
    </comment>
    <comment ref="G91" authorId="0" shapeId="0" xr:uid="{F76D6E88-1B76-4BFA-9C27-C34E874DBE1D}">
      <text>
        <r>
          <rPr>
            <b/>
            <sz val="9"/>
            <color indexed="81"/>
            <rFont val="Tahoma"/>
            <family val="2"/>
          </rPr>
          <t>Michael Ye:</t>
        </r>
        <r>
          <rPr>
            <sz val="9"/>
            <color indexed="81"/>
            <rFont val="Tahoma"/>
            <family val="2"/>
          </rPr>
          <t xml:space="preserve">
Source: Training data</t>
        </r>
      </text>
    </comment>
    <comment ref="F92" authorId="0" shapeId="0" xr:uid="{EFFBFDE9-DCA4-467A-B820-02E588B544D4}">
      <text>
        <r>
          <rPr>
            <b/>
            <sz val="9"/>
            <color indexed="81"/>
            <rFont val="Tahoma"/>
            <family val="2"/>
          </rPr>
          <t>Michael Ye:</t>
        </r>
        <r>
          <rPr>
            <sz val="9"/>
            <color indexed="81"/>
            <rFont val="Tahoma"/>
            <family val="2"/>
          </rPr>
          <t xml:space="preserve">
Out and back via Timpooneke. Source: Training data</t>
        </r>
      </text>
    </comment>
    <comment ref="G92" authorId="0" shapeId="0" xr:uid="{123A94F7-385B-4397-9C65-59302BAFBA91}">
      <text>
        <r>
          <rPr>
            <b/>
            <sz val="9"/>
            <color indexed="81"/>
            <rFont val="Tahoma"/>
            <family val="2"/>
          </rPr>
          <t>Michael Ye:</t>
        </r>
        <r>
          <rPr>
            <sz val="9"/>
            <color indexed="81"/>
            <rFont val="Tahoma"/>
            <family val="2"/>
          </rPr>
          <t xml:space="preserve">
Source: Training data</t>
        </r>
      </text>
    </comment>
    <comment ref="F93" authorId="0" shapeId="0" xr:uid="{64AA8677-6AF8-4CA0-B2F7-2FBE7826C533}">
      <text>
        <r>
          <rPr>
            <b/>
            <sz val="9"/>
            <color indexed="81"/>
            <rFont val="Tahoma"/>
            <family val="2"/>
          </rPr>
          <t>Michael Ye:</t>
        </r>
        <r>
          <rPr>
            <sz val="9"/>
            <color indexed="81"/>
            <rFont val="Tahoma"/>
            <family val="2"/>
          </rPr>
          <t xml:space="preserve">
Loop. Source: Training data</t>
        </r>
      </text>
    </comment>
    <comment ref="G93" authorId="0" shapeId="0" xr:uid="{A6E2239A-8879-4C35-A05F-0942F390E1B6}">
      <text>
        <r>
          <rPr>
            <b/>
            <sz val="9"/>
            <color indexed="81"/>
            <rFont val="Tahoma"/>
            <family val="2"/>
          </rPr>
          <t>Michael Ye:</t>
        </r>
        <r>
          <rPr>
            <sz val="9"/>
            <color indexed="81"/>
            <rFont val="Tahoma"/>
            <family val="2"/>
          </rPr>
          <t xml:space="preserve">
Source: Training data</t>
        </r>
      </text>
    </comment>
    <comment ref="F94" authorId="0" shapeId="0" xr:uid="{33CB112E-A557-4757-8E1F-820137331E13}">
      <text>
        <r>
          <rPr>
            <b/>
            <sz val="9"/>
            <color indexed="81"/>
            <rFont val="Tahoma"/>
            <family val="2"/>
          </rPr>
          <t>Michael Ye:</t>
        </r>
        <r>
          <rPr>
            <sz val="9"/>
            <color indexed="81"/>
            <rFont val="Tahoma"/>
            <family val="2"/>
          </rPr>
          <t xml:space="preserve">
Day loop segments. Source: Training data</t>
        </r>
      </text>
    </comment>
    <comment ref="G94" authorId="0" shapeId="0" xr:uid="{3C1AC57A-9E3E-4444-9ADA-3D37F2F4B588}">
      <text>
        <r>
          <rPr>
            <b/>
            <sz val="9"/>
            <color indexed="81"/>
            <rFont val="Tahoma"/>
            <family val="2"/>
          </rPr>
          <t>Michael Ye:</t>
        </r>
        <r>
          <rPr>
            <sz val="9"/>
            <color indexed="81"/>
            <rFont val="Tahoma"/>
            <family val="2"/>
          </rPr>
          <t xml:space="preserve">
Source: Training data</t>
        </r>
      </text>
    </comment>
    <comment ref="F95" authorId="0" shapeId="0" xr:uid="{29B7E57A-72E0-453E-A9F4-2D2B5D83701C}">
      <text>
        <r>
          <rPr>
            <b/>
            <sz val="9"/>
            <color indexed="81"/>
            <rFont val="Tahoma"/>
            <family val="2"/>
          </rPr>
          <t>Michael Ye:</t>
        </r>
        <r>
          <rPr>
            <sz val="9"/>
            <color indexed="81"/>
            <rFont val="Tahoma"/>
            <family val="2"/>
          </rPr>
          <t xml:space="preserve">
Loop segments. Source: Training data</t>
        </r>
      </text>
    </comment>
    <comment ref="G95" authorId="0" shapeId="0" xr:uid="{B67334A3-7EB4-4B57-B032-E06F281AD961}">
      <text>
        <r>
          <rPr>
            <b/>
            <sz val="9"/>
            <color indexed="81"/>
            <rFont val="Tahoma"/>
            <family val="2"/>
          </rPr>
          <t>Michael Ye:</t>
        </r>
        <r>
          <rPr>
            <sz val="9"/>
            <color indexed="81"/>
            <rFont val="Tahoma"/>
            <family val="2"/>
          </rPr>
          <t xml:space="preserve">
Source: Training data</t>
        </r>
      </text>
    </comment>
    <comment ref="F96" authorId="0" shapeId="0" xr:uid="{85C4E404-A2FF-4040-BEF7-47DE39FFBF8C}">
      <text>
        <r>
          <rPr>
            <b/>
            <sz val="9"/>
            <color indexed="81"/>
            <rFont val="Tahoma"/>
            <family val="2"/>
          </rPr>
          <t>Michael Ye:</t>
        </r>
        <r>
          <rPr>
            <sz val="9"/>
            <color indexed="81"/>
            <rFont val="Tahoma"/>
            <family val="2"/>
          </rPr>
          <t xml:space="preserve">
Loop. Source: Training data</t>
        </r>
      </text>
    </comment>
    <comment ref="G96" authorId="0" shapeId="0" xr:uid="{FD2A70F4-DD7C-46E8-8779-5F7C73EB83E1}">
      <text>
        <r>
          <rPr>
            <b/>
            <sz val="9"/>
            <color indexed="81"/>
            <rFont val="Tahoma"/>
            <family val="2"/>
          </rPr>
          <t>Michael Ye:</t>
        </r>
        <r>
          <rPr>
            <sz val="9"/>
            <color indexed="81"/>
            <rFont val="Tahoma"/>
            <family val="2"/>
          </rPr>
          <t xml:space="preserve">
Source: Training data</t>
        </r>
      </text>
    </comment>
    <comment ref="F97" authorId="0" shapeId="0" xr:uid="{60B18604-C16E-4D94-8D55-4D5C049F6AA4}">
      <text>
        <r>
          <rPr>
            <b/>
            <sz val="9"/>
            <color indexed="81"/>
            <rFont val="Tahoma"/>
            <family val="2"/>
          </rPr>
          <t>Michael Ye:</t>
        </r>
        <r>
          <rPr>
            <sz val="9"/>
            <color indexed="81"/>
            <rFont val="Tahoma"/>
            <family val="2"/>
          </rPr>
          <t xml:space="preserve">
Loop. Source: Training data</t>
        </r>
      </text>
    </comment>
    <comment ref="G97" authorId="0" shapeId="0" xr:uid="{4DC052FE-BB76-4632-8EB9-870C45CE9FF7}">
      <text>
        <r>
          <rPr>
            <b/>
            <sz val="9"/>
            <color indexed="81"/>
            <rFont val="Tahoma"/>
            <family val="2"/>
          </rPr>
          <t>Michael Ye:</t>
        </r>
        <r>
          <rPr>
            <sz val="9"/>
            <color indexed="81"/>
            <rFont val="Tahoma"/>
            <family val="2"/>
          </rPr>
          <t xml:space="preserve">
Source: Training data</t>
        </r>
      </text>
    </comment>
    <comment ref="F98" authorId="0" shapeId="0" xr:uid="{16EFC898-FC16-43CD-BD57-657FBDE9834A}">
      <text>
        <r>
          <rPr>
            <b/>
            <sz val="9"/>
            <color indexed="81"/>
            <rFont val="Tahoma"/>
            <family val="2"/>
          </rPr>
          <t>Michael Ye:</t>
        </r>
        <r>
          <rPr>
            <sz val="9"/>
            <color indexed="81"/>
            <rFont val="Tahoma"/>
            <family val="2"/>
          </rPr>
          <t xml:space="preserve">
Ridge segment loop. Source: Training data</t>
        </r>
      </text>
    </comment>
    <comment ref="G98" authorId="0" shapeId="0" xr:uid="{FC038239-147E-4A79-8AC5-91B0221D3F36}">
      <text>
        <r>
          <rPr>
            <b/>
            <sz val="9"/>
            <color indexed="81"/>
            <rFont val="Tahoma"/>
            <family val="2"/>
          </rPr>
          <t>Michael Ye:</t>
        </r>
        <r>
          <rPr>
            <sz val="9"/>
            <color indexed="81"/>
            <rFont val="Tahoma"/>
            <family val="2"/>
          </rPr>
          <t xml:space="preserve">
Source: Training data</t>
        </r>
      </text>
    </comment>
    <comment ref="F99" authorId="0" shapeId="0" xr:uid="{19271B30-69B1-4D44-9653-FDAC4EDE1D82}">
      <text>
        <r>
          <rPr>
            <b/>
            <sz val="9"/>
            <color indexed="81"/>
            <rFont val="Tahoma"/>
            <family val="2"/>
          </rPr>
          <t>Michael Ye:</t>
        </r>
        <r>
          <rPr>
            <sz val="9"/>
            <color indexed="81"/>
            <rFont val="Tahoma"/>
            <family val="2"/>
          </rPr>
          <t xml:space="preserve">
Loop. Source: Training data</t>
        </r>
      </text>
    </comment>
    <comment ref="G99" authorId="0" shapeId="0" xr:uid="{791B4FA7-E16F-4009-BC3E-F5BBC5BC80B4}">
      <text>
        <r>
          <rPr>
            <b/>
            <sz val="9"/>
            <color indexed="81"/>
            <rFont val="Tahoma"/>
            <family val="2"/>
          </rPr>
          <t>Michael Ye:</t>
        </r>
        <r>
          <rPr>
            <sz val="9"/>
            <color indexed="81"/>
            <rFont val="Tahoma"/>
            <family val="2"/>
          </rPr>
          <t xml:space="preserve">
Source: Training data</t>
        </r>
      </text>
    </comment>
    <comment ref="F100" authorId="0" shapeId="0" xr:uid="{EAF2A5D4-CEBB-4154-9F0E-C2881F0F3B77}">
      <text>
        <r>
          <rPr>
            <b/>
            <sz val="9"/>
            <color indexed="81"/>
            <rFont val="Tahoma"/>
            <family val="2"/>
          </rPr>
          <t>Michael Ye:</t>
        </r>
        <r>
          <rPr>
            <sz val="9"/>
            <color indexed="81"/>
            <rFont val="Tahoma"/>
            <family val="2"/>
          </rPr>
          <t xml:space="preserve">
Out and back. Source: Training data</t>
        </r>
      </text>
    </comment>
    <comment ref="G100" authorId="0" shapeId="0" xr:uid="{1D8A9697-15D2-46FB-A403-ACEA02459DAA}">
      <text>
        <r>
          <rPr>
            <b/>
            <sz val="9"/>
            <color indexed="81"/>
            <rFont val="Tahoma"/>
            <family val="2"/>
          </rPr>
          <t>Michael Ye:</t>
        </r>
        <r>
          <rPr>
            <sz val="9"/>
            <color indexed="81"/>
            <rFont val="Tahoma"/>
            <family val="2"/>
          </rPr>
          <t xml:space="preserve">
Source: Training data</t>
        </r>
      </text>
    </comment>
    <comment ref="F101" authorId="0" shapeId="0" xr:uid="{A8E2C89A-E22E-4748-9A0B-633B06B0DDBC}">
      <text>
        <r>
          <rPr>
            <b/>
            <sz val="9"/>
            <color indexed="81"/>
            <rFont val="Tahoma"/>
            <family val="2"/>
          </rPr>
          <t>Michael Ye:</t>
        </r>
        <r>
          <rPr>
            <sz val="9"/>
            <color indexed="81"/>
            <rFont val="Tahoma"/>
            <family val="2"/>
          </rPr>
          <t xml:space="preserve">
Out and back. Source: Training data</t>
        </r>
      </text>
    </comment>
    <comment ref="G101" authorId="0" shapeId="0" xr:uid="{0A55C463-566A-4860-B5A5-5C091082D553}">
      <text>
        <r>
          <rPr>
            <b/>
            <sz val="9"/>
            <color indexed="81"/>
            <rFont val="Tahoma"/>
            <family val="2"/>
          </rPr>
          <t>Michael Ye:</t>
        </r>
        <r>
          <rPr>
            <sz val="9"/>
            <color indexed="81"/>
            <rFont val="Tahoma"/>
            <family val="2"/>
          </rPr>
          <t xml:space="preserve">
Source: Training 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Ye</author>
  </authors>
  <commentList>
    <comment ref="F2" authorId="0" shapeId="0" xr:uid="{20734DC3-9F66-431C-B28F-85F80CA24CA4}">
      <text>
        <r>
          <rPr>
            <b/>
            <sz val="9"/>
            <color indexed="81"/>
            <rFont val="Tahoma"/>
            <family val="2"/>
          </rPr>
          <t>Michael Ye:</t>
        </r>
        <r>
          <rPr>
            <sz val="9"/>
            <color indexed="81"/>
            <rFont val="Tahoma"/>
            <family val="2"/>
          </rPr>
          <t xml:space="preserve">
Source: USFS Inyo National Forest / Wikipedia, https://en.wikipedia.org/wiki/Mount_Whitney_Trail</t>
        </r>
      </text>
    </comment>
    <comment ref="G2" authorId="0" shapeId="0" xr:uid="{0BB7A9B0-A77A-4F7A-8AFA-DA2D03D501C2}">
      <text>
        <r>
          <rPr>
            <b/>
            <sz val="9"/>
            <color indexed="81"/>
            <rFont val="Tahoma"/>
            <family val="2"/>
          </rPr>
          <t>Michael Ye:</t>
        </r>
        <r>
          <rPr>
            <sz val="9"/>
            <color indexed="81"/>
            <rFont val="Tahoma"/>
            <family val="2"/>
          </rPr>
          <t xml:space="preserve">
Source: USFS Inyo National Forest, https://www.fs.usda.gov/r05/inyo/wilderness/mount-whitney</t>
        </r>
      </text>
    </comment>
    <comment ref="H2" authorId="0" shapeId="0" xr:uid="{766D8D37-2E56-4EA7-9BCC-150743B43FD5}">
      <text>
        <r>
          <rPr>
            <b/>
            <sz val="9"/>
            <color indexed="81"/>
            <rFont val="Tahoma"/>
            <family val="2"/>
          </rPr>
          <t>Michael Ye:</t>
        </r>
        <r>
          <rPr>
            <sz val="9"/>
            <color indexed="81"/>
            <rFont val="Tahoma"/>
            <family val="2"/>
          </rPr>
          <t xml:space="preserve">
Source: USFS Inyo National Forest / Recreation.gov, https://www.recreation.gov/permits/445860</t>
        </r>
      </text>
    </comment>
    <comment ref="F3" authorId="0" shapeId="0" xr:uid="{D3418104-751C-42EE-B920-77E5BEC832AA}">
      <text>
        <r>
          <rPr>
            <b/>
            <sz val="9"/>
            <color indexed="81"/>
            <rFont val="Tahoma"/>
            <family val="2"/>
          </rPr>
          <t>Michael Ye:</t>
        </r>
        <r>
          <rPr>
            <sz val="9"/>
            <color indexed="81"/>
            <rFont val="Tahoma"/>
            <family val="2"/>
          </rPr>
          <t xml:space="preserve">
Source: ihikesandiego.com / hikespeak.com, https://www.ihikesandiego.com/mt-langley-via-new-army-pass/</t>
        </r>
      </text>
    </comment>
    <comment ref="G3" authorId="0" shapeId="0" xr:uid="{077218C1-5B04-4134-9DF9-C4FBE7EAFBFE}">
      <text>
        <r>
          <rPr>
            <b/>
            <sz val="9"/>
            <color indexed="81"/>
            <rFont val="Tahoma"/>
            <family val="2"/>
          </rPr>
          <t>Michael Ye:</t>
        </r>
        <r>
          <rPr>
            <sz val="9"/>
            <color indexed="81"/>
            <rFont val="Tahoma"/>
            <family val="2"/>
          </rPr>
          <t xml:space="preserve">
Source: ihikesandiego.com / timberlinetrails.com, https://www.timberlinetrails.com/LangleyTrail.html</t>
        </r>
      </text>
    </comment>
    <comment ref="H3" authorId="0" shapeId="0" xr:uid="{2C769243-113A-4A40-AABF-D7E1E98E1C7A}">
      <text>
        <r>
          <rPr>
            <b/>
            <sz val="9"/>
            <color indexed="81"/>
            <rFont val="Tahoma"/>
            <family val="2"/>
          </rPr>
          <t>Michael Ye:</t>
        </r>
        <r>
          <rPr>
            <sz val="9"/>
            <color indexed="81"/>
            <rFont val="Tahoma"/>
            <family val="2"/>
          </rPr>
          <t xml:space="preserve">
Source: Wikipedia / hikespeak.com, https://en.wikipedia.org/wiki/Mount_Langley</t>
        </r>
      </text>
    </comment>
    <comment ref="F4" authorId="0" shapeId="0" xr:uid="{29E428FA-69FD-4044-BB30-03A45E3122C9}">
      <text>
        <r>
          <rPr>
            <b/>
            <sz val="9"/>
            <color indexed="81"/>
            <rFont val="Tahoma"/>
            <family val="2"/>
          </rPr>
          <t>Michael Ye:</t>
        </r>
        <r>
          <rPr>
            <sz val="9"/>
            <color indexed="81"/>
            <rFont val="Tahoma"/>
            <family val="2"/>
          </rPr>
          <t xml:space="preserve">
Source: USFS Coconino National Forest, https://www.fs.usda.gov/r03/coconino/recreation/trails/humphreys-trail-no-151</t>
        </r>
      </text>
    </comment>
    <comment ref="G4" authorId="0" shapeId="0" xr:uid="{C540A134-1AE2-421A-90ED-F1B03345A9BC}">
      <text>
        <r>
          <rPr>
            <b/>
            <sz val="9"/>
            <color indexed="81"/>
            <rFont val="Tahoma"/>
            <family val="2"/>
          </rPr>
          <t>Michael Ye:</t>
        </r>
        <r>
          <rPr>
            <sz val="9"/>
            <color indexed="81"/>
            <rFont val="Tahoma"/>
            <family val="2"/>
          </rPr>
          <t xml:space="preserve">
Source: USFS Coconino National Forest, https://www.fs.usda.gov/r03/coconino/recreation/trails/humphreys-trail-no-151</t>
        </r>
      </text>
    </comment>
    <comment ref="H4" authorId="0" shapeId="0" xr:uid="{1D11A512-F7FF-45F8-AD87-FBFF07CB1177}">
      <text>
        <r>
          <rPr>
            <b/>
            <sz val="9"/>
            <color indexed="81"/>
            <rFont val="Tahoma"/>
            <family val="2"/>
          </rPr>
          <t>Michael Ye:</t>
        </r>
        <r>
          <rPr>
            <sz val="9"/>
            <color indexed="81"/>
            <rFont val="Tahoma"/>
            <family val="2"/>
          </rPr>
          <t xml:space="preserve">
Source: Wikipedia, https://en.wikipedia.org/wiki/Humphreys_Peak</t>
        </r>
      </text>
    </comment>
    <comment ref="F5" authorId="0" shapeId="0" xr:uid="{95A663DE-3144-4938-A8F0-1DE2D95CA0E2}">
      <text>
        <r>
          <rPr>
            <b/>
            <sz val="9"/>
            <color indexed="81"/>
            <rFont val="Tahoma"/>
            <family val="2"/>
          </rPr>
          <t>Michael Ye:</t>
        </r>
        <r>
          <rPr>
            <sz val="9"/>
            <color indexed="81"/>
            <rFont val="Tahoma"/>
            <family val="2"/>
          </rPr>
          <t xml:space="preserve">
Out and back (South Loop full). Source: Training data</t>
        </r>
      </text>
    </comment>
    <comment ref="G5" authorId="0" shapeId="0" xr:uid="{2942E922-55A3-4006-A100-D73B141BB9A4}">
      <text>
        <r>
          <rPr>
            <b/>
            <sz val="9"/>
            <color indexed="81"/>
            <rFont val="Tahoma"/>
            <family val="2"/>
          </rPr>
          <t>Michael Ye:</t>
        </r>
        <r>
          <rPr>
            <sz val="9"/>
            <color indexed="81"/>
            <rFont val="Tahoma"/>
            <family val="2"/>
          </rPr>
          <t xml:space="preserve">
Source: Training data</t>
        </r>
      </text>
    </comment>
    <comment ref="F6" authorId="0" shapeId="0" xr:uid="{2A557C20-18D7-4AFA-A44E-ABD8C24A55B8}">
      <text>
        <r>
          <rPr>
            <b/>
            <sz val="9"/>
            <color indexed="81"/>
            <rFont val="Tahoma"/>
            <family val="2"/>
          </rPr>
          <t>Michael Ye:</t>
        </r>
        <r>
          <rPr>
            <sz val="9"/>
            <color indexed="81"/>
            <rFont val="Tahoma"/>
            <family val="2"/>
          </rPr>
          <t xml:space="preserve">
Out and back via Vivian Creek. Source: Training data</t>
        </r>
      </text>
    </comment>
    <comment ref="G6" authorId="0" shapeId="0" xr:uid="{45AE64F6-2236-4A8E-BF6C-9147D4BAD31F}">
      <text>
        <r>
          <rPr>
            <b/>
            <sz val="9"/>
            <color indexed="81"/>
            <rFont val="Tahoma"/>
            <family val="2"/>
          </rPr>
          <t>Michael Ye:</t>
        </r>
        <r>
          <rPr>
            <sz val="9"/>
            <color indexed="81"/>
            <rFont val="Tahoma"/>
            <family val="2"/>
          </rPr>
          <t xml:space="preserve">
Source: Training data</t>
        </r>
      </text>
    </comment>
    <comment ref="F7" authorId="0" shapeId="0" xr:uid="{FF643392-915F-4A7E-9AAC-A37557EEC116}">
      <text>
        <r>
          <rPr>
            <b/>
            <sz val="9"/>
            <color indexed="81"/>
            <rFont val="Tahoma"/>
            <family val="2"/>
          </rPr>
          <t>Michael Ye:</t>
        </r>
        <r>
          <rPr>
            <sz val="9"/>
            <color indexed="81"/>
            <rFont val="Tahoma"/>
            <family val="2"/>
          </rPr>
          <t xml:space="preserve">
Source: AllTrails, https://www.alltrails.com/trail/us/california/san-gorgonio-summit-via-south-fork-no-loop</t>
        </r>
      </text>
    </comment>
    <comment ref="G7" authorId="0" shapeId="0" xr:uid="{CAECF235-9F43-4C36-B971-F3F84C23DBFB}">
      <text>
        <r>
          <rPr>
            <b/>
            <sz val="9"/>
            <color indexed="81"/>
            <rFont val="Tahoma"/>
            <family val="2"/>
          </rPr>
          <t>Michael Ye:</t>
        </r>
        <r>
          <rPr>
            <sz val="9"/>
            <color indexed="81"/>
            <rFont val="Tahoma"/>
            <family val="2"/>
          </rPr>
          <t xml:space="preserve">
Source: AllTrails / SummitPost, https://www.summitpost.org/san-gorgonio/150533</t>
        </r>
      </text>
    </comment>
    <comment ref="H7" authorId="0" shapeId="0" xr:uid="{225167B0-595C-4155-B9A3-3B615BD66F8F}">
      <text>
        <r>
          <rPr>
            <b/>
            <sz val="9"/>
            <color indexed="81"/>
            <rFont val="Tahoma"/>
            <family val="2"/>
          </rPr>
          <t>Michael Ye:</t>
        </r>
        <r>
          <rPr>
            <sz val="9"/>
            <color indexed="81"/>
            <rFont val="Tahoma"/>
            <family val="2"/>
          </rPr>
          <t xml:space="preserve">
Source: AllTrails, https://www.alltrails.com/trail/us/california/san-gorgonio-summit-via-south-fork-no-loop</t>
        </r>
      </text>
    </comment>
    <comment ref="F8" authorId="0" shapeId="0" xr:uid="{1770CF61-E509-45CB-8087-94C19B181E47}">
      <text>
        <r>
          <rPr>
            <b/>
            <sz val="9"/>
            <color indexed="81"/>
            <rFont val="Tahoma"/>
            <family val="2"/>
          </rPr>
          <t>Michael Ye:</t>
        </r>
        <r>
          <rPr>
            <sz val="9"/>
            <color indexed="81"/>
            <rFont val="Tahoma"/>
            <family val="2"/>
          </rPr>
          <t xml:space="preserve">
Out and back. Source: Training data</t>
        </r>
      </text>
    </comment>
    <comment ref="G8" authorId="0" shapeId="0" xr:uid="{D6A30D8C-232C-4698-954F-7E6B38BCF351}">
      <text>
        <r>
          <rPr>
            <b/>
            <sz val="9"/>
            <color indexed="81"/>
            <rFont val="Tahoma"/>
            <family val="2"/>
          </rPr>
          <t>Michael Ye:</t>
        </r>
        <r>
          <rPr>
            <sz val="9"/>
            <color indexed="81"/>
            <rFont val="Tahoma"/>
            <family val="2"/>
          </rPr>
          <t xml:space="preserve">
Source: Training data</t>
        </r>
      </text>
    </comment>
    <comment ref="F9" authorId="0" shapeId="0" xr:uid="{181CA655-E101-4E32-A8EA-6D8AD8848D5B}">
      <text>
        <r>
          <rPr>
            <b/>
            <sz val="9"/>
            <color indexed="81"/>
            <rFont val="Tahoma"/>
            <family val="2"/>
          </rPr>
          <t>Michael Ye:</t>
        </r>
        <r>
          <rPr>
            <sz val="9"/>
            <color indexed="81"/>
            <rFont val="Tahoma"/>
            <family val="2"/>
          </rPr>
          <t xml:space="preserve">
Source: AllTrails, https://www.alltrails.com/trail/us/california/san-bernardino-peak-trail-via-angelus-oaks</t>
        </r>
      </text>
    </comment>
    <comment ref="G9" authorId="0" shapeId="0" xr:uid="{A3ACCD4E-E021-4A84-B69A-D90AE98F1736}">
      <text>
        <r>
          <rPr>
            <b/>
            <sz val="9"/>
            <color indexed="81"/>
            <rFont val="Tahoma"/>
            <family val="2"/>
          </rPr>
          <t>Michael Ye:</t>
        </r>
        <r>
          <rPr>
            <sz val="9"/>
            <color indexed="81"/>
            <rFont val="Tahoma"/>
            <family val="2"/>
          </rPr>
          <t xml:space="preserve">
Source: SummitPost, https://www.summitpost.org/san-bernardino-peak/152113</t>
        </r>
      </text>
    </comment>
    <comment ref="H9" authorId="0" shapeId="0" xr:uid="{B536834A-4532-48CC-915D-2B651395A668}">
      <text>
        <r>
          <rPr>
            <b/>
            <sz val="9"/>
            <color indexed="81"/>
            <rFont val="Tahoma"/>
            <family val="2"/>
          </rPr>
          <t>Michael Ye:</t>
        </r>
        <r>
          <rPr>
            <sz val="9"/>
            <color indexed="81"/>
            <rFont val="Tahoma"/>
            <family val="2"/>
          </rPr>
          <t xml:space="preserve">
Source: AllTrails / SummitPost, https://www.summitpost.org/san-bernardino-peak/152113</t>
        </r>
      </text>
    </comment>
    <comment ref="F10" authorId="0" shapeId="0" xr:uid="{CE557D23-8D42-4F3A-AB81-0A6523CD35C1}">
      <text>
        <r>
          <rPr>
            <b/>
            <sz val="9"/>
            <color indexed="81"/>
            <rFont val="Tahoma"/>
            <family val="2"/>
          </rPr>
          <t>Michael Ye:</t>
        </r>
        <r>
          <rPr>
            <sz val="9"/>
            <color indexed="81"/>
            <rFont val="Tahoma"/>
            <family val="2"/>
          </rPr>
          <t xml:space="preserve">
Out and back via Register Ridge. Source: Training data</t>
        </r>
      </text>
    </comment>
    <comment ref="G10" authorId="0" shapeId="0" xr:uid="{C9F3B711-7565-444D-9960-0921636F7AE0}">
      <text>
        <r>
          <rPr>
            <b/>
            <sz val="9"/>
            <color indexed="81"/>
            <rFont val="Tahoma"/>
            <family val="2"/>
          </rPr>
          <t>Michael Ye:</t>
        </r>
        <r>
          <rPr>
            <sz val="9"/>
            <color indexed="81"/>
            <rFont val="Tahoma"/>
            <family val="2"/>
          </rPr>
          <t xml:space="preserve">
Source: Training data</t>
        </r>
      </text>
    </comment>
    <comment ref="F11" authorId="0" shapeId="0" xr:uid="{C4FFED73-8281-468A-8920-65931686F135}">
      <text>
        <r>
          <rPr>
            <b/>
            <sz val="9"/>
            <color indexed="81"/>
            <rFont val="Tahoma"/>
            <family val="2"/>
          </rPr>
          <t>Michael Ye:</t>
        </r>
        <r>
          <rPr>
            <sz val="9"/>
            <color indexed="81"/>
            <rFont val="Tahoma"/>
            <family val="2"/>
          </rPr>
          <t xml:space="preserve">
Out and back via Ski Hut. Source: Training data</t>
        </r>
      </text>
    </comment>
    <comment ref="G11" authorId="0" shapeId="0" xr:uid="{FF2F9FBD-F272-4359-9ABB-6E2F5B155A36}">
      <text>
        <r>
          <rPr>
            <b/>
            <sz val="9"/>
            <color indexed="81"/>
            <rFont val="Tahoma"/>
            <family val="2"/>
          </rPr>
          <t>Michael Ye:</t>
        </r>
        <r>
          <rPr>
            <sz val="9"/>
            <color indexed="81"/>
            <rFont val="Tahoma"/>
            <family val="2"/>
          </rPr>
          <t xml:space="preserve">
Source: Training data</t>
        </r>
      </text>
    </comment>
    <comment ref="F12" authorId="0" shapeId="0" xr:uid="{F8433B9F-DD7F-4FC3-80C0-DE6106162B41}">
      <text>
        <r>
          <rPr>
            <b/>
            <sz val="9"/>
            <color indexed="81"/>
            <rFont val="Tahoma"/>
            <family val="2"/>
          </rPr>
          <t>Michael Ye:</t>
        </r>
        <r>
          <rPr>
            <sz val="9"/>
            <color indexed="81"/>
            <rFont val="Tahoma"/>
            <family val="2"/>
          </rPr>
          <t xml:space="preserve">
Source: USFS Angeles National Forest, https://www.fs.usda.gov/r05/angeles/recreation/trails/mt-baden-powell-vincents-gap</t>
        </r>
      </text>
    </comment>
    <comment ref="G12" authorId="0" shapeId="0" xr:uid="{8F7F73A6-FCF4-459F-8BF2-800A3A971833}">
      <text>
        <r>
          <rPr>
            <b/>
            <sz val="9"/>
            <color indexed="81"/>
            <rFont val="Tahoma"/>
            <family val="2"/>
          </rPr>
          <t>Michael Ye:</t>
        </r>
        <r>
          <rPr>
            <sz val="9"/>
            <color indexed="81"/>
            <rFont val="Tahoma"/>
            <family val="2"/>
          </rPr>
          <t xml:space="preserve">
Source: hikespeak.com / socalhiker.net, https://www.hikespeak.com/trails/mount-baden-powell/</t>
        </r>
      </text>
    </comment>
    <comment ref="H12" authorId="0" shapeId="0" xr:uid="{402C776A-0CBB-4AE1-B8C2-64167403AEB0}">
      <text>
        <r>
          <rPr>
            <b/>
            <sz val="9"/>
            <color indexed="81"/>
            <rFont val="Tahoma"/>
            <family val="2"/>
          </rPr>
          <t>Michael Ye:</t>
        </r>
        <r>
          <rPr>
            <sz val="9"/>
            <color indexed="81"/>
            <rFont val="Tahoma"/>
            <family val="2"/>
          </rPr>
          <t xml:space="preserve">
Source: Wikipedia, https://en.wikipedia.org/wiki/Mount_Baden-Powell</t>
        </r>
      </text>
    </comment>
    <comment ref="F13" authorId="0" shapeId="0" xr:uid="{A39F301C-17AC-4D8A-A50D-9FD6EEF7333A}">
      <text>
        <r>
          <rPr>
            <b/>
            <sz val="9"/>
            <color indexed="81"/>
            <rFont val="Tahoma"/>
            <family val="2"/>
          </rPr>
          <t>Michael Ye:</t>
        </r>
        <r>
          <rPr>
            <sz val="9"/>
            <color indexed="81"/>
            <rFont val="Tahoma"/>
            <family val="2"/>
          </rPr>
          <t xml:space="preserve">
Out and back. Source: Training data</t>
        </r>
      </text>
    </comment>
    <comment ref="G13" authorId="0" shapeId="0" xr:uid="{CC32E29E-6847-4E20-9DD3-C256C285E390}">
      <text>
        <r>
          <rPr>
            <b/>
            <sz val="9"/>
            <color indexed="81"/>
            <rFont val="Tahoma"/>
            <family val="2"/>
          </rPr>
          <t>Michael Ye:</t>
        </r>
        <r>
          <rPr>
            <sz val="9"/>
            <color indexed="81"/>
            <rFont val="Tahoma"/>
            <family val="2"/>
          </rPr>
          <t xml:space="preserve">
Source: Training data</t>
        </r>
      </text>
    </comment>
    <comment ref="F14" authorId="0" shapeId="0" xr:uid="{77531E6C-B428-42BA-BB96-B76AD16F4892}">
      <text>
        <r>
          <rPr>
            <b/>
            <sz val="9"/>
            <color indexed="81"/>
            <rFont val="Tahoma"/>
            <family val="2"/>
          </rPr>
          <t>Michael Ye:</t>
        </r>
        <r>
          <rPr>
            <sz val="9"/>
            <color indexed="81"/>
            <rFont val="Tahoma"/>
            <family val="2"/>
          </rPr>
          <t xml:space="preserve">
Out and back. Source: Training data</t>
        </r>
      </text>
    </comment>
    <comment ref="G14" authorId="0" shapeId="0" xr:uid="{15A9B9E6-C5FF-4C03-9B38-D5E366B75BDE}">
      <text>
        <r>
          <rPr>
            <b/>
            <sz val="9"/>
            <color indexed="81"/>
            <rFont val="Tahoma"/>
            <family val="2"/>
          </rPr>
          <t>Michael Ye:</t>
        </r>
        <r>
          <rPr>
            <sz val="9"/>
            <color indexed="81"/>
            <rFont val="Tahoma"/>
            <family val="2"/>
          </rPr>
          <t xml:space="preserve">
Source: Training data</t>
        </r>
      </text>
    </comment>
    <comment ref="F15" authorId="0" shapeId="0" xr:uid="{61073E88-A939-4BDE-BC1D-346DDE99DBCD}">
      <text>
        <r>
          <rPr>
            <b/>
            <sz val="9"/>
            <color indexed="81"/>
            <rFont val="Tahoma"/>
            <family val="2"/>
          </rPr>
          <t>Michael Ye:</t>
        </r>
        <r>
          <rPr>
            <sz val="9"/>
            <color indexed="81"/>
            <rFont val="Tahoma"/>
            <family val="2"/>
          </rPr>
          <t xml:space="preserve">
Out and back. Source: Training data</t>
        </r>
      </text>
    </comment>
    <comment ref="G15" authorId="0" shapeId="0" xr:uid="{3E4EF765-9878-4946-B621-81306D03C874}">
      <text>
        <r>
          <rPr>
            <b/>
            <sz val="9"/>
            <color indexed="81"/>
            <rFont val="Tahoma"/>
            <family val="2"/>
          </rPr>
          <t>Michael Ye:</t>
        </r>
        <r>
          <rPr>
            <sz val="9"/>
            <color indexed="81"/>
            <rFont val="Tahoma"/>
            <family val="2"/>
          </rPr>
          <t xml:space="preserve">
Source: Training data</t>
        </r>
      </text>
    </comment>
    <comment ref="F16" authorId="0" shapeId="0" xr:uid="{A2301336-2ECB-4CDC-B1BD-F67E42619D5E}">
      <text>
        <r>
          <rPr>
            <b/>
            <sz val="9"/>
            <color indexed="81"/>
            <rFont val="Tahoma"/>
            <family val="2"/>
          </rPr>
          <t>Michael Ye:</t>
        </r>
        <r>
          <rPr>
            <sz val="9"/>
            <color indexed="81"/>
            <rFont val="Tahoma"/>
            <family val="2"/>
          </rPr>
          <t xml:space="preserve">
Source: yosemitehikes.com, https://www.yosemitehikes.com/yosemite-valley/half-dome/half-dome.htm</t>
        </r>
      </text>
    </comment>
    <comment ref="G16" authorId="0" shapeId="0" xr:uid="{617EB506-27BD-433D-8275-453E14037926}">
      <text>
        <r>
          <rPr>
            <b/>
            <sz val="9"/>
            <color indexed="81"/>
            <rFont val="Tahoma"/>
            <family val="2"/>
          </rPr>
          <t>Michael Ye:</t>
        </r>
        <r>
          <rPr>
            <sz val="9"/>
            <color indexed="81"/>
            <rFont val="Tahoma"/>
            <family val="2"/>
          </rPr>
          <t xml:space="preserve">
Source: yosemitehikes.com / NPS, https://www.yosemitehikes.com/yosemite-valley/half-dome/half-dome.htm</t>
        </r>
      </text>
    </comment>
    <comment ref="H16" authorId="0" shapeId="0" xr:uid="{4A1FDB6D-D6C7-4B31-874E-96A27DC05418}">
      <text>
        <r>
          <rPr>
            <b/>
            <sz val="9"/>
            <color indexed="81"/>
            <rFont val="Tahoma"/>
            <family val="2"/>
          </rPr>
          <t>Michael Ye:</t>
        </r>
        <r>
          <rPr>
            <sz val="9"/>
            <color indexed="81"/>
            <rFont val="Tahoma"/>
            <family val="2"/>
          </rPr>
          <t xml:space="preserve">
Source: yosemitehikes.com, https://www.yosemitehikes.com/yosemite-valley/half-dome/half-dome.htm</t>
        </r>
      </text>
    </comment>
    <comment ref="F17" authorId="0" shapeId="0" xr:uid="{D9996751-0ED4-4E0F-B594-8176CCB61E52}">
      <text>
        <r>
          <rPr>
            <b/>
            <sz val="9"/>
            <color indexed="81"/>
            <rFont val="Tahoma"/>
            <family val="2"/>
          </rPr>
          <t>Michael Ye:</t>
        </r>
        <r>
          <rPr>
            <sz val="9"/>
            <color indexed="81"/>
            <rFont val="Tahoma"/>
            <family val="2"/>
          </rPr>
          <t xml:space="preserve">
Out and back. Source: Training data</t>
        </r>
      </text>
    </comment>
    <comment ref="G17" authorId="0" shapeId="0" xr:uid="{073B69F7-8814-46C2-8459-8B97ED61EDAB}">
      <text>
        <r>
          <rPr>
            <b/>
            <sz val="9"/>
            <color indexed="81"/>
            <rFont val="Tahoma"/>
            <family val="2"/>
          </rPr>
          <t>Michael Ye:</t>
        </r>
        <r>
          <rPr>
            <sz val="9"/>
            <color indexed="81"/>
            <rFont val="Tahoma"/>
            <family val="2"/>
          </rPr>
          <t xml:space="preserve">
Source: Training data</t>
        </r>
      </text>
    </comment>
    <comment ref="F18" authorId="0" shapeId="0" xr:uid="{A4F227CF-455C-4DC8-9AFF-D68EC3DFEB14}">
      <text>
        <r>
          <rPr>
            <b/>
            <sz val="9"/>
            <color indexed="81"/>
            <rFont val="Tahoma"/>
            <family val="2"/>
          </rPr>
          <t>Michael Ye:</t>
        </r>
        <r>
          <rPr>
            <sz val="9"/>
            <color indexed="81"/>
            <rFont val="Tahoma"/>
            <family val="2"/>
          </rPr>
          <t xml:space="preserve">
Out and back. Source: Training data</t>
        </r>
      </text>
    </comment>
    <comment ref="G18" authorId="0" shapeId="0" xr:uid="{33CF73DA-4B37-43EC-8043-D75F238BD4A0}">
      <text>
        <r>
          <rPr>
            <b/>
            <sz val="9"/>
            <color indexed="81"/>
            <rFont val="Tahoma"/>
            <family val="2"/>
          </rPr>
          <t>Michael Ye:</t>
        </r>
        <r>
          <rPr>
            <sz val="9"/>
            <color indexed="81"/>
            <rFont val="Tahoma"/>
            <family val="2"/>
          </rPr>
          <t xml:space="preserve">
Source: Training data</t>
        </r>
      </text>
    </comment>
    <comment ref="F19" authorId="0" shapeId="0" xr:uid="{A72C4983-D0E6-4F1A-B8D0-D2397F721C45}">
      <text>
        <r>
          <rPr>
            <b/>
            <sz val="9"/>
            <color indexed="81"/>
            <rFont val="Tahoma"/>
            <family val="2"/>
          </rPr>
          <t>Michael Ye:</t>
        </r>
        <r>
          <rPr>
            <sz val="9"/>
            <color indexed="81"/>
            <rFont val="Tahoma"/>
            <family val="2"/>
          </rPr>
          <t xml:space="preserve">
Out and back. Source: Training data</t>
        </r>
      </text>
    </comment>
    <comment ref="G19" authorId="0" shapeId="0" xr:uid="{CC7A3D57-5BA5-436E-AAF5-9C37E3723F4B}">
      <text>
        <r>
          <rPr>
            <b/>
            <sz val="9"/>
            <color indexed="81"/>
            <rFont val="Tahoma"/>
            <family val="2"/>
          </rPr>
          <t>Michael Ye:</t>
        </r>
        <r>
          <rPr>
            <sz val="9"/>
            <color indexed="81"/>
            <rFont val="Tahoma"/>
            <family val="2"/>
          </rPr>
          <t xml:space="preserve">
Source: Training data</t>
        </r>
      </text>
    </comment>
    <comment ref="F20" authorId="0" shapeId="0" xr:uid="{A13C3227-9C0B-40DB-8BE5-5274159B4C0E}">
      <text>
        <r>
          <rPr>
            <b/>
            <sz val="9"/>
            <color indexed="81"/>
            <rFont val="Tahoma"/>
            <family val="2"/>
          </rPr>
          <t>Michael Ye:</t>
        </r>
        <r>
          <rPr>
            <sz val="9"/>
            <color indexed="81"/>
            <rFont val="Tahoma"/>
            <family val="2"/>
          </rPr>
          <t xml:space="preserve">
Out and back via Chantry Flats. Source: Training data</t>
        </r>
      </text>
    </comment>
    <comment ref="G20" authorId="0" shapeId="0" xr:uid="{9F2FD4B5-07EA-4931-A8DB-0373728657A6}">
      <text>
        <r>
          <rPr>
            <b/>
            <sz val="9"/>
            <color indexed="81"/>
            <rFont val="Tahoma"/>
            <family val="2"/>
          </rPr>
          <t>Michael Ye:</t>
        </r>
        <r>
          <rPr>
            <sz val="9"/>
            <color indexed="81"/>
            <rFont val="Tahoma"/>
            <family val="2"/>
          </rPr>
          <t xml:space="preserve">
Source: Training data</t>
        </r>
      </text>
    </comment>
    <comment ref="F21" authorId="0" shapeId="0" xr:uid="{873BB842-F925-4C31-A7E8-D90A18114113}">
      <text>
        <r>
          <rPr>
            <b/>
            <sz val="9"/>
            <color indexed="81"/>
            <rFont val="Tahoma"/>
            <family val="2"/>
          </rPr>
          <t>Michael Ye:</t>
        </r>
        <r>
          <rPr>
            <sz val="9"/>
            <color indexed="81"/>
            <rFont val="Tahoma"/>
            <family val="2"/>
          </rPr>
          <t xml:space="preserve">
Out and back via Sturtevant. Source: Training data</t>
        </r>
      </text>
    </comment>
    <comment ref="G21" authorId="0" shapeId="0" xr:uid="{845CAFF9-8109-459B-9385-C9221A6A2440}">
      <text>
        <r>
          <rPr>
            <b/>
            <sz val="9"/>
            <color indexed="81"/>
            <rFont val="Tahoma"/>
            <family val="2"/>
          </rPr>
          <t>Michael Ye:</t>
        </r>
        <r>
          <rPr>
            <sz val="9"/>
            <color indexed="81"/>
            <rFont val="Tahoma"/>
            <family val="2"/>
          </rPr>
          <t xml:space="preserve">
Source: Training data</t>
        </r>
      </text>
    </comment>
    <comment ref="F22" authorId="0" shapeId="0" xr:uid="{D8F1667C-69FE-4A76-9251-4CB2B5942D7B}">
      <text>
        <r>
          <rPr>
            <b/>
            <sz val="9"/>
            <color indexed="81"/>
            <rFont val="Tahoma"/>
            <family val="2"/>
          </rPr>
          <t>Michael Ye:</t>
        </r>
        <r>
          <rPr>
            <sz val="9"/>
            <color indexed="81"/>
            <rFont val="Tahoma"/>
            <family val="2"/>
          </rPr>
          <t xml:space="preserve">
Out and back. Source: Training data</t>
        </r>
      </text>
    </comment>
    <comment ref="G22" authorId="0" shapeId="0" xr:uid="{A38189EE-7829-4D9C-B607-6989ED2FD4DA}">
      <text>
        <r>
          <rPr>
            <b/>
            <sz val="9"/>
            <color indexed="81"/>
            <rFont val="Tahoma"/>
            <family val="2"/>
          </rPr>
          <t>Michael Ye:</t>
        </r>
        <r>
          <rPr>
            <sz val="9"/>
            <color indexed="81"/>
            <rFont val="Tahoma"/>
            <family val="2"/>
          </rPr>
          <t xml:space="preserve">
Source: Training data</t>
        </r>
      </text>
    </comment>
    <comment ref="F23" authorId="0" shapeId="0" xr:uid="{77F5A32D-B752-41E7-9318-CFF301C70F4F}">
      <text>
        <r>
          <rPr>
            <b/>
            <sz val="9"/>
            <color indexed="81"/>
            <rFont val="Tahoma"/>
            <family val="2"/>
          </rPr>
          <t>Michael Ye:</t>
        </r>
        <r>
          <rPr>
            <sz val="9"/>
            <color indexed="81"/>
            <rFont val="Tahoma"/>
            <family val="2"/>
          </rPr>
          <t xml:space="preserve">
Out and back. Source: Training data</t>
        </r>
      </text>
    </comment>
    <comment ref="G23" authorId="0" shapeId="0" xr:uid="{AF0A229A-FA0E-48AE-BA31-FCC4A6056FF7}">
      <text>
        <r>
          <rPr>
            <b/>
            <sz val="9"/>
            <color indexed="81"/>
            <rFont val="Tahoma"/>
            <family val="2"/>
          </rPr>
          <t>Michael Ye:</t>
        </r>
        <r>
          <rPr>
            <sz val="9"/>
            <color indexed="81"/>
            <rFont val="Tahoma"/>
            <family val="2"/>
          </rPr>
          <t xml:space="preserve">
Source: Training data</t>
        </r>
      </text>
    </comment>
    <comment ref="F24" authorId="0" shapeId="0" xr:uid="{5B88B36C-0319-4B03-AB83-E17051369327}">
      <text>
        <r>
          <rPr>
            <b/>
            <sz val="9"/>
            <color indexed="81"/>
            <rFont val="Tahoma"/>
            <family val="2"/>
          </rPr>
          <t>Michael Ye:</t>
        </r>
        <r>
          <rPr>
            <sz val="9"/>
            <color indexed="81"/>
            <rFont val="Tahoma"/>
            <family val="2"/>
          </rPr>
          <t xml:space="preserve">
Out and back. Source: Training data</t>
        </r>
      </text>
    </comment>
    <comment ref="G24" authorId="0" shapeId="0" xr:uid="{FD95EE24-C23D-4802-A146-BE836AF16842}">
      <text>
        <r>
          <rPr>
            <b/>
            <sz val="9"/>
            <color indexed="81"/>
            <rFont val="Tahoma"/>
            <family val="2"/>
          </rPr>
          <t>Michael Ye:</t>
        </r>
        <r>
          <rPr>
            <sz val="9"/>
            <color indexed="81"/>
            <rFont val="Tahoma"/>
            <family val="2"/>
          </rPr>
          <t xml:space="preserve">
Source: Training data</t>
        </r>
      </text>
    </comment>
    <comment ref="F25" authorId="0" shapeId="0" xr:uid="{84BC90A2-0C58-471E-BB84-368B0883BD6E}">
      <text>
        <r>
          <rPr>
            <b/>
            <sz val="9"/>
            <color indexed="81"/>
            <rFont val="Tahoma"/>
            <family val="2"/>
          </rPr>
          <t>Michael Ye:</t>
        </r>
        <r>
          <rPr>
            <sz val="9"/>
            <color indexed="81"/>
            <rFont val="Tahoma"/>
            <family val="2"/>
          </rPr>
          <t xml:space="preserve">
Source: AllTrails, https://www.alltrails.com/trail/us/california/el-cajon-mountain-trail</t>
        </r>
      </text>
    </comment>
    <comment ref="G25" authorId="0" shapeId="0" xr:uid="{78E4178C-66C7-4ABD-B54F-855022D9013B}">
      <text>
        <r>
          <rPr>
            <b/>
            <sz val="9"/>
            <color indexed="81"/>
            <rFont val="Tahoma"/>
            <family val="2"/>
          </rPr>
          <t>Michael Ye:</t>
        </r>
        <r>
          <rPr>
            <sz val="9"/>
            <color indexed="81"/>
            <rFont val="Tahoma"/>
            <family val="2"/>
          </rPr>
          <t xml:space="preserve">
Source: ihikesandiego.com / getgooutdoors.com, https://www.ihikesandiego.com/el-cajon-mountain-hike/</t>
        </r>
      </text>
    </comment>
    <comment ref="H25" authorId="0" shapeId="0" xr:uid="{76F4879B-0D34-430D-AA4C-7D52B587475D}">
      <text>
        <r>
          <rPr>
            <b/>
            <sz val="9"/>
            <color indexed="81"/>
            <rFont val="Tahoma"/>
            <family val="2"/>
          </rPr>
          <t>Michael Ye:</t>
        </r>
        <r>
          <rPr>
            <sz val="9"/>
            <color indexed="81"/>
            <rFont val="Tahoma"/>
            <family val="2"/>
          </rPr>
          <t xml:space="preserve">
Source: getgooutdoors.com / SD Union-Tribune, https://getgooutdoors.com/el-cajon-mountain-trail/</t>
        </r>
      </text>
    </comment>
    <comment ref="F26" authorId="0" shapeId="0" xr:uid="{B9CD66E8-046B-492B-AED2-E59F5145F7E1}">
      <text>
        <r>
          <rPr>
            <b/>
            <sz val="9"/>
            <color indexed="81"/>
            <rFont val="Tahoma"/>
            <family val="2"/>
          </rPr>
          <t>Michael Ye:</t>
        </r>
        <r>
          <rPr>
            <sz val="9"/>
            <color indexed="81"/>
            <rFont val="Tahoma"/>
            <family val="2"/>
          </rPr>
          <t xml:space="preserve">
Out and back. Source: Training data</t>
        </r>
      </text>
    </comment>
    <comment ref="G26" authorId="0" shapeId="0" xr:uid="{E9807A6E-6D95-480A-B384-6498C8DE0A9F}">
      <text>
        <r>
          <rPr>
            <b/>
            <sz val="9"/>
            <color indexed="81"/>
            <rFont val="Tahoma"/>
            <family val="2"/>
          </rPr>
          <t>Michael Ye:</t>
        </r>
        <r>
          <rPr>
            <sz val="9"/>
            <color indexed="81"/>
            <rFont val="Tahoma"/>
            <family val="2"/>
          </rPr>
          <t xml:space="preserve">
Source: Training data</t>
        </r>
      </text>
    </comment>
    <comment ref="F27" authorId="0" shapeId="0" xr:uid="{33DB7291-C7E1-458F-8EAC-6F210E82E075}">
      <text>
        <r>
          <rPr>
            <b/>
            <sz val="9"/>
            <color indexed="81"/>
            <rFont val="Tahoma"/>
            <family val="2"/>
          </rPr>
          <t>Michael Ye:</t>
        </r>
        <r>
          <rPr>
            <sz val="9"/>
            <color indexed="81"/>
            <rFont val="Tahoma"/>
            <family val="2"/>
          </rPr>
          <t xml:space="preserve">
Out and back. Source: Training data</t>
        </r>
      </text>
    </comment>
    <comment ref="G27" authorId="0" shapeId="0" xr:uid="{5627F55A-9B02-40DB-A099-AAD11DE8F87B}">
      <text>
        <r>
          <rPr>
            <b/>
            <sz val="9"/>
            <color indexed="81"/>
            <rFont val="Tahoma"/>
            <family val="2"/>
          </rPr>
          <t>Michael Ye:</t>
        </r>
        <r>
          <rPr>
            <sz val="9"/>
            <color indexed="81"/>
            <rFont val="Tahoma"/>
            <family val="2"/>
          </rPr>
          <t xml:space="preserve">
Source: Training data</t>
        </r>
      </text>
    </comment>
    <comment ref="F28" authorId="0" shapeId="0" xr:uid="{6DE90E5C-F3AE-4D54-8A4D-1EC3F3E34F14}">
      <text>
        <r>
          <rPr>
            <b/>
            <sz val="9"/>
            <color indexed="81"/>
            <rFont val="Tahoma"/>
            <family val="2"/>
          </rPr>
          <t>Michael Ye:</t>
        </r>
        <r>
          <rPr>
            <sz val="9"/>
            <color indexed="81"/>
            <rFont val="Tahoma"/>
            <family val="2"/>
          </rPr>
          <t xml:space="preserve">
Loop with stairs. Source: Training data</t>
        </r>
      </text>
    </comment>
    <comment ref="G28" authorId="0" shapeId="0" xr:uid="{B6C500F8-2571-4218-8650-C1717F585803}">
      <text>
        <r>
          <rPr>
            <b/>
            <sz val="9"/>
            <color indexed="81"/>
            <rFont val="Tahoma"/>
            <family val="2"/>
          </rPr>
          <t>Michael Ye:</t>
        </r>
        <r>
          <rPr>
            <sz val="9"/>
            <color indexed="81"/>
            <rFont val="Tahoma"/>
            <family val="2"/>
          </rPr>
          <t xml:space="preserve">
Source: Training data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 Ye</author>
  </authors>
  <commentList>
    <comment ref="C4" authorId="0" shapeId="0" xr:uid="{5866C23D-FA2B-41F8-B67A-7DB5A2001C4A}">
      <text>
        <r>
          <rPr>
            <b/>
            <sz val="9"/>
            <color indexed="81"/>
            <rFont val="Tahoma"/>
            <family val="2"/>
          </rPr>
          <t>Michael Ye:</t>
        </r>
        <r>
          <rPr>
            <sz val="9"/>
            <color indexed="81"/>
            <rFont val="Tahoma"/>
            <family val="2"/>
          </rPr>
          <t xml:space="preserve">
Enter date: mm/dd/yyyy</t>
        </r>
      </text>
    </comment>
    <comment ref="D4" authorId="0" shapeId="0" xr:uid="{356F5976-27D8-4C1E-9F7E-C5A2F27CEACD}">
      <text>
        <r>
          <rPr>
            <b/>
            <sz val="9"/>
            <color indexed="81"/>
            <rFont val="Tahoma"/>
            <family val="2"/>
          </rPr>
          <t>Michael Ye:</t>
        </r>
        <r>
          <rPr>
            <sz val="9"/>
            <color indexed="81"/>
            <rFont val="Tahoma"/>
            <family val="2"/>
          </rPr>
          <t xml:space="preserve">
Enter date: mm/dd/yyyy</t>
        </r>
      </text>
    </comment>
    <comment ref="E4" authorId="0" shapeId="0" xr:uid="{D97133BA-1098-4287-95DC-5D7CDA4D67BE}">
      <text>
        <r>
          <rPr>
            <b/>
            <sz val="9"/>
            <color indexed="81"/>
            <rFont val="Tahoma"/>
            <family val="2"/>
          </rPr>
          <t>Michael Ye:</t>
        </r>
        <r>
          <rPr>
            <sz val="9"/>
            <color indexed="81"/>
            <rFont val="Tahoma"/>
            <family val="2"/>
          </rPr>
          <t xml:space="preserve">
Enter date: mm/dd/yyyy</t>
        </r>
      </text>
    </comment>
    <comment ref="F4" authorId="0" shapeId="0" xr:uid="{2CAA8343-987A-4585-AE80-C946BAA479EC}">
      <text>
        <r>
          <rPr>
            <b/>
            <sz val="9"/>
            <color indexed="81"/>
            <rFont val="Tahoma"/>
            <family val="2"/>
          </rPr>
          <t>Michael Ye:</t>
        </r>
        <r>
          <rPr>
            <sz val="9"/>
            <color indexed="81"/>
            <rFont val="Tahoma"/>
            <family val="2"/>
          </rPr>
          <t xml:space="preserve">
Enter date: mm/dd/yyyy</t>
        </r>
      </text>
    </comment>
    <comment ref="C11" authorId="0" shapeId="0" xr:uid="{114BA547-CB0D-4E12-B484-3983E6E01BF3}">
      <text>
        <r>
          <rPr>
            <b/>
            <sz val="9"/>
            <color indexed="81"/>
            <rFont val="Tahoma"/>
            <family val="2"/>
          </rPr>
          <t>Michael Ye:</t>
        </r>
        <r>
          <rPr>
            <sz val="9"/>
            <color indexed="81"/>
            <rFont val="Tahoma"/>
            <family val="2"/>
          </rPr>
          <t xml:space="preserve">
true / false</t>
        </r>
      </text>
    </comment>
    <comment ref="D11" authorId="0" shapeId="0" xr:uid="{D273D014-4E2A-487B-8136-4D740A06F0AD}">
      <text>
        <r>
          <rPr>
            <b/>
            <sz val="9"/>
            <color indexed="81"/>
            <rFont val="Tahoma"/>
            <family val="2"/>
          </rPr>
          <t>Michael Ye:</t>
        </r>
        <r>
          <rPr>
            <sz val="9"/>
            <color indexed="81"/>
            <rFont val="Tahoma"/>
            <family val="2"/>
          </rPr>
          <t xml:space="preserve">
true / false</t>
        </r>
      </text>
    </comment>
    <comment ref="E11" authorId="0" shapeId="0" xr:uid="{1021D0BA-D388-4179-A4EB-BC68A8F3F502}">
      <text>
        <r>
          <rPr>
            <b/>
            <sz val="9"/>
            <color indexed="81"/>
            <rFont val="Tahoma"/>
            <family val="2"/>
          </rPr>
          <t>Michael Ye:</t>
        </r>
        <r>
          <rPr>
            <sz val="9"/>
            <color indexed="81"/>
            <rFont val="Tahoma"/>
            <family val="2"/>
          </rPr>
          <t xml:space="preserve">
true / false</t>
        </r>
      </text>
    </comment>
    <comment ref="F11" authorId="0" shapeId="0" xr:uid="{FBE90BDA-12C2-488F-BAFF-849A94DB5A71}">
      <text>
        <r>
          <rPr>
            <b/>
            <sz val="9"/>
            <color indexed="81"/>
            <rFont val="Tahoma"/>
            <family val="2"/>
          </rPr>
          <t>Michael Ye:</t>
        </r>
        <r>
          <rPr>
            <sz val="9"/>
            <color indexed="81"/>
            <rFont val="Tahoma"/>
            <family val="2"/>
          </rPr>
          <t xml:space="preserve">
true / false</t>
        </r>
      </text>
    </comment>
    <comment ref="C12" authorId="0" shapeId="0" xr:uid="{0561C5B7-224C-430E-967A-EC4C677014E3}">
      <text>
        <r>
          <rPr>
            <b/>
            <sz val="9"/>
            <color indexed="81"/>
            <rFont val="Tahoma"/>
            <family val="2"/>
          </rPr>
          <t>e.g., 70%</t>
        </r>
      </text>
    </comment>
    <comment ref="D12" authorId="0" shapeId="0" xr:uid="{9C1E75F8-16BE-4DBE-8695-041568F2A2D8}">
      <text>
        <r>
          <rPr>
            <b/>
            <sz val="9"/>
            <color indexed="81"/>
            <rFont val="Tahoma"/>
            <family val="2"/>
          </rPr>
          <t>e.g., 70%</t>
        </r>
      </text>
    </comment>
    <comment ref="E12" authorId="0" shapeId="0" xr:uid="{C6F90F35-92E1-4F8D-91CD-8FAE0FB30140}">
      <text>
        <r>
          <rPr>
            <b/>
            <sz val="9"/>
            <color indexed="81"/>
            <rFont val="Tahoma"/>
            <family val="2"/>
          </rPr>
          <t>e.g., 70%</t>
        </r>
      </text>
    </comment>
    <comment ref="F12" authorId="0" shapeId="0" xr:uid="{FAE42DDD-93D3-4974-8103-90CC33269DD8}">
      <text>
        <r>
          <rPr>
            <b/>
            <sz val="9"/>
            <color indexed="81"/>
            <rFont val="Tahoma"/>
            <family val="2"/>
          </rPr>
          <t>e.g., 70%</t>
        </r>
      </text>
    </comment>
    <comment ref="C13" authorId="0" shapeId="0" xr:uid="{B129B369-0887-4E26-999A-59384D7AAA21}">
      <text>
        <r>
          <rPr>
            <b/>
            <sz val="9"/>
            <color indexed="81"/>
            <rFont val="Tahoma"/>
            <family val="2"/>
          </rPr>
          <t>Michael Ye:</t>
        </r>
        <r>
          <rPr>
            <sz val="9"/>
            <color indexed="81"/>
            <rFont val="Tahoma"/>
            <family val="2"/>
          </rPr>
          <t xml:space="preserve">
e.g., 30%</t>
        </r>
      </text>
    </comment>
    <comment ref="D13" authorId="0" shapeId="0" xr:uid="{D6BF3174-974B-4FC5-9FAB-DC0B7D98EFB1}">
      <text>
        <r>
          <rPr>
            <b/>
            <sz val="9"/>
            <color indexed="81"/>
            <rFont val="Tahoma"/>
            <family val="2"/>
          </rPr>
          <t>Michael Ye:</t>
        </r>
        <r>
          <rPr>
            <sz val="9"/>
            <color indexed="81"/>
            <rFont val="Tahoma"/>
            <family val="2"/>
          </rPr>
          <t xml:space="preserve">
e.g., 30%</t>
        </r>
      </text>
    </comment>
    <comment ref="E13" authorId="0" shapeId="0" xr:uid="{E1676B7F-66E0-4A40-A913-B4D3E7FBAF21}">
      <text>
        <r>
          <rPr>
            <b/>
            <sz val="9"/>
            <color indexed="81"/>
            <rFont val="Tahoma"/>
            <family val="2"/>
          </rPr>
          <t>Michael Ye:</t>
        </r>
        <r>
          <rPr>
            <sz val="9"/>
            <color indexed="81"/>
            <rFont val="Tahoma"/>
            <family val="2"/>
          </rPr>
          <t xml:space="preserve">
e.g., 30%</t>
        </r>
      </text>
    </comment>
    <comment ref="F13" authorId="0" shapeId="0" xr:uid="{D12EDBD0-38B5-4EBD-8500-869EAA494B02}">
      <text>
        <r>
          <rPr>
            <b/>
            <sz val="9"/>
            <color indexed="81"/>
            <rFont val="Tahoma"/>
            <family val="2"/>
          </rPr>
          <t>Michael Ye:</t>
        </r>
        <r>
          <rPr>
            <sz val="9"/>
            <color indexed="81"/>
            <rFont val="Tahoma"/>
            <family val="2"/>
          </rPr>
          <t xml:space="preserve">
e.g., 30%</t>
        </r>
      </text>
    </comment>
    <comment ref="C15" authorId="0" shapeId="0" xr:uid="{FC3F8D1B-74D6-42F4-9C98-36A4CF69A3A4}">
      <text>
        <r>
          <rPr>
            <b/>
            <sz val="9"/>
            <color indexed="81"/>
            <rFont val="Tahoma"/>
            <family val="2"/>
          </rPr>
          <t>Michael Ye:</t>
        </r>
        <r>
          <rPr>
            <sz val="9"/>
            <color indexed="81"/>
            <rFont val="Tahoma"/>
            <family val="2"/>
          </rPr>
          <t xml:space="preserve">
flat / mild incline</t>
        </r>
      </text>
    </comment>
    <comment ref="D15" authorId="0" shapeId="0" xr:uid="{BA9F97EE-2487-438B-9F3F-366450D5D114}">
      <text>
        <r>
          <rPr>
            <b/>
            <sz val="9"/>
            <color indexed="81"/>
            <rFont val="Tahoma"/>
            <family val="2"/>
          </rPr>
          <t>Michael Ye:</t>
        </r>
        <r>
          <rPr>
            <sz val="9"/>
            <color indexed="81"/>
            <rFont val="Tahoma"/>
            <family val="2"/>
          </rPr>
          <t xml:space="preserve">
flat / mild incline</t>
        </r>
      </text>
    </comment>
    <comment ref="E15" authorId="0" shapeId="0" xr:uid="{20172DE4-F3EC-41C2-8EE5-C0ADFCFB608A}">
      <text>
        <r>
          <rPr>
            <b/>
            <sz val="9"/>
            <color indexed="81"/>
            <rFont val="Tahoma"/>
            <family val="2"/>
          </rPr>
          <t>Michael Ye:</t>
        </r>
        <r>
          <rPr>
            <sz val="9"/>
            <color indexed="81"/>
            <rFont val="Tahoma"/>
            <family val="2"/>
          </rPr>
          <t xml:space="preserve">
flat / mild incline</t>
        </r>
      </text>
    </comment>
    <comment ref="F15" authorId="0" shapeId="0" xr:uid="{695035C0-BE27-4DB4-B6B5-EFFF4B9D0215}">
      <text>
        <r>
          <rPr>
            <b/>
            <sz val="9"/>
            <color indexed="81"/>
            <rFont val="Tahoma"/>
            <family val="2"/>
          </rPr>
          <t>Michael Ye:</t>
        </r>
        <r>
          <rPr>
            <sz val="9"/>
            <color indexed="81"/>
            <rFont val="Tahoma"/>
            <family val="2"/>
          </rPr>
          <t xml:space="preserve">
flat / mild incline</t>
        </r>
      </text>
    </comment>
    <comment ref="K21" authorId="0" shapeId="0" xr:uid="{116E78D1-637E-4A0F-8EA8-48E941349850}">
      <text>
        <r>
          <rPr>
            <b/>
            <sz val="9"/>
            <color indexed="81"/>
            <rFont val="Tahoma"/>
            <family val="2"/>
          </rPr>
          <t>Michael Ye:</t>
        </r>
        <r>
          <rPr>
            <sz val="9"/>
            <color indexed="81"/>
            <rFont val="Tahoma"/>
            <family val="2"/>
          </rPr>
          <t xml:space="preserve">
Estimated. Likely inflated due to 15-min phone conversation during session (see K37). True cardiac drift from exercise alone is probably closer to ~0.05-0.06.</t>
        </r>
      </text>
    </comment>
    <comment ref="C22" authorId="0" shapeId="0" xr:uid="{18FAC5F2-F513-4895-83BE-83740B8DCEA4}">
      <text>
        <r>
          <rPr>
            <b/>
            <sz val="9"/>
            <color indexed="81"/>
            <rFont val="Tahoma"/>
            <family val="2"/>
          </rPr>
          <t>e.g., 78 (Garmin 0-100 scale)</t>
        </r>
      </text>
    </comment>
    <comment ref="D22" authorId="0" shapeId="0" xr:uid="{237DDE33-A88D-45C5-8582-B5B03F1246FB}">
      <text>
        <r>
          <rPr>
            <b/>
            <sz val="9"/>
            <color indexed="81"/>
            <rFont val="Tahoma"/>
            <family val="2"/>
          </rPr>
          <t>e.g., 78 (Garmin 0-100 scale)</t>
        </r>
      </text>
    </comment>
    <comment ref="E22" authorId="0" shapeId="0" xr:uid="{702806CE-95C0-4C17-B525-06694EA39DEA}">
      <text>
        <r>
          <rPr>
            <b/>
            <sz val="9"/>
            <color indexed="81"/>
            <rFont val="Tahoma"/>
            <family val="2"/>
          </rPr>
          <t>e.g., 78 (Garmin 0-100 scale)</t>
        </r>
      </text>
    </comment>
    <comment ref="F22" authorId="0" shapeId="0" xr:uid="{E5982D30-FCB4-4716-9A08-EFC0DC206856}">
      <text>
        <r>
          <rPr>
            <b/>
            <sz val="9"/>
            <color indexed="81"/>
            <rFont val="Tahoma"/>
            <family val="2"/>
          </rPr>
          <t>e.g., 78 (Garmin 0-100 scale)</t>
        </r>
      </text>
    </comment>
    <comment ref="C24" authorId="0" shapeId="0" xr:uid="{4E08411A-A00D-497E-9421-716683E6EC83}">
      <text>
        <r>
          <rPr>
            <b/>
            <sz val="9"/>
            <color indexed="81"/>
            <rFont val="Tahoma"/>
            <family val="2"/>
          </rPr>
          <t>Michael Ye:</t>
        </r>
        <r>
          <rPr>
            <sz val="9"/>
            <color indexed="81"/>
            <rFont val="Tahoma"/>
            <family val="2"/>
          </rPr>
          <t xml:space="preserve">
e.g., RPE 1-10</t>
        </r>
      </text>
    </comment>
    <comment ref="D24" authorId="0" shapeId="0" xr:uid="{0BE1FF6E-E7D0-482B-B189-B5A93BBBA004}">
      <text>
        <r>
          <rPr>
            <b/>
            <sz val="9"/>
            <color indexed="81"/>
            <rFont val="Tahoma"/>
            <family val="2"/>
          </rPr>
          <t>Michael Ye:</t>
        </r>
        <r>
          <rPr>
            <sz val="9"/>
            <color indexed="81"/>
            <rFont val="Tahoma"/>
            <family val="2"/>
          </rPr>
          <t xml:space="preserve">
e.g., RPE 1-10</t>
        </r>
      </text>
    </comment>
    <comment ref="E24" authorId="0" shapeId="0" xr:uid="{BFFCAB48-EFBB-4BA0-9C50-6283DC0D74EC}">
      <text>
        <r>
          <rPr>
            <b/>
            <sz val="9"/>
            <color indexed="81"/>
            <rFont val="Tahoma"/>
            <family val="2"/>
          </rPr>
          <t>Michael Ye:</t>
        </r>
        <r>
          <rPr>
            <sz val="9"/>
            <color indexed="81"/>
            <rFont val="Tahoma"/>
            <family val="2"/>
          </rPr>
          <t xml:space="preserve">
e.g., RPE 1-10</t>
        </r>
      </text>
    </comment>
    <comment ref="F24" authorId="0" shapeId="0" xr:uid="{21D8E958-4D68-4F10-9FE7-5A02E3D3B8B3}">
      <text>
        <r>
          <rPr>
            <b/>
            <sz val="9"/>
            <color indexed="81"/>
            <rFont val="Tahoma"/>
            <family val="2"/>
          </rPr>
          <t>Michael Ye:</t>
        </r>
        <r>
          <rPr>
            <sz val="9"/>
            <color indexed="81"/>
            <rFont val="Tahoma"/>
            <family val="2"/>
          </rPr>
          <t xml:space="preserve">
e.g., RPE 1-10</t>
        </r>
      </text>
    </comment>
    <comment ref="C29" authorId="0" shapeId="0" xr:uid="{4F6F6EB1-039F-43BB-9B93-626F0094E6D3}">
      <text>
        <r>
          <rPr>
            <b/>
            <sz val="9"/>
            <color indexed="81"/>
            <rFont val="Tahoma"/>
            <family val="2"/>
          </rPr>
          <t>Stable / Elevated HR drift / Sluggish / Strong</t>
        </r>
      </text>
    </comment>
    <comment ref="D29" authorId="0" shapeId="0" xr:uid="{2DEB6FD6-3623-41A6-A711-E02477F4D7D6}">
      <text>
        <r>
          <rPr>
            <b/>
            <sz val="9"/>
            <color indexed="81"/>
            <rFont val="Tahoma"/>
            <family val="2"/>
          </rPr>
          <t>Stable / Elevated HR drift / Sluggish / Strong</t>
        </r>
      </text>
    </comment>
    <comment ref="E29" authorId="0" shapeId="0" xr:uid="{C7DB03AA-669D-4960-8D2A-7E72057B5730}">
      <text>
        <r>
          <rPr>
            <b/>
            <sz val="9"/>
            <color indexed="81"/>
            <rFont val="Tahoma"/>
            <family val="2"/>
          </rPr>
          <t>Stable / Elevated HR drift / Sluggish / Strong</t>
        </r>
      </text>
    </comment>
    <comment ref="F29" authorId="0" shapeId="0" xr:uid="{0EC10E24-3724-4B6C-8EFA-35F4964BC997}">
      <text>
        <r>
          <rPr>
            <b/>
            <sz val="9"/>
            <color indexed="81"/>
            <rFont val="Tahoma"/>
            <family val="2"/>
          </rPr>
          <t>Stable / Elevated HR drift / Sluggish / Strong</t>
        </r>
      </text>
    </comment>
    <comment ref="C31" authorId="0" shapeId="0" xr:uid="{883C4398-5A38-4903-A0CA-749CB97146A2}">
      <text>
        <r>
          <rPr>
            <b/>
            <sz val="9"/>
            <color indexed="81"/>
            <rFont val="Tahoma"/>
            <family val="2"/>
          </rPr>
          <t>Michael Ye:</t>
        </r>
        <r>
          <rPr>
            <sz val="9"/>
            <color indexed="81"/>
            <rFont val="Tahoma"/>
            <family val="2"/>
          </rPr>
          <t xml:space="preserve">
yes / no</t>
        </r>
      </text>
    </comment>
    <comment ref="D31" authorId="0" shapeId="0" xr:uid="{B8C4D4ED-A36D-4CBA-8281-32F0FFEF408E}">
      <text>
        <r>
          <rPr>
            <b/>
            <sz val="9"/>
            <color indexed="81"/>
            <rFont val="Tahoma"/>
            <family val="2"/>
          </rPr>
          <t>Michael Ye:</t>
        </r>
        <r>
          <rPr>
            <sz val="9"/>
            <color indexed="81"/>
            <rFont val="Tahoma"/>
            <family val="2"/>
          </rPr>
          <t xml:space="preserve">
yes / no</t>
        </r>
      </text>
    </comment>
    <comment ref="E31" authorId="0" shapeId="0" xr:uid="{3834E0FE-49B9-4119-84D0-B3A2BFA09C0A}">
      <text>
        <r>
          <rPr>
            <b/>
            <sz val="9"/>
            <color indexed="81"/>
            <rFont val="Tahoma"/>
            <family val="2"/>
          </rPr>
          <t>Michael Ye:</t>
        </r>
        <r>
          <rPr>
            <sz val="9"/>
            <color indexed="81"/>
            <rFont val="Tahoma"/>
            <family val="2"/>
          </rPr>
          <t xml:space="preserve">
yes / no</t>
        </r>
      </text>
    </comment>
    <comment ref="F31" authorId="0" shapeId="0" xr:uid="{07C7B8D8-9913-4670-B4A4-48D8065B6DF0}">
      <text>
        <r>
          <rPr>
            <b/>
            <sz val="9"/>
            <color indexed="81"/>
            <rFont val="Tahoma"/>
            <family val="2"/>
          </rPr>
          <t>Michael Ye:</t>
        </r>
        <r>
          <rPr>
            <sz val="9"/>
            <color indexed="81"/>
            <rFont val="Tahoma"/>
            <family val="2"/>
          </rPr>
          <t xml:space="preserve">
yes / no</t>
        </r>
      </text>
    </comment>
    <comment ref="C32" authorId="0" shapeId="0" xr:uid="{164523E0-6AF0-44FB-9B98-922B3A4A4323}">
      <text>
        <r>
          <rPr>
            <b/>
            <sz val="9"/>
            <color indexed="81"/>
            <rFont val="Tahoma"/>
            <family val="2"/>
          </rPr>
          <t>Michael Ye:</t>
        </r>
        <r>
          <rPr>
            <sz val="9"/>
            <color indexed="81"/>
            <rFont val="Tahoma"/>
            <family val="2"/>
          </rPr>
          <t xml:space="preserve">
e.g., LMNT, Liquid IV, etc.</t>
        </r>
      </text>
    </comment>
    <comment ref="D32" authorId="0" shapeId="0" xr:uid="{7971999B-0148-45F8-8743-CBE7EF483349}">
      <text>
        <r>
          <rPr>
            <b/>
            <sz val="9"/>
            <color indexed="81"/>
            <rFont val="Tahoma"/>
            <family val="2"/>
          </rPr>
          <t>Michael Ye:</t>
        </r>
        <r>
          <rPr>
            <sz val="9"/>
            <color indexed="81"/>
            <rFont val="Tahoma"/>
            <family val="2"/>
          </rPr>
          <t xml:space="preserve">
e.g., LMNT, Liquid IV, etc.</t>
        </r>
      </text>
    </comment>
    <comment ref="E32" authorId="0" shapeId="0" xr:uid="{D2BA472E-13EB-4B6B-8182-AF8E447A1ED0}">
      <text>
        <r>
          <rPr>
            <b/>
            <sz val="9"/>
            <color indexed="81"/>
            <rFont val="Tahoma"/>
            <family val="2"/>
          </rPr>
          <t>Michael Ye:</t>
        </r>
        <r>
          <rPr>
            <sz val="9"/>
            <color indexed="81"/>
            <rFont val="Tahoma"/>
            <family val="2"/>
          </rPr>
          <t xml:space="preserve">
e.g., LMNT, Liquid IV, etc.</t>
        </r>
      </text>
    </comment>
    <comment ref="F32" authorId="0" shapeId="0" xr:uid="{55370064-0382-4ABD-AAA5-C10B55131A61}">
      <text>
        <r>
          <rPr>
            <b/>
            <sz val="9"/>
            <color indexed="81"/>
            <rFont val="Tahoma"/>
            <family val="2"/>
          </rPr>
          <t>Michael Ye:</t>
        </r>
        <r>
          <rPr>
            <sz val="9"/>
            <color indexed="81"/>
            <rFont val="Tahoma"/>
            <family val="2"/>
          </rPr>
          <t xml:space="preserve">
e.g., LMNT, Liquid IV, etc.</t>
        </r>
      </text>
    </comment>
    <comment ref="C33" authorId="0" shapeId="0" xr:uid="{71B93454-86E7-447D-A497-AC6C540C389A}">
      <text>
        <r>
          <rPr>
            <b/>
            <sz val="9"/>
            <color indexed="81"/>
            <rFont val="Tahoma"/>
            <family val="2"/>
          </rPr>
          <t>Michael Ye:</t>
        </r>
        <r>
          <rPr>
            <sz val="9"/>
            <color indexed="81"/>
            <rFont val="Tahoma"/>
            <family val="2"/>
          </rPr>
          <t xml:space="preserve">
water only / electrolyte mix</t>
        </r>
      </text>
    </comment>
    <comment ref="D33" authorId="0" shapeId="0" xr:uid="{70E41987-BC0D-4C19-A2A6-601E7007DAA0}">
      <text>
        <r>
          <rPr>
            <b/>
            <sz val="9"/>
            <color indexed="81"/>
            <rFont val="Tahoma"/>
            <family val="2"/>
          </rPr>
          <t>Michael Ye:</t>
        </r>
        <r>
          <rPr>
            <sz val="9"/>
            <color indexed="81"/>
            <rFont val="Tahoma"/>
            <family val="2"/>
          </rPr>
          <t xml:space="preserve">
water only / electrolyte mix</t>
        </r>
      </text>
    </comment>
    <comment ref="E33" authorId="0" shapeId="0" xr:uid="{59B5FE4A-FF08-432F-B058-337B1C3964C8}">
      <text>
        <r>
          <rPr>
            <b/>
            <sz val="9"/>
            <color indexed="81"/>
            <rFont val="Tahoma"/>
            <family val="2"/>
          </rPr>
          <t>Michael Ye:</t>
        </r>
        <r>
          <rPr>
            <sz val="9"/>
            <color indexed="81"/>
            <rFont val="Tahoma"/>
            <family val="2"/>
          </rPr>
          <t xml:space="preserve">
water only / electrolyte mix</t>
        </r>
      </text>
    </comment>
    <comment ref="F33" authorId="0" shapeId="0" xr:uid="{0C53CC06-4F71-4552-91FF-034208BBC7EE}">
      <text>
        <r>
          <rPr>
            <b/>
            <sz val="9"/>
            <color indexed="81"/>
            <rFont val="Tahoma"/>
            <family val="2"/>
          </rPr>
          <t>Michael Ye:</t>
        </r>
        <r>
          <rPr>
            <sz val="9"/>
            <color indexed="81"/>
            <rFont val="Tahoma"/>
            <family val="2"/>
          </rPr>
          <t xml:space="preserve">
water only / electrolyte mix</t>
        </r>
      </text>
    </comment>
    <comment ref="C35" authorId="0" shapeId="0" xr:uid="{45999B0D-12B8-4B99-B6FF-B2D4063D6ABF}">
      <text>
        <r>
          <rPr>
            <b/>
            <sz val="9"/>
            <color indexed="81"/>
            <rFont val="Tahoma"/>
            <family val="2"/>
          </rPr>
          <t>Michael Ye:</t>
        </r>
        <r>
          <rPr>
            <sz val="9"/>
            <color indexed="81"/>
            <rFont val="Tahoma"/>
            <family val="2"/>
          </rPr>
          <t xml:space="preserve">
improved / stable / deteriorated</t>
        </r>
      </text>
    </comment>
    <comment ref="D35" authorId="0" shapeId="0" xr:uid="{D58B48A7-888F-40C8-9060-125284206191}">
      <text>
        <r>
          <rPr>
            <b/>
            <sz val="9"/>
            <color indexed="81"/>
            <rFont val="Tahoma"/>
            <family val="2"/>
          </rPr>
          <t>Michael Ye:</t>
        </r>
        <r>
          <rPr>
            <sz val="9"/>
            <color indexed="81"/>
            <rFont val="Tahoma"/>
            <family val="2"/>
          </rPr>
          <t xml:space="preserve">
improved / stable / deteriorated</t>
        </r>
      </text>
    </comment>
    <comment ref="E35" authorId="0" shapeId="0" xr:uid="{F2030203-CC08-478D-BCDB-503F0387FEDF}">
      <text>
        <r>
          <rPr>
            <b/>
            <sz val="9"/>
            <color indexed="81"/>
            <rFont val="Tahoma"/>
            <family val="2"/>
          </rPr>
          <t>Michael Ye:</t>
        </r>
        <r>
          <rPr>
            <sz val="9"/>
            <color indexed="81"/>
            <rFont val="Tahoma"/>
            <family val="2"/>
          </rPr>
          <t xml:space="preserve">
improved / stable / deteriorated</t>
        </r>
      </text>
    </comment>
    <comment ref="F35" authorId="0" shapeId="0" xr:uid="{C5873BA4-EFFC-4FD9-AF2A-6EEC2246709F}">
      <text>
        <r>
          <rPr>
            <b/>
            <sz val="9"/>
            <color indexed="81"/>
            <rFont val="Tahoma"/>
            <family val="2"/>
          </rPr>
          <t>Michael Ye:</t>
        </r>
        <r>
          <rPr>
            <sz val="9"/>
            <color indexed="81"/>
            <rFont val="Tahoma"/>
            <family val="2"/>
          </rPr>
          <t xml:space="preserve">
improved / stable / deteriorated</t>
        </r>
      </text>
    </comment>
    <comment ref="C36" authorId="0" shapeId="0" xr:uid="{2A717BA5-687F-45FF-A5BD-89F5AA1A6CD0}">
      <text>
        <r>
          <rPr>
            <b/>
            <sz val="9"/>
            <color indexed="81"/>
            <rFont val="Tahoma"/>
            <family val="2"/>
          </rPr>
          <t>Michael Ye:</t>
        </r>
        <r>
          <rPr>
            <sz val="9"/>
            <color indexed="81"/>
            <rFont val="Tahoma"/>
            <family val="2"/>
          </rPr>
          <t xml:space="preserve">
ready / not-ready</t>
        </r>
      </text>
    </comment>
    <comment ref="D36" authorId="0" shapeId="0" xr:uid="{B09074A8-0F90-4A83-8DD8-58DF71081EE8}">
      <text>
        <r>
          <rPr>
            <b/>
            <sz val="9"/>
            <color indexed="81"/>
            <rFont val="Tahoma"/>
            <family val="2"/>
          </rPr>
          <t>Michael Ye:</t>
        </r>
        <r>
          <rPr>
            <sz val="9"/>
            <color indexed="81"/>
            <rFont val="Tahoma"/>
            <family val="2"/>
          </rPr>
          <t xml:space="preserve">
ready / not-ready</t>
        </r>
      </text>
    </comment>
    <comment ref="E36" authorId="0" shapeId="0" xr:uid="{C4FBF15D-0555-4910-BFF6-CC1C04D34FCA}">
      <text>
        <r>
          <rPr>
            <b/>
            <sz val="9"/>
            <color indexed="81"/>
            <rFont val="Tahoma"/>
            <family val="2"/>
          </rPr>
          <t>Michael Ye:</t>
        </r>
        <r>
          <rPr>
            <sz val="9"/>
            <color indexed="81"/>
            <rFont val="Tahoma"/>
            <family val="2"/>
          </rPr>
          <t xml:space="preserve">
ready / not-ready</t>
        </r>
      </text>
    </comment>
    <comment ref="F36" authorId="0" shapeId="0" xr:uid="{3AAE68CC-568D-4B91-B023-8489C4DECEC6}">
      <text>
        <r>
          <rPr>
            <b/>
            <sz val="9"/>
            <color indexed="81"/>
            <rFont val="Tahoma"/>
            <family val="2"/>
          </rPr>
          <t>Michael Ye:</t>
        </r>
        <r>
          <rPr>
            <sz val="9"/>
            <color indexed="81"/>
            <rFont val="Tahoma"/>
            <family val="2"/>
          </rPr>
          <t xml:space="preserve">
ready / not-ready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tc={580A920C-E1F1-4646-9657-4F32B48B26AE}</author>
    <author>tc={90999838-C132-4D37-816A-3FB09BA705BF}</author>
    <author>Michael Ye</author>
    <author>tc={444F1125-3C9B-46D6-BF65-3198A8D111D7}</author>
    <author>tc={B4E154F4-AE49-4339-9A7D-40E6108087FF}</author>
    <author>tc={E368930D-5CB3-4A18-A714-2CDE8D93F8A1}</author>
    <author>tc={478F51F4-D169-4E51-B443-0BD2DE7C58DF}</author>
    <author>tc={2C70FC02-AEFF-4995-93DD-A737954F8AFA}</author>
    <author>tc={06429893-DE98-4857-ACB7-F3283293286D}</author>
  </authors>
  <commentList>
    <comment ref="C12" authorId="0" shapeId="0" xr:uid="{580A920C-E1F1-4646-9657-4F32B48B26AE}">
      <text>
        <t>[Threaded comment]
Your version of Excel allows you to read this threaded comment; however, any edits to it will get removed if the file is opened in a newer version of Excel. Learn more: https://go.microsoft.com/fwlink/?linkid=870924
Comment:
    Michael Ye:
true / false</t>
      </text>
    </comment>
    <comment ref="C14" authorId="1" shapeId="0" xr:uid="{90999838-C132-4D37-816A-3FB09BA705BF}">
      <text>
        <t>[Threaded comment]
Your version of Excel allows you to read this threaded comment; however, any edits to it will get removed if the file is opened in a newer version of Excel. Learn more: https://go.microsoft.com/fwlink/?linkid=870924
Comment:
    Michael Ye:
flat / mild incline / hilly</t>
      </text>
    </comment>
    <comment ref="E23" authorId="2" shapeId="0" xr:uid="{92FAF01D-7918-43ED-95F2-B4E5F06A7B55}">
      <text>
        <r>
          <rPr>
            <b/>
            <sz val="9"/>
            <color indexed="81"/>
            <rFont val="Tahoma"/>
            <family val="2"/>
          </rPr>
          <t>Michael Ye:</t>
        </r>
        <r>
          <rPr>
            <sz val="9"/>
            <color indexed="81"/>
            <rFont val="Tahoma"/>
            <family val="2"/>
          </rPr>
          <t xml:space="preserve">
Estimated from Garmin HR chart. First-half avg ~149, second-half avg ~156. Consistent with improving fitness trend (S1: 7.0%, S2: 5.5%, S3: 4.7%).</t>
        </r>
      </text>
    </comment>
    <comment ref="C45" authorId="3" shapeId="0" xr:uid="{444F1125-3C9B-46D6-BF65-3198A8D111D7}">
      <text>
        <t>[Threaded comment]
Your version of Excel allows you to read this threaded comment; however, any edits to it will get removed if the file is opened in a newer version of Excel. Learn more: https://go.microsoft.com/fwlink/?linkid=870924
Comment:
    Michael Ye:
improved / stable / deteriorated</t>
      </text>
    </comment>
    <comment ref="C46" authorId="4" shapeId="0" xr:uid="{B4E154F4-AE49-4339-9A7D-40E6108087FF}">
      <text>
        <t>[Threaded comment]
Your version of Excel allows you to read this threaded comment; however, any edits to it will get removed if the file is opened in a newer version of Excel. Learn more: https://go.microsoft.com/fwlink/?linkid=870924
Comment:
    Michael Ye:
ready / not-ready</t>
      </text>
    </comment>
    <comment ref="C48" authorId="5" shapeId="0" xr:uid="{E368930D-5CB3-4A18-A714-2CDE8D93F8A1}">
      <text>
        <t>[Threaded comment]
Your version of Excel allows you to read this threaded comment; however, any edits to it will get removed if the file is opened in a newer version of Excel. Learn more: https://go.microsoft.com/fwlink/?linkid=870924
Comment:
    Stable / Elevated HR drift / Sluggish / Strong</t>
      </text>
    </comment>
    <comment ref="C49" authorId="6" shapeId="0" xr:uid="{478F51F4-D169-4E51-B443-0BD2DE7C58DF}">
      <text>
        <t>[Threaded comment]
Your version of Excel allows you to read this threaded comment; however, any edits to it will get removed if the file is opened in a newer version of Excel. Learn more: https://go.microsoft.com/fwlink/?linkid=870924
Comment:
    Improving / Stable / Declining</t>
      </text>
    </comment>
    <comment ref="C50" authorId="7" shapeId="0" xr:uid="{2C70FC02-AEFF-4995-93DD-A737954F8AFA}">
      <text>
        <t>[Threaded comment]
Your version of Excel allows you to read this threaded comment; however, any edits to it will get removed if the file is opened in a newer version of Excel. Learn more: https://go.microsoft.com/fwlink/?linkid=870924
Comment:
    ENGINE_STABLE / ENGINE_STRAINED / ENGINE_IMPROVING</t>
      </text>
    </comment>
    <comment ref="C51" authorId="8" shapeId="0" xr:uid="{06429893-DE98-4857-ACB7-F3283293286D}">
      <text>
        <t>[Threaded comment]
Your version of Excel allows you to read this threaded comment; however, any edits to it will get removed if the file is opened in a newer version of Excel. Learn more: https://go.microsoft.com/fwlink/?linkid=870924
Comment:
    Improving / Stable / Declining</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tc={031D3DAC-034A-412F-8EC3-A1FB8388A093}</author>
  </authors>
  <commentList>
    <comment ref="J4" authorId="0" shapeId="0" xr:uid="{031D3DAC-034A-412F-8EC3-A1FB8388A093}">
      <text>
        <t>[Threaded comment]
Your version of Excel allows you to read this threaded comment; however, any edits to it will get removed if the file is opened in a newer version of Excel. Learn more: https://go.microsoft.com/fwlink/?linkid=870924
Comment:
    Terrain-adjusted HR drift: Recalculated using ascent-only segments to remove the descent confound on out-and-back summit hikes. Raw drift was artificially negative due to lower HR during descent half. Values updated by user from lap-level Garmin data.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<sst xmlns="http://schemas.openxmlformats.org/spreadsheetml/2006/main" count="4722" uniqueCount="1859">
  <si>
    <t>Date</t>
  </si>
  <si>
    <t>Trail_Name</t>
  </si>
  <si>
    <t>Distance_mi</t>
  </si>
  <si>
    <t>ElevationGain_ft</t>
  </si>
  <si>
    <t>Duration_min</t>
  </si>
  <si>
    <t>Ketone_Start_ppm</t>
  </si>
  <si>
    <t>Ketone_End_ppm</t>
  </si>
  <si>
    <t>Avg_HR</t>
  </si>
  <si>
    <t>Max_HR</t>
  </si>
  <si>
    <t>HR_Drift_pct</t>
  </si>
  <si>
    <t>Start_Elevation_ft</t>
  </si>
  <si>
    <t>Peak_Elevation_ft</t>
  </si>
  <si>
    <t>STEP 3: You paste into the Excel dataset</t>
  </si>
  <si>
    <t>STEP 6: We repeat next hike</t>
  </si>
  <si>
    <t>Field</t>
  </si>
  <si>
    <t>Aerobic_Training_Effect</t>
  </si>
  <si>
    <t>Anaerobic_Training_Effect</t>
  </si>
  <si>
    <t>Exercise_Load</t>
  </si>
  <si>
    <t>Total_Descent_ft</t>
  </si>
  <si>
    <t>Avg_Temperature_F</t>
  </si>
  <si>
    <t>Field Name</t>
  </si>
  <si>
    <t>STEP 1: Copy paste screenshot for Ella</t>
  </si>
  <si>
    <t>STEP 2: Ella gives back our 17 metrics</t>
  </si>
  <si>
    <t>STEP 4: Ella gives the tags (copy paste tags to Ella)</t>
  </si>
  <si>
    <t>STEP 5: Ella gives one sentence summary</t>
  </si>
  <si>
    <t>Tag</t>
  </si>
  <si>
    <t>Description</t>
  </si>
  <si>
    <t>Metabolic</t>
  </si>
  <si>
    <t>AUTOPHAGY_HIGH</t>
  </si>
  <si>
    <t>Large ketone rise + long fasted effort</t>
  </si>
  <si>
    <t>AUTOPHAGY_MEDIUM</t>
  </si>
  <si>
    <t>Moderate ketone increase + long duration</t>
  </si>
  <si>
    <t>AUTOPHAGY_LOW</t>
  </si>
  <si>
    <t>Minimal ketone rise / short session</t>
  </si>
  <si>
    <t>GLYCOGEN_CONSERVATION</t>
  </si>
  <si>
    <t>Low drift / low HR = glycogen sparing</t>
  </si>
  <si>
    <t>Cardiac</t>
  </si>
  <si>
    <t>HR_DRIFT_NEGATIVE</t>
  </si>
  <si>
    <t>Efficiency improving during session</t>
  </si>
  <si>
    <t>HR_DRIFT_LOW</t>
  </si>
  <si>
    <t>Small positive drift (&lt;5%)</t>
  </si>
  <si>
    <t>HR_DRIFT_HIGH</t>
  </si>
  <si>
    <t>Large drift (&gt;8–10%)</t>
  </si>
  <si>
    <t>CARDIAC_STABLE</t>
  </si>
  <si>
    <t>Consistent HR across phases</t>
  </si>
  <si>
    <t>CARDIAC_OVERREACH</t>
  </si>
  <si>
    <t>Sustained high HR / threshold strain</t>
  </si>
  <si>
    <t>Altitude</t>
  </si>
  <si>
    <t>ALTITUDE_MODERATE</t>
  </si>
  <si>
    <t>Peak &lt; 7,500 ft</t>
  </si>
  <si>
    <t>ALTITUDE_HIGH</t>
  </si>
  <si>
    <t>Peak 7,500–10,000 ft</t>
  </si>
  <si>
    <t>ALTITUDE_EXTREME</t>
  </si>
  <si>
    <t>Peak &gt; 10,000 ft</t>
  </si>
  <si>
    <t>ALTITUDE_ADAPTING</t>
  </si>
  <si>
    <t>Signs of improving altitude response</t>
  </si>
  <si>
    <t>ALTITUDE_STRONG</t>
  </si>
  <si>
    <t>Efficient performance at altitude</t>
  </si>
  <si>
    <t>Efficiency</t>
  </si>
  <si>
    <t>ECONOMY_IMPROVING</t>
  </si>
  <si>
    <t>Lower HR for same vert/time</t>
  </si>
  <si>
    <t>ECONOMY_STABLE</t>
  </si>
  <si>
    <t>Normal efficiency</t>
  </si>
  <si>
    <t>ECONOMY_FATIGUED</t>
  </si>
  <si>
    <t>Elevated HR / weaker economy</t>
  </si>
  <si>
    <t>Longevity</t>
  </si>
  <si>
    <t>LONG_DURATION_STRESS</t>
  </si>
  <si>
    <t>&gt;3 hours of continuous movement</t>
  </si>
  <si>
    <t>HIGH_QUALITY_STRESS</t>
  </si>
  <si>
    <t>Great physiological load without redline</t>
  </si>
  <si>
    <t>FULL_AUTOPHAGY_EVENT</t>
  </si>
  <si>
    <t>Ketone rise + long fasted + altitude</t>
  </si>
  <si>
    <t>PRIMED_FOR_REPAIR</t>
  </si>
  <si>
    <t>Post-stress recovery window ideal</t>
  </si>
  <si>
    <t>Recovery / Strain</t>
  </si>
  <si>
    <t>LOW_STRAIN</t>
  </si>
  <si>
    <t>Easy physiological load</t>
  </si>
  <si>
    <t>MODERATE_STRAIN</t>
  </si>
  <si>
    <t>Normal adaptation zone</t>
  </si>
  <si>
    <t>HIGH_STRAIN</t>
  </si>
  <si>
    <t>Session with heavy systemic stress</t>
  </si>
  <si>
    <t>ADAPTATION_READY</t>
  </si>
  <si>
    <t>HR + load suggests good recovery potential</t>
  </si>
  <si>
    <t>Engine Pattern</t>
  </si>
  <si>
    <t>ENGINE_STABLE</t>
  </si>
  <si>
    <t>No major fluctuations; controlled</t>
  </si>
  <si>
    <t>ENGINE_IMPROVING</t>
  </si>
  <si>
    <t>Better metrics than previous similar hike</t>
  </si>
  <si>
    <t>ENGINE_TAXED</t>
  </si>
  <si>
    <t>Signs of accumulated fatigue</t>
  </si>
  <si>
    <t>Tag Field</t>
  </si>
  <si>
    <t>WorldModel_Summary:</t>
  </si>
  <si>
    <t>Field #</t>
  </si>
  <si>
    <t>Summary</t>
  </si>
  <si>
    <t>WorldModel_Summary</t>
  </si>
  <si>
    <t>Short sentence that captures metabolic load, cardiac behavior, and environmental stress.</t>
  </si>
  <si>
    <t>Fasted autophagy hike with rising metabolic efficiency, negative HR drift, moderate altitude stress, and stable engine pattern</t>
  </si>
  <si>
    <t>Terrain_Condition</t>
  </si>
  <si>
    <t>SNOW</t>
  </si>
  <si>
    <t>DESERT</t>
  </si>
  <si>
    <t>ROCKY</t>
  </si>
  <si>
    <t>SINGLETRACK</t>
  </si>
  <si>
    <t>FIRE_ROAD</t>
  </si>
  <si>
    <t>MUDDY</t>
  </si>
  <si>
    <t>DRY</t>
  </si>
  <si>
    <t>TECHNICAL</t>
  </si>
  <si>
    <t>SMOOTH</t>
  </si>
  <si>
    <t>ALPINE</t>
  </si>
  <si>
    <t>SAND</t>
  </si>
  <si>
    <t>ICE</t>
  </si>
  <si>
    <t>Alpine</t>
  </si>
  <si>
    <t>Rocky, Technical, Max_Exposure</t>
  </si>
  <si>
    <t>VO2Max</t>
  </si>
  <si>
    <t>A. SURFACE CONDITIONS</t>
  </si>
  <si>
    <t>Code</t>
  </si>
  <si>
    <t>Meaning</t>
  </si>
  <si>
    <t>Standard dry ground, no mud, no snow</t>
  </si>
  <si>
    <t>Frequent rocks, uneven terrain, technical footing</t>
  </si>
  <si>
    <t>Sandy or loose soil, energy-inefficient terrain</t>
  </si>
  <si>
    <t>Wet/muddy ground, slipping risk, heavy energy cost</t>
  </si>
  <si>
    <t>Well-packed, easy footing, fire road-like</t>
  </si>
  <si>
    <t>Icy patches, microspikes required</t>
  </si>
  <si>
    <t>Snow on trail (light or heavy). If deep, add “DEEP_SNOW”</t>
  </si>
  <si>
    <t>DEEP_SNOW</t>
  </si>
  <si>
    <t>Fresh powder or deep snow requiring high effort</t>
  </si>
  <si>
    <t>GRAVEL</t>
  </si>
  <si>
    <t>Fine gravel, rolling stones, slippery small rocks</t>
  </si>
  <si>
    <t>B. ENVIRONMENT / BIOME</t>
  </si>
  <si>
    <t>FOREST</t>
  </si>
  <si>
    <t>Shaded forest, tree cover</t>
  </si>
  <si>
    <t>Exposed high-altitude granite, above treeline</t>
  </si>
  <si>
    <t>High heat, dry air, sparse vegetation</t>
  </si>
  <si>
    <t>CHAPARRAL</t>
  </si>
  <si>
    <t>Southern California brush, shrubs, exposed sun</t>
  </si>
  <si>
    <t>RIVER_CROSSING</t>
  </si>
  <si>
    <t>Water crossings affecting pace + footwork</t>
  </si>
  <si>
    <t>C. TECHNICAL DIFFICULTY</t>
  </si>
  <si>
    <t>Requires careful foot placement, scrambling</t>
  </si>
  <si>
    <t>SCRAMBLE</t>
  </si>
  <si>
    <t>Class 2–3 scrambling, hands required</t>
  </si>
  <si>
    <t>EXPOSED</t>
  </si>
  <si>
    <t>Significant drop-offs, mental load</t>
  </si>
  <si>
    <t>LOW_EXPOSURE</t>
  </si>
  <si>
    <t>Mostly safe, minimal drop-offs</t>
  </si>
  <si>
    <t>SMOOTH_GRADE</t>
  </si>
  <si>
    <t>Switchbacks or consistent grade, low hazard</t>
  </si>
  <si>
    <t>STEPPED</t>
  </si>
  <si>
    <t>Stairs or railroad ties, rhythm-breaking</t>
  </si>
  <si>
    <t>D. TRAIL TYPE</t>
  </si>
  <si>
    <t>Narrow, one-person trail</t>
  </si>
  <si>
    <t>Wide, vehicle-friendly trail</t>
  </si>
  <si>
    <t>MIXED_TRAIL</t>
  </si>
  <si>
    <t>Blend of fire road + singletrack</t>
  </si>
  <si>
    <t>Surface Conditions</t>
  </si>
  <si>
    <t>Environment</t>
  </si>
  <si>
    <t>Technical Difficulty</t>
  </si>
  <si>
    <t>Trail Type</t>
  </si>
  <si>
    <t>Dry, Gravel</t>
  </si>
  <si>
    <t>Mixed_Trail</t>
  </si>
  <si>
    <t>Steep, Technical</t>
  </si>
  <si>
    <t>Terrain</t>
  </si>
  <si>
    <t>Sleep_Total_min</t>
  </si>
  <si>
    <t>Sleep_Deep_min</t>
  </si>
  <si>
    <t>Sleep_REM_min</t>
  </si>
  <si>
    <t>Sleep_Light_min</t>
  </si>
  <si>
    <t>Sleep_Awake_min</t>
  </si>
  <si>
    <t>Pre Hike</t>
  </si>
  <si>
    <t>Day after Hike</t>
  </si>
  <si>
    <t>Sleep_Score</t>
  </si>
  <si>
    <t>Sleep_Respiratory_Rate</t>
  </si>
  <si>
    <t>Hike</t>
  </si>
  <si>
    <t>Sleep</t>
  </si>
  <si>
    <t>Sleep Quality</t>
  </si>
  <si>
    <t>Recovery State</t>
  </si>
  <si>
    <t>Autonomic Pattern</t>
  </si>
  <si>
    <t>Sleep Depth</t>
  </si>
  <si>
    <t>Sleep_Model</t>
  </si>
  <si>
    <t>Sleep_Model_Summary</t>
  </si>
  <si>
    <t>QUALITY_HIGH</t>
  </si>
  <si>
    <t>RECOVERY_HIGH</t>
  </si>
  <si>
    <t>AUTONOMIC_STABLE</t>
  </si>
  <si>
    <t>DEPTH_HIGH</t>
  </si>
  <si>
    <t>High-quality sleep with strong recovery markers, stable autonomic tone, and deep restorative phases.</t>
  </si>
  <si>
    <t>Sleep Summary</t>
  </si>
  <si>
    <t>Sleep_State</t>
  </si>
  <si>
    <t>SLEEP_EXCELLENT</t>
  </si>
  <si>
    <t>High score, high HRV, low stress, stable respiration</t>
  </si>
  <si>
    <t>SLEEP_STRONG</t>
  </si>
  <si>
    <t>Good score, HRV solid, normal stress</t>
  </si>
  <si>
    <t>SLEEP_MODERATE</t>
  </si>
  <si>
    <t>Decent score but some recovery constraints</t>
  </si>
  <si>
    <t>SLEEP_LOW</t>
  </si>
  <si>
    <t>Low score, low HRV, elevated stress</t>
  </si>
  <si>
    <t>SLEEP_DEPLETE</t>
  </si>
  <si>
    <t>Very poor recovery markers</t>
  </si>
  <si>
    <t>Ella Generates</t>
  </si>
  <si>
    <t>Ketone_Wake_ppm</t>
  </si>
  <si>
    <t>Post Hike</t>
  </si>
  <si>
    <t>Post HIke</t>
  </si>
  <si>
    <t>QUALITY_POOR</t>
  </si>
  <si>
    <t>RECOVERY_LOW</t>
  </si>
  <si>
    <t>AUTONOMIC_STRAINED</t>
  </si>
  <si>
    <t>Poor overall sleep with low recovery and strained autonomic tone, but strong deep sleep indicating active overnight repair.</t>
  </si>
  <si>
    <t>Hike - Week Of</t>
  </si>
  <si>
    <t>Source</t>
  </si>
  <si>
    <t>Pre_Hike_Garmin</t>
  </si>
  <si>
    <t>Pre_Hike_Ella</t>
  </si>
  <si>
    <t>Post_Hike_Garmin</t>
  </si>
  <si>
    <t>Post_Hike_Ella</t>
  </si>
  <si>
    <t>Ketone_peak_ppm</t>
  </si>
  <si>
    <t>Snow, Icy</t>
  </si>
  <si>
    <t>Rocky, Technical, Partially Exposed</t>
  </si>
  <si>
    <t>AUTOPHAGY_Deep</t>
  </si>
  <si>
    <t>Deep autophagy activation with efficient cardiac control (negative HR drift), high-altitude adaptation, strong metabolic efficiency, and stable engine pattern under elevated training load.”</t>
  </si>
  <si>
    <t>Sleep_HR_Resting</t>
  </si>
  <si>
    <t>RECOVERY_Good</t>
  </si>
  <si>
    <t>Solid restorative sleep with stable autonomic tone, good deep and REM distribution, slightly elevated resting HR, and moderate HRV — indicating healthy pre-hike recovery with only mild systemic stress.</t>
  </si>
  <si>
    <t>DEPTH_Low</t>
  </si>
  <si>
    <t>Poor post-hike sleep with suppressed HRV, elevated resting HR, minimal deep sleep, and low recovery markers — indicating systemic strain, incomplete autonomic recalibration, and insufficient overnight restoration.</t>
  </si>
  <si>
    <t>Sleep (Day 2 )</t>
  </si>
  <si>
    <t>Sleep_Model (Day 2)</t>
  </si>
  <si>
    <t>Solid restorative sleep with stable autonomic tone, high deep-sleep volume, strong REM distribution, lower resting HR, and moderate HRV — showing full systemic repair and successful metabolic adaptation after high-altitude exertion.</t>
  </si>
  <si>
    <t>Sleep_Model_Summary (Day 2)</t>
  </si>
  <si>
    <t>Ketoscan Mini</t>
  </si>
  <si>
    <t>Mike - Field</t>
  </si>
  <si>
    <t>Garmin</t>
  </si>
  <si>
    <t>Temporal</t>
  </si>
  <si>
    <t>Post Hike Day 2</t>
  </si>
  <si>
    <t>Hike (11/28/2025)</t>
  </si>
  <si>
    <t>Hike (11/30/2025)</t>
  </si>
  <si>
    <t>Electrolytes</t>
  </si>
  <si>
    <t>Electrolyte Packs Used</t>
  </si>
  <si>
    <t>Mike - field</t>
  </si>
  <si>
    <t>Age</t>
  </si>
  <si>
    <t>Height</t>
  </si>
  <si>
    <t>Weight</t>
  </si>
  <si>
    <t>Height_Inches</t>
  </si>
  <si>
    <t>Weight_IB</t>
  </si>
  <si>
    <t>Skin_Temp_Change_Avg_F</t>
  </si>
  <si>
    <t>Calibrating</t>
  </si>
  <si>
    <t>Clothing</t>
  </si>
  <si>
    <t xml:space="preserve">Shorts and Base Layer T shirt to Summit. Wind Shell summit to mid descent. </t>
  </si>
  <si>
    <t>Shorts and Base layer T entire hike.</t>
  </si>
  <si>
    <t>Hike (12/6/2025)</t>
  </si>
  <si>
    <t>Ski Hut to Mount Baldy to Devil's Backbone to Trailhead</t>
  </si>
  <si>
    <t>Ski Hut to Mount Baldy, out and back</t>
  </si>
  <si>
    <t>Skinsuit to Pleasant's Peak</t>
  </si>
  <si>
    <t>Max Temp</t>
  </si>
  <si>
    <t>Min Temp</t>
  </si>
  <si>
    <t xml:space="preserve">Shorts and Base Layer T shirt to Summit. Shell half down and t shirts and shorts to parking lot. </t>
  </si>
  <si>
    <t>Sloshy Snow</t>
  </si>
  <si>
    <t xml:space="preserve">Steep, Technical, Fire Road </t>
  </si>
  <si>
    <t>Deep autophagy activation with controlled cardiac load (continued negative HR drift), efficient energy utilization in cold aerobic conditions, improved next-day ketone retention, and stable engine pattern across technical snow and exposed ridgeline terrain.”</t>
  </si>
  <si>
    <t>QUALITY_LOW</t>
  </si>
  <si>
    <t>RECOVERY_Moderate</t>
  </si>
  <si>
    <t>Short sleep duration with reduced deep and REM phases, lower HRV, and partial overnight recovery. Autonomic tone remains stable, but limited total sleep and recovery time indicate moderate pre-hike readiness with elevated systemic fatigue</t>
  </si>
  <si>
    <t>Sleep_Stress_minute avg</t>
  </si>
  <si>
    <t>Solid restorative sleep with stable autonomic tone, strong REM distribution, elevated deep-sleep proportion, lower resting HR, and higher HRV — showing full systemic recovery and continued metabolic adaptation after high-altitude exertion.</t>
  </si>
  <si>
    <t>Ketone_Day After_ppm</t>
  </si>
  <si>
    <t>Ketone_2 Days After_ppm</t>
  </si>
  <si>
    <t>NA</t>
  </si>
  <si>
    <t>Ella Estimated for Elevation</t>
  </si>
  <si>
    <t>Metabolic_Flexibility</t>
  </si>
  <si>
    <t>Autophagy_Depth</t>
  </si>
  <si>
    <t>Cardiac_Efficiency</t>
  </si>
  <si>
    <t>Altitude_Adaptation_Load</t>
  </si>
  <si>
    <t>Recovery_Debt</t>
  </si>
  <si>
    <t>Mechanical_Stress</t>
  </si>
  <si>
    <t>Engine_Stability</t>
  </si>
  <si>
    <t>Moderate end ketones (4.6 ppm), weaker start (0.7), limited retention</t>
  </si>
  <si>
    <t>Fasted + rising ketones, but shallow peak and modest carryover</t>
  </si>
  <si>
    <t>Negative HR drift (-9.19%) with avg HR 131 under load</t>
  </si>
  <si>
    <t>Moderate altitude, clear physiologic response but manageable</t>
  </si>
  <si>
    <t>Poor post-hike sleep but full Day-2 recovery</t>
  </si>
  <si>
    <t>Steep, technical terrain with exposure, no instability</t>
  </si>
  <si>
    <t>Consistent HR behavior, clean recovery, no oscillation</t>
  </si>
  <si>
    <t xml:space="preserve">Post Hike </t>
  </si>
  <si>
    <t>Strong peak (4 ppm) and very high end ketones (11 ppm)</t>
  </si>
  <si>
    <t>Deep autophagy with strong post-exercise ketosis despite strain</t>
  </si>
  <si>
    <t>Sustained negative HR drift (-8.42%) at altitude</t>
  </si>
  <si>
    <t>High altitude absorbed without HR instability</t>
  </si>
  <si>
    <t>Significant post-hike strain, but complete Day-2 reset</t>
  </si>
  <si>
    <t>Snow, ice, technical terrain, higher duration</t>
  </si>
  <si>
    <t>Stable engine under escalated altitude + cold load</t>
  </si>
  <si>
    <t>Highest wake/start/end ketones (1.8 → 13 ppm) with retention</t>
  </si>
  <si>
    <t>Deep autophagy + improved Day-1 &amp; Day-2 ketone persistence</t>
  </si>
  <si>
    <t>Lowest avg HR (124) with negative drift (-6.0%)</t>
  </si>
  <si>
    <t>Same elevation, reduced physiological cost</t>
  </si>
  <si>
    <t>Sleep debt present but fully resolved by Day-2</t>
  </si>
  <si>
    <t>Long duration, snow, exposed ridgeline, mixed terrain</t>
  </si>
  <si>
    <t>No degradation despite cumulative load</t>
  </si>
  <si>
    <t>World Model Latent</t>
  </si>
  <si>
    <t>World Model Narrative</t>
  </si>
  <si>
    <t>Formula</t>
  </si>
  <si>
    <t>MF = 0.25*Ketone_Wake_norm + 0.25*Ketone_End_norm + 0.25*Ketone_Retention + 0.25*((Ketone_End - Ketone_Start)/Duration_hours)</t>
  </si>
  <si>
    <t>AD = 0.40*Ketone_End_norm + 0.30*Ketone_Retention + 0.20*(10 - PostHike_Sleep_Quality) + 0.10*(Duration_hours*ElevationGain_ft/1000)</t>
  </si>
  <si>
    <t>CE = 0.40*ABS(HR_Drift_pct) + 0.30*(ElevationGain_ft/Avg_HR) + 0.20*((Max_HR-Avg_HR)/Max_HR) + 0.10*(ElevationGain_ft/Duration_min)</t>
  </si>
  <si>
    <t>AAL = 0.40*Peak_Elevation_norm + 0.30*ABS(HR_Drift_pct) + 0.20*(10-Days_To_Autonomic_Stability) + 0.10*(1/Avg_Temperature_F)</t>
  </si>
  <si>
    <t>RD = 0.40*(Ideal_Sleep-PostHike_Sleep_Min) + 0.30*(Pre_HRV-Post_HRV) + 0.20*(Post_RHR-Pre_RHR) - 0.10*(HRV_Day2-Recovered_Baseline)</t>
  </si>
  <si>
    <t>MS = 0.35*Terrain_Difficulty + 0.25*Surface_Condition + 0.25*Duration_hours + 0.15*(ElevationGain_ft/1000)</t>
  </si>
  <si>
    <t>ES = 10 - STDEV(MF,AD,CE,AAL,RD,MS)</t>
  </si>
  <si>
    <t>Hike (12/13/2025)</t>
  </si>
  <si>
    <t>Shorts and Base Layer T shirt entire hike.</t>
  </si>
  <si>
    <t>Electrolyte Type</t>
  </si>
  <si>
    <t>Special Equipment</t>
  </si>
  <si>
    <t>Equipment</t>
  </si>
  <si>
    <t>None</t>
  </si>
  <si>
    <t>Micro Spikes from Tree Line to Summit</t>
  </si>
  <si>
    <t>Sustained autophagy activation with negative heart rate drift and reduced metabolic cost, reflecting improving efficiency and cardiovascular control at moderate altitude. Long-duration alpine stress was absorbed with minimal anaerobic contribution, confirming a stable engine pattern and a shift from peak stress toward consolidation and adaptation.</t>
  </si>
  <si>
    <t>QUALITY_MODERATE</t>
  </si>
  <si>
    <t>Start Time</t>
  </si>
  <si>
    <t>End Time</t>
  </si>
  <si>
    <t>Weather</t>
  </si>
  <si>
    <t>Temp Range</t>
  </si>
  <si>
    <t>65F to 70F</t>
  </si>
  <si>
    <t>45F to 55F</t>
  </si>
  <si>
    <t>55F to 65F</t>
  </si>
  <si>
    <t>Wind</t>
  </si>
  <si>
    <t>Sun</t>
  </si>
  <si>
    <t>Light</t>
  </si>
  <si>
    <t>Calm</t>
  </si>
  <si>
    <t>Strong</t>
  </si>
  <si>
    <t>Moderate</t>
  </si>
  <si>
    <t xml:space="preserve">Moderate </t>
  </si>
  <si>
    <t xml:space="preserve">High </t>
  </si>
  <si>
    <t>High</t>
  </si>
  <si>
    <t>Hikes</t>
  </si>
  <si>
    <t>Baldy</t>
  </si>
  <si>
    <t>Total</t>
  </si>
  <si>
    <t>So Far</t>
  </si>
  <si>
    <t xml:space="preserve">Skinsuit </t>
  </si>
  <si>
    <t>San Jacinto</t>
  </si>
  <si>
    <t>Whitney</t>
  </si>
  <si>
    <t>Langley</t>
  </si>
  <si>
    <t>Skinsuit</t>
  </si>
  <si>
    <t>Baden-Powell</t>
  </si>
  <si>
    <t>Icehouse (Ontario + Cucamonga)</t>
  </si>
  <si>
    <t>Skyline</t>
  </si>
  <si>
    <t>San Gorgonio</t>
  </si>
  <si>
    <t>Valuation is not linear with log count.</t>
  </si>
  <si>
    <t>It is stepwise with stress-lane saturation.</t>
  </si>
  <si>
    <t>Mixed</t>
  </si>
  <si>
    <t>Lane</t>
  </si>
  <si>
    <t>Logs</t>
  </si>
  <si>
    <t>Repeatable Alpine</t>
  </si>
  <si>
    <t>Local Baseline</t>
  </si>
  <si>
    <t>Heat / Electrolyte</t>
  </si>
  <si>
    <t>Controlled Split</t>
  </si>
  <si>
    <t>Ceiling Anchor</t>
  </si>
  <si>
    <t>Imperfect</t>
  </si>
  <si>
    <t>Future</t>
  </si>
  <si>
    <t>You sell:</t>
  </si>
  <si>
    <t>“Annual longitudinal extension of a calibrated physiology instrument.”</t>
  </si>
  <si>
    <t>Poor post-hike sleep marked by reduced REM duration and continued autonomic strain, but with preserved deep sleep indicating active tissue repair and mitochondrial recovery. Total sleep time improved relative to prior post-summit nights, resting heart rate remained stable, and overnight stress load declined — suggesting recovery is progressing despite incomplete nervous system recalibration on Day 1.</t>
  </si>
  <si>
    <t>QUALITY_Moderate</t>
  </si>
  <si>
    <t>RECOVERY_Partial</t>
  </si>
  <si>
    <t>Moderately restorative sleep with stable autonomic tone and preserved deep-sleep repair, but shortened total duration and markedly suppressed REM sleep. HRV returned to baseline without further elevation, indicating partial systemic recovery with continued cognitive and neural recovery demands following high-altitude exertion.</t>
  </si>
  <si>
    <t>12/13 shows lower peak &amp; end ketones (2 → 5.8 ppm) + weaker retention</t>
  </si>
  <si>
    <t>Still autophagic, but REM suppression + lower end ketones reduce depth</t>
  </si>
  <si>
    <t>Lowest avg HR (123) + continued negative drift = excellent</t>
  </si>
  <si>
    <t>Same peak elevation, lower physiological cost on 12/13</t>
  </si>
  <si>
    <t>Day-2 REM collapse + partial recovery increases debt</t>
  </si>
  <si>
    <t>No spikes, calmer weather, smoother descent</t>
  </si>
  <si>
    <t>Despite strain, variance across systems tightened</t>
  </si>
  <si>
    <t>Hike (12/20/2025)</t>
  </si>
  <si>
    <t>Mixed. No more snow</t>
  </si>
  <si>
    <t>50F to 65F</t>
  </si>
  <si>
    <t>AUTOPHAGY_High</t>
  </si>
  <si>
    <t>ALTITUDE_Extreme</t>
  </si>
  <si>
    <t>Extreme ketone rise + long fasted + altitude stress</t>
  </si>
  <si>
    <t>AUTOPHAGY_Medium</t>
  </si>
  <si>
    <t>Sustained high-level autophagy activation with continued negative heart rate drift and improving movement economy at extreme altitude. Long-duration alpine stress was absorbed within a moderate strain zone, with no anaerobic spillover, indicating effective cardiovascular control and metabolic efficiency. Compared to prior weeks, the engine pattern stabilized under similar elevation and terrain demands, confirming consolidation of adaptations rather than further stress accumulation.</t>
  </si>
  <si>
    <t>Moderate-quality sleep with extended total duration and preserved deep and REM phases, despite increased overnight awakenings and elevated stress markers. Autonomic tone remained stable with solid HRV, supporting good pre-hike readiness under accumulated training load, though recovery was partial rather than fully optimized.</t>
  </si>
  <si>
    <t>Poor post-hike sleep with continued autonomic strain and suppressed HRV, but with preserved deep and REM sleep indicating active tissue repair and mitochondrial recovery. Total sleep time and REM duration improved relative to earlier post-hike nights, resting heart rate remained stable, and overnight stress load declined — suggesting recovery is progressing, though nervous system recalibration remains incomplete on Day 1.</t>
  </si>
  <si>
    <t>Moderately restorative sleep marked by stable autonomic tone and preserved deep-sleep repair, but shortened total duration and suppressed REM sleep. Resting and average heart rate remained controlled, while HRV stayed elevated relative to baseline, indicating ongoing physiological recalibration rather than full resolution. Overall pattern reflects partial systemic recovery, with continued cognitive, neural, and metabolic recovery demands following high-altitude exertion.</t>
  </si>
  <si>
    <t>Strong end-ketone elevation (7.1 ppm) with solid retention and reduced peak volatility, indicating efficient substrate switching under moderate load.</t>
  </si>
  <si>
    <t>Sustained high autophagy activation with no anaerobic spillover; depth slightly reduced versus prior weeks due to REM suppression and lower peak ketones.</t>
  </si>
  <si>
    <t>Continued negative HR drift (-5.6%) with controlled average HR at extreme altitude confirms durable cardiovascular efficiency.</t>
  </si>
  <si>
    <t>Extreme altitude exposure absorbed with stable autonomic control and reduced physiological cost versus earlier weeks.</t>
  </si>
  <si>
    <t>Partial recovery by Day 2 with elevated HRV but suppressed REM sleep; debt present but contained.</t>
  </si>
  <si>
    <t>Mixed technical terrain with shorter duration and calmer surface conditions reduced musculoskeletal load relative to snow-heavy weeks.</t>
  </si>
  <si>
    <t>System variance remained tight across metabolic, cardiac, and altitude domains, confirming consolidation rather than accumulation of stress.</t>
  </si>
  <si>
    <t xml:space="preserve">Skinsuit to Pleasant's Peak </t>
  </si>
  <si>
    <t>Wet, Clay</t>
  </si>
  <si>
    <t>Coffee</t>
  </si>
  <si>
    <t>Yes</t>
  </si>
  <si>
    <t>No</t>
  </si>
  <si>
    <t>AUTOPHAGY_Low</t>
  </si>
  <si>
    <t>Hike (12/27/2025)</t>
  </si>
  <si>
    <t>ECONOMY_Stable</t>
  </si>
  <si>
    <t>QUALITY_High</t>
  </si>
  <si>
    <t>RECOVERY_High</t>
  </si>
  <si>
    <t>High-quality sleep with strong recovery markers and stable autonomic tone, with slightly lower HRV but sufficient restoration heading into the hike.</t>
  </si>
  <si>
    <t>Poor overall sleep with low recovery and strained autonomic tone, but strong deep sleep indicating active overnight repair and stabilizer-driven recovery demand.</t>
  </si>
  <si>
    <t>Restorative Day-2 sleep with stable autonomic tone, reduced overnight stress, normalized resting heart rate, and improving HRV. REM and deep sleep were sufficient to resolve prior stabilizer load from wet terrain, indicating effective nervous system recalibration and readiness for subsequent training.</t>
  </si>
  <si>
    <t>Moderate ketone rise with early plateau and limited retention reflects efficient fat oxidation under lower systemic demand rather than deep substrate stress.</t>
  </si>
  <si>
    <t>Fasted state maintained autophagic signaling, but shorter duration, lower altitude, and reduced end-ketones limited depth. Session functioned as cellular maintenance rather than stimulus.</t>
  </si>
  <si>
    <t>Negative HR drift (-3.20%) with controlled average HR confirms strong cardiovascular regulation and relaxed aerobic control.</t>
  </si>
  <si>
    <t>Moderate elevation exposure produced minimal hypoxic stress, allowing consolidation rather than adaptation strain.</t>
  </si>
  <si>
    <t>Low. Post-hike sleep strain resolved by Day-2 with HRV rebound and reduced stress load.</t>
  </si>
  <si>
    <t>Wet clay surface increased stabilizer demand despite lower elevation gain, slightly elevating musculoskeletal load relative to dry Skinsuit weeks.</t>
  </si>
  <si>
    <t>Highly stable. Tight coupling across metabolic, cardiac, and autonomic systems with no spillover or oscillation.</t>
  </si>
  <si>
    <t>Repair-biased fasted aerobic session with strong engine stability, negative HR drift, moderate stabilizer load from wet terrain, and shallow autophagy signaling. Stress profile favored recovery consolidation over adaptation.</t>
  </si>
  <si>
    <t>Hike (1/17/2026)</t>
  </si>
  <si>
    <t>Steep, Extremely Technical from Post Flooding</t>
  </si>
  <si>
    <t>Fasted cold-weather alpine effort with negative HR drift, efficient fat oxidation, and a stable engine under highly technical, icy terrain. Extreme altitude stress was absorbed without anaerobic spillover, while shorter duration capped autophagy depth. Overall pattern reflects efficiency consolidation and skill-driven load rather than cumulative physiological strain.</t>
  </si>
  <si>
    <t>Poor post-hike sleep with continued autonomic strain and suppressed HRV, despite preserved deep sleep indicating active tissue repair. Elevated awakenings and stress load suggest incomplete nervous system recalibration on Day 1.</t>
  </si>
  <si>
    <t>Hike (1/25/2026)</t>
  </si>
  <si>
    <t>Wind shell till Baldy Saddle. Then, Shorts and Base layer T rest of hike.</t>
  </si>
  <si>
    <t>Short-duration but high-efficiency sleep with preserved deep and REM phases, low resting heart rate, and strong overnight HRV. Despite limited total sleep, autonomic stability and controlled stress markers indicate effective recovery compression and solid pre-hike readiness.</t>
  </si>
  <si>
    <t>DEPTH_LOW</t>
  </si>
  <si>
    <t>Highly fragmented short sleep with absent REM and elevated overnight temperature, despite stable autonomic tone and preserved HRV. Pattern indicates partial systemic recovery with ongoing neural, inflammatory, and cognitive recalibration rather than full resolution two days post-hike.</t>
  </si>
  <si>
    <t>Strong end-ketone elevation (6.2 ppm) with efficient substrate switching under shorter-duration cold exposure; flexibility preserved though peak autophagy capped by duration.</t>
  </si>
  <si>
    <t>Sustained autophagy activation without anaerobic spillover; depth slightly reduced versus prior weeks due to shorter exposure window and post-hike REM suppression.</t>
  </si>
  <si>
    <t>Continued negative HR drift (-4.9%) with controlled average and peak HR under extreme alpine and technical conditions confirms durable cardiovascular efficiency.</t>
  </si>
  <si>
    <t>Extreme altitude stress absorbed with stable autonomic control and reduced physiological cost compared to earlier snow-heavy weeks.</t>
  </si>
  <si>
    <t>Partial recovery by Day 2 with preserved HRV but suppressed REM sleep; debt present but bounded and non-accumulative.</t>
  </si>
  <si>
    <t>Highly technical, icy terrain increased neuromuscular demand, but shorter duration and skill execution reduced cumulative musculoskeletal load.</t>
  </si>
  <si>
    <t>System variance remained tight across metabolic, cardiac, and altitude domains, confirming consolidation of adaptations rather than stress accumulation.</t>
  </si>
  <si>
    <t>40F to 50F</t>
  </si>
  <si>
    <t>High-quality restorative sleep with extended deep and REM duration, low awakenings, stable autonomic tone, and controlled stress markers — indicating strong pre-hike readiness and fully resolved recovery entering the effort.</t>
  </si>
  <si>
    <t>Fasted cold-weather alpine effort with sustained negative heart rate drift, efficient fat oxidation, and a stable engine under highly technical, icy terrain. Extreme altitude stress was absorbed without anaerobic spillover, while shorter duration capped autophagy depth despite strong end-ketone elevation. Compared to prior weeks, this hike reflects efficiency consolidation and skill-driven load management rather than cumulative physiological strain.</t>
  </si>
  <si>
    <t>Poor post-hike sleep with continued autonomic strain and suppressed HRV, despite improved REM duration and preserved deep sleep indicating active tissue repair. Elevated awakenings and residual stress load suggest ongoing nervous system recalibration, with recovery progressing but not yet normalized on Day 2.</t>
  </si>
  <si>
    <t>Moderately restorative sleep with stable autonomic tone and preserved deep-sleep repair, improved REM duration, and controlled resting heart rate. HRV remained moderate, and overnight stress stayed contained, indicating partial systemic recovery with continued neural and metabolic recalibration rather than full resolution two days post-hike.</t>
  </si>
  <si>
    <t>Strong end-ketone elevation (8.4 ppm) with good next-day retention indicates efficient substrate switching under cold alpine conditions, despite slightly shorter duration limiting peak autophagy depth.</t>
  </si>
  <si>
    <t>Sustained autophagy activation without anaerobic spillover; depth modestly capped by duration and post-hike REM suppression, but still within a high-adaptation zone.</t>
  </si>
  <si>
    <t>Continued negative HR drift (-5.2%) with controlled average and peak heart rate under extreme, technical terrain confirms durable cardiovascular efficiency.</t>
  </si>
  <si>
    <t>Hike (1/31/2026)</t>
  </si>
  <si>
    <t>Snow, Icy and Slippery</t>
  </si>
  <si>
    <t>Sleep_Avg Over Night_HR</t>
  </si>
  <si>
    <t xml:space="preserve">Sleep_Overnight_HRV </t>
  </si>
  <si>
    <t>Fasted cold-weather alpine effort with sustained negative heart rate drift, efficient fat oxidation, and a stable engine under icy, highly technical terrain. Extreme altitude stress was absorbed without anaerobic spillover, while shorter duration capped peak autophagy depth despite solid end-ketone elevation and strong next-day retention. Overall pattern reflects efficiency consolidation and skill-driven load management rather than cumulative physiological strain.</t>
  </si>
  <si>
    <t>DEPTH_MODERATE</t>
  </si>
  <si>
    <t>Fragmented short sleep with very high awakenings, reduced total duration, and suppressed recovery quality. Despite stable autonomic tone and moderate HRV, elevated overnight disruption and stress markers indicate partial pre-hike readiness with unresolved neural and systemic fatigue.</t>
  </si>
  <si>
    <t>Poor post-hike sleep with continued autonomic strain and suppressed HRV, despite preserved deep sleep indicating active tissue repair. Elevated awakenings and residual stress load suggest recovery is progressing but not yet normalized on Day 1.</t>
  </si>
  <si>
    <t>Moderately restorative sleep with stable autonomic tone and preserved deep-sleep repair, improved REM duration, and controlled resting heart rate. HRV remained moderate and overnight stress stayed contained, indicating partial systemic recovery with continued neural and metabolic recalibration rather than full resolution two days post-hike.</t>
  </si>
  <si>
    <t>Extreme altitude stress absorbed with stable autonomic control and consistent cardiovascular efficiency under highly technical, icy conditions. Despite shorter duration, physiological cost remained contained, confirming consolidated altitude adaptation rather than incremental stress accumulation.</t>
  </si>
  <si>
    <t>Recovery debt present but stable and non-accumulative. Day-2 sleep showed partial restoration with preserved HRV but suppressed REM, indicating ongoing neural recalibration rather than systemic overload. Overall recovery trajectory remains controlled within a consolidation phase.</t>
  </si>
  <si>
    <t>Highly technical, icy terrain increased neuromuscular demand and proprioceptive load, but shorter duration and refined movement efficiency limited cumulative musculoskeletal stress compared to earlier snow-heavy, longer-duration weeks.</t>
  </si>
  <si>
    <t>System variance remained tight across metabolic, cardiac, and altitude domains despite cold exposure and technical terrain, confirming engine stability and reinforced adaptation rather than stress-induced degradation.</t>
  </si>
  <si>
    <t>Strong end-ketone elevation (6.8 ppm) with solid next-day and Day-2 retention indicates preserved metabolic flexibility and efficient substrate switching under cold alpine conditions, despite a lower peak ketone ceiling due to shorter exposure.</t>
  </si>
  <si>
    <t>Sustained autophagy activation without anaerobic spillover; depth modestly capped by reduced peak ketones and shorter duration, but maintained within a high-adaptation zone through efficient fat oxidation and stable cardiac control.</t>
  </si>
  <si>
    <t>Continued negative heart rate drift (-5.0%) with controlled average and peak heart rate under extreme altitude and icy technical terrain confirms durable cardiovascular efficiency and refined pacing control.</t>
  </si>
  <si>
    <t>Extreme altitude stress absorbed with stable autonomic control and consistent cardiovascular efficiency under icy, highly technical terrain. Physiological cost remained contained, reinforcing consolidated altitude adaptation rather than incremental load accumulation.</t>
  </si>
  <si>
    <t>Recovery debt remains present but stable and non-accumulative. Day-2 sleep showed partial restoration with preserved HRV and improved REM, indicating ongoing neural recalibration rather than systemic overload.</t>
  </si>
  <si>
    <t>Icy, highly technical terrain increased neuromuscular and proprioceptive demand, but shorter duration and refined movement efficiency constrained cumulative musculoskeletal stress relative to longer snow-heavy weeks.</t>
  </si>
  <si>
    <t>System variance remained tight across metabolic, cardiac, and altitude domains despite cold exposure and technical terrain, confirming stable engine behavior and reinforced adaptation rather than stress-driven degradation.</t>
  </si>
  <si>
    <t>Hike (2/7/2026)</t>
  </si>
  <si>
    <t xml:space="preserve">Shorts and Base Layer T shirt half of hike. Wind Shell the rest. </t>
  </si>
  <si>
    <t>Partial Snow</t>
  </si>
  <si>
    <t>Steep, Extremely Technical</t>
  </si>
  <si>
    <t>na</t>
  </si>
  <si>
    <t>Fasted cold-weather alpine effort with sustained negative heart rate drift, efficient fat oxidation, and a stable engine under mixed snow and highly technical terrain. Extreme altitude stress was absorbed cleanly without anaerobic spillover, while shorter duration capped peak autophagy depth despite strong end-ketone elevation and elevated next-day retention. Overall pattern reinforces efficiency consolidation, cardiovascular control, and skill-driven load management rather than cumulative physiological strain.</t>
  </si>
  <si>
    <t>Moderate-quality, shortened sleep with preserved deep and REM phases, very low awakenings, stable autonomic tone, and controlled stress markers. Despite reduced total duration, low resting heart rate and steady HRV indicate effective recovery compression and good pre-hike readiness entering the effort.</t>
  </si>
  <si>
    <t>Poor post-hike sleep marked by continued autonomic strain and suppressed HRV, despite preserved deep and REM sleep indicating active tissue repair and mitochondrial recovery. Total sleep duration was shortened, resting heart rate remained stable, and overnight stress load stayed elevated — signaling recovery is underway but nervous system recalibration remains incomplete on Day 1.</t>
  </si>
  <si>
    <t>Moderately restorative sleep with stable autonomic tone and strong deep-sleep repair, accompanied by substantial REM recovery. Total sleep duration increased, resting heart rate remained controlled, and HRV returned to a moderate range, while awakenings remained elevated. Overall pattern indicates clear progression toward systemic recovery with continued neural recalibration, rather than full resolution, two days post-hike.</t>
  </si>
  <si>
    <t>Strong end-ketone elevation with solid next-day and Day-2 retention indicates preserved metabolic flexibility and efficient substrate switching under cold alpine conditions, despite a lower peak ketone ceiling due to shorter exposure.</t>
  </si>
  <si>
    <t>Continued negative heart-rate drift (-5.1%) with controlled average and peak heart rate under extreme altitude and technical terrain confirms durable cardiovascular efficiency and refined pacing control.</t>
  </si>
  <si>
    <t>Extreme altitude stress absorbed with stable autonomic control and consistent cardiovascular efficiency under mixed snow and highly technical terrain, reinforcing consolidated altitude adaptation rather than incremental load accumulation.</t>
  </si>
  <si>
    <t>Highly technical terrain increased neuromuscular and proprioceptive demand, but shorter duration and refined movement efficiency constrained cumulative musculoskeletal stress relative to longer snow-heavy weeks.</t>
  </si>
  <si>
    <t>Hike_ID</t>
  </si>
  <si>
    <t>Hike_Type</t>
  </si>
  <si>
    <t>Weight_LB</t>
  </si>
  <si>
    <t>Special_Equipment</t>
  </si>
  <si>
    <t>Start_Time</t>
  </si>
  <si>
    <t>End_Time</t>
  </si>
  <si>
    <t>VO2Max_Garmin</t>
  </si>
  <si>
    <t>VO2Max_Ella_Est</t>
  </si>
  <si>
    <t>Min_Temp_F</t>
  </si>
  <si>
    <t>Max_Temp_F</t>
  </si>
  <si>
    <t>Avg_Temp_F</t>
  </si>
  <si>
    <t>Surface_Conditions</t>
  </si>
  <si>
    <t>Technical_Difficulty</t>
  </si>
  <si>
    <t>Trail_Type</t>
  </si>
  <si>
    <t>Temp_Range</t>
  </si>
  <si>
    <t>Electrolyte_Packs_Used</t>
  </si>
  <si>
    <t>Electrolyte_Type</t>
  </si>
  <si>
    <t>Ketone_Peak_ppm</t>
  </si>
  <si>
    <t>Ketone_DayAfter_ppm</t>
  </si>
  <si>
    <t>Ketone_2DaysAfter_ppm</t>
  </si>
  <si>
    <t>Tag_Metabolic</t>
  </si>
  <si>
    <t>Tag_Cardiac</t>
  </si>
  <si>
    <t>Tag_Altitude</t>
  </si>
  <si>
    <t>Tag_Efficiency</t>
  </si>
  <si>
    <t>Tag_Longevity</t>
  </si>
  <si>
    <t>Tag_Recovery_Strain</t>
  </si>
  <si>
    <t>Tag_Engine_Pattern</t>
  </si>
  <si>
    <t>PreSleep_Score</t>
  </si>
  <si>
    <t>PreSleep_Total_min</t>
  </si>
  <si>
    <t>PreSleep_Deep_min</t>
  </si>
  <si>
    <t>PreSleep_REM_min</t>
  </si>
  <si>
    <t>PreSleep_Light_min</t>
  </si>
  <si>
    <t>PreSleep_Awake_min</t>
  </si>
  <si>
    <t>PreSleep_HR_Resting</t>
  </si>
  <si>
    <t>PreSleep_Avg_Overnight_HR</t>
  </si>
  <si>
    <t>PreSleep_Overnight_HRV</t>
  </si>
  <si>
    <t>PreSleep_Respiratory_Rate</t>
  </si>
  <si>
    <t>PreSleep_Stress_Avg</t>
  </si>
  <si>
    <t>PreSleep_Skin_Temp_Change_F</t>
  </si>
  <si>
    <t>PreSleep_Ella_Quality</t>
  </si>
  <si>
    <t>PreSleep_Ella_Recovery</t>
  </si>
  <si>
    <t>PreSleep_Ella_Autonomic</t>
  </si>
  <si>
    <t>PreSleep_Ella_Depth</t>
  </si>
  <si>
    <t>PreSleep_Ella_Summary</t>
  </si>
  <si>
    <t>PostSleep_Score</t>
  </si>
  <si>
    <t>PostSleep_Total_min</t>
  </si>
  <si>
    <t>PostSleep_Deep_min</t>
  </si>
  <si>
    <t>PostSleep_REM_min</t>
  </si>
  <si>
    <t>PostSleep_Light_min</t>
  </si>
  <si>
    <t>PostSleep_Awake_min</t>
  </si>
  <si>
    <t>PostSleep_HR_Resting</t>
  </si>
  <si>
    <t>PostSleep_Avg_Overnight_HR</t>
  </si>
  <si>
    <t>PostSleep_Overnight_HRV</t>
  </si>
  <si>
    <t>PostSleep_Respiratory_Rate</t>
  </si>
  <si>
    <t>PostSleep_Stress_Avg</t>
  </si>
  <si>
    <t>PostSleep_Skin_Temp_Change_F</t>
  </si>
  <si>
    <t>PostSleep_Ella_Quality</t>
  </si>
  <si>
    <t>PostSleep_Ella_Recovery</t>
  </si>
  <si>
    <t>PostSleep_Ella_Autonomic</t>
  </si>
  <si>
    <t>PostSleep_Ella_Depth</t>
  </si>
  <si>
    <t>PostSleep_Ella_Summary</t>
  </si>
  <si>
    <t>Day2Sleep_Score</t>
  </si>
  <si>
    <t>Day2Sleep_Total_min</t>
  </si>
  <si>
    <t>Day2Sleep_Deep_min</t>
  </si>
  <si>
    <t>Day2Sleep_REM_min</t>
  </si>
  <si>
    <t>Day2Sleep_Light_min</t>
  </si>
  <si>
    <t>Day2Sleep_Awake_min</t>
  </si>
  <si>
    <t>Day2Sleep_HR_Resting</t>
  </si>
  <si>
    <t>Day2Sleep_Avg_Overnight_HR</t>
  </si>
  <si>
    <t>Day2Sleep_Overnight_HRV</t>
  </si>
  <si>
    <t>Day2Sleep_Respiratory_Rate</t>
  </si>
  <si>
    <t>Day2Sleep_Stress_Avg</t>
  </si>
  <si>
    <t>Day2Sleep_Skin_Temp_Change_F</t>
  </si>
  <si>
    <t>Day2Sleep_Ella_Quality</t>
  </si>
  <si>
    <t>Day2Sleep_Ella_Recovery</t>
  </si>
  <si>
    <t>Day2Sleep_Ella_Autonomic</t>
  </si>
  <si>
    <t>Day2Sleep_Ella_Depth</t>
  </si>
  <si>
    <t>Day2Sleep_Ella_Summary</t>
  </si>
  <si>
    <t>Latent_Metabolic_Flexibility</t>
  </si>
  <si>
    <t>Latent_Autophagy_Depth</t>
  </si>
  <si>
    <t>Latent_Cardiac_Efficiency</t>
  </si>
  <si>
    <t>Latent_Altitude_Adaptation</t>
  </si>
  <si>
    <t>Latent_Recovery_Debt</t>
  </si>
  <si>
    <t>Latent_Mechanical_Stress</t>
  </si>
  <si>
    <t>Latent_Engine_Stability</t>
  </si>
  <si>
    <t>Narr_Metabolic_Flexibility</t>
  </si>
  <si>
    <t>Narr_Autophagy_Depth</t>
  </si>
  <si>
    <t>Narr_Cardiac_Efficiency</t>
  </si>
  <si>
    <t>Narr_Altitude_Adaptation</t>
  </si>
  <si>
    <t>Narr_Recovery_Debt</t>
  </si>
  <si>
    <t>Narr_Mechanical_Stress</t>
  </si>
  <si>
    <t>Narr_Engine_Stability</t>
  </si>
  <si>
    <t>INT|Auto</t>
  </si>
  <si>
    <t>DATE|mm/dd/yyyy</t>
  </si>
  <si>
    <t>TEXT|Trail name</t>
  </si>
  <si>
    <t>INT|years</t>
  </si>
  <si>
    <t>INT|inches</t>
  </si>
  <si>
    <t>INT|pounds</t>
  </si>
  <si>
    <t>TEXT|description</t>
  </si>
  <si>
    <t>FLOAT|miles</t>
  </si>
  <si>
    <t>INT|feet</t>
  </si>
  <si>
    <t>INT|minutes</t>
  </si>
  <si>
    <t>TIME|hh:mm</t>
  </si>
  <si>
    <t>INT|bpm</t>
  </si>
  <si>
    <t>FLOAT|decimal_pct</t>
  </si>
  <si>
    <t>FLOAT|0-5</t>
  </si>
  <si>
    <t>INT|load_units</t>
  </si>
  <si>
    <t>INT|ml/kg/min</t>
  </si>
  <si>
    <t>TEXT|range_est</t>
  </si>
  <si>
    <t>INT|°F</t>
  </si>
  <si>
    <t>TEXT|multi_tag</t>
  </si>
  <si>
    <t>ENUM|Legend</t>
  </si>
  <si>
    <t>TEXT|range</t>
  </si>
  <si>
    <t>FLOAT|count</t>
  </si>
  <si>
    <t>FLOAT|ppm</t>
  </si>
  <si>
    <t>TEXT|narrative</t>
  </si>
  <si>
    <t>INT|0-100</t>
  </si>
  <si>
    <t>INT|ms</t>
  </si>
  <si>
    <t>INT|breaths/min</t>
  </si>
  <si>
    <t>INT|stress_score</t>
  </si>
  <si>
    <t>FLOAT|°F</t>
  </si>
  <si>
    <t>ENUM|Quality</t>
  </si>
  <si>
    <t>ENUM|Recovery</t>
  </si>
  <si>
    <t>ENUM|Autonomic</t>
  </si>
  <si>
    <t>ENUM|Depth</t>
  </si>
  <si>
    <t>FLOAT|1-10</t>
  </si>
  <si>
    <t>System</t>
  </si>
  <si>
    <t>Mike</t>
  </si>
  <si>
    <t>Ella</t>
  </si>
  <si>
    <t>Ketoscan</t>
  </si>
  <si>
    <t>Shorts and Base Layer T shirt to Summit. Wind Shell summit to mid descent.</t>
  </si>
  <si>
    <t>Shorts and Base Layer T shirt to Summit. Shell half down and t shirts and shorts to parking lot.</t>
  </si>
  <si>
    <t>Shorts and Base Layer T shirt half of hike. Wind Shell the rest.</t>
  </si>
  <si>
    <t>Steep, Technical, Fire Road</t>
  </si>
  <si>
    <t>Deep autophagy activation with efficient cardiac control (negative HR drift), high-altitude adaptation, strong metabolic efficiency, and stable engine pattern under elevated training load.</t>
  </si>
  <si>
    <t>Deep autophagy activation with controlled cardiac load (continued negative HR drift), efficient energy utilization in cold aerobic conditions, improved next-day ketone retention, and stable engine pattern across technical snow and exposed ridgeline terrain.</t>
  </si>
  <si>
    <t>Sustained autophagy activation with negative heart rate drift and reduced metabolic cost, reflecting improving efficiency and cardiovascular control at moderate altitude.</t>
  </si>
  <si>
    <t>Sustained high-level autophagy activation with continued negative heart rate drift and improving movement economy at extreme altitude.</t>
  </si>
  <si>
    <t>Repair-biased fasted aerobic session with strong engine stability, negative HR drift, moderate stabilizer load from wet terrain, and shallow autophagy signaling.</t>
  </si>
  <si>
    <t>Fasted cold-weather alpine effort with negative HR drift, efficient fat oxidation, and a stable engine under highly technical, icy terrain.</t>
  </si>
  <si>
    <t>Fasted cold-weather alpine effort with sustained negative heart rate drift, efficient fat oxidation, and a stable engine under highly technical, icy terrain.</t>
  </si>
  <si>
    <t>Fasted cold-weather alpine effort with sustained negative heart rate drift, efficient fat oxidation, and a stable engine under icy, highly technical terrain.</t>
  </si>
  <si>
    <t>Fasted cold-weather alpine effort with sustained negative heart rate drift, efficient fat oxidation, and a stable engine under mixed snow and highly technical terrain.</t>
  </si>
  <si>
    <t>Solid restorative sleep with stable autonomic tone, good deep and REM distribution, slightly elevated resting HR, and moderate HRV.</t>
  </si>
  <si>
    <t>Short sleep duration with reduced deep and REM phases, lower HRV, and partial overnight recovery.</t>
  </si>
  <si>
    <t>Moderate-quality sleep with extended total duration and preserved deep and REM phases.</t>
  </si>
  <si>
    <t>High-quality sleep with strong recovery markers and stable autonomic tone.</t>
  </si>
  <si>
    <t>Short-duration but high-efficiency sleep with preserved deep and REM phases.</t>
  </si>
  <si>
    <t>High-quality restorative sleep with extended deep and REM duration, low awakenings.</t>
  </si>
  <si>
    <t>Fragmented short sleep with very high awakenings, reduced total duration.</t>
  </si>
  <si>
    <t>Moderate-quality, shortened sleep with preserved deep and REM phases.</t>
  </si>
  <si>
    <t>Poor post-hike sleep with suppressed HRV, elevated resting HR, minimal deep sleep, and low recovery markers.</t>
  </si>
  <si>
    <t>Poor post-hike sleep marked by reduced REM duration and continued autonomic strain, but with preserved deep sleep.</t>
  </si>
  <si>
    <t>Poor post-hike sleep with continued autonomic strain and suppressed HRV, but with preserved deep and REM sleep.</t>
  </si>
  <si>
    <t>Poor post-hike sleep with continued autonomic strain and suppressed HRV, despite preserved deep sleep.</t>
  </si>
  <si>
    <t>Poor post-hike sleep with continued autonomic strain and suppressed HRV, despite improved REM duration.</t>
  </si>
  <si>
    <t>Poor post-hike sleep marked by continued autonomic strain and suppressed HRV, despite preserved deep and REM sleep.</t>
  </si>
  <si>
    <t>Solid restorative sleep with stable autonomic tone, good deep and REM distribution.</t>
  </si>
  <si>
    <t>Solid restorative sleep with stable autonomic tone, high deep-sleep volume, strong REM distribution.</t>
  </si>
  <si>
    <t>Solid restorative sleep with stable autonomic tone, strong REM distribution, elevated deep-sleep proportion.</t>
  </si>
  <si>
    <t>Moderately restorative sleep with stable autonomic tone and preserved deep-sleep repair, but shortened total duration.</t>
  </si>
  <si>
    <t>Moderately restorative sleep marked by stable autonomic tone and preserved deep-sleep repair.</t>
  </si>
  <si>
    <t>Restorative Day-2 sleep with stable autonomic tone, reduced overnight stress.</t>
  </si>
  <si>
    <t>Highly fragmented short sleep with absent REM and elevated overnight temperature.</t>
  </si>
  <si>
    <t>Moderately restorative sleep with stable autonomic tone and preserved deep-sleep repair.</t>
  </si>
  <si>
    <t>Moderately restorative sleep with stable autonomic tone and strong deep-sleep repair.</t>
  </si>
  <si>
    <t>Lower peak &amp; end ketones (2 → 5.8 ppm) + weaker retention</t>
  </si>
  <si>
    <t>Same peak elevation, lower physiological cost</t>
  </si>
  <si>
    <t>Strong end-ketone elevation (7.1 ppm) with solid retention</t>
  </si>
  <si>
    <t>Sustained high autophagy activation with no anaerobic spillover</t>
  </si>
  <si>
    <t>Continued negative HR drift (-5.6%) at extreme altitude</t>
  </si>
  <si>
    <t>Extreme altitude absorbed with stable autonomic control</t>
  </si>
  <si>
    <t>Partial recovery by Day 2 with elevated HRV</t>
  </si>
  <si>
    <t>Mixed technical terrain with shorter duration</t>
  </si>
  <si>
    <t>System variance remained tight, confirming consolidation</t>
  </si>
  <si>
    <t>Moderate ketone rise with early plateau and limited retention</t>
  </si>
  <si>
    <t>Shorter duration and lower altitude limited depth</t>
  </si>
  <si>
    <t>Negative HR drift (-3.20%) with controlled average HR</t>
  </si>
  <si>
    <t>Moderate elevation produced minimal hypoxic stress</t>
  </si>
  <si>
    <t>Low. Post-hike sleep strain resolved by Day-2</t>
  </si>
  <si>
    <t>Wet clay surface increased stabilizer demand</t>
  </si>
  <si>
    <t>Highly stable. Tight coupling across all systems</t>
  </si>
  <si>
    <t>Strong end-ketone elevation (6.2 ppm) with efficient switching</t>
  </si>
  <si>
    <t>Sustained autophagy activation; depth reduced by shorter exposure</t>
  </si>
  <si>
    <t>Continued negative HR drift (-4.9%) under extreme conditions</t>
  </si>
  <si>
    <t>Extreme altitude stress absorbed with reduced physiological cost</t>
  </si>
  <si>
    <t>Partial recovery by Day 2, bounded and non-accumulative</t>
  </si>
  <si>
    <t>Highly technical, icy terrain increased neuromuscular demand</t>
  </si>
  <si>
    <t>Strong end-ketone elevation (8.4 ppm) with good retention</t>
  </si>
  <si>
    <t>Sustained autophagy; depth modestly capped by duration</t>
  </si>
  <si>
    <t>Continued negative HR drift (-5.2%) under technical terrain</t>
  </si>
  <si>
    <t>Extreme altitude absorbed with consistent cardiovascular efficiency</t>
  </si>
  <si>
    <t>Recovery debt present but stable and non-accumulative</t>
  </si>
  <si>
    <t>Highly technical, icy terrain with refined movement efficiency</t>
  </si>
  <si>
    <t>System variance tight despite cold exposure and technical terrain</t>
  </si>
  <si>
    <t>Strong end-ketone elevation (6.8 ppm) with solid retention</t>
  </si>
  <si>
    <t>Sustained autophagy within high-adaptation zone</t>
  </si>
  <si>
    <t>Continued negative HR drift (-5.0%) under icy terrain</t>
  </si>
  <si>
    <t>Recovery debt remains present but stable</t>
  </si>
  <si>
    <t>Icy terrain increased demand but efficiency constrained stress</t>
  </si>
  <si>
    <t>System variance tight, confirming stable engine behavior</t>
  </si>
  <si>
    <t>Strong end-ketone elevation with solid retention</t>
  </si>
  <si>
    <t>Continued negative HR drift (-5.1%) under technical terrain</t>
  </si>
  <si>
    <t>Extreme altitude absorbed, reinforcing consolidated adaptation</t>
  </si>
  <si>
    <t>Highly technical terrain with refined movement efficiency</t>
  </si>
  <si>
    <t>AUTOPHAGY_DEEP</t>
  </si>
  <si>
    <t>RECOVERY_GOOD</t>
  </si>
  <si>
    <t>RECOVERY_MODERATE</t>
  </si>
  <si>
    <t>RECOVERY_PARTIAL</t>
  </si>
  <si>
    <t>HIGH</t>
  </si>
  <si>
    <t>YES</t>
  </si>
  <si>
    <t>NO</t>
  </si>
  <si>
    <t>LIGHT</t>
  </si>
  <si>
    <t>MODERATE</t>
  </si>
  <si>
    <t>STRONG</t>
  </si>
  <si>
    <t>CALM</t>
  </si>
  <si>
    <t>ENUM|HIGH,LOW</t>
  </si>
  <si>
    <t>ENUM|YES,NO</t>
  </si>
  <si>
    <t>ENUM|CALM,LIGHT,MODERATE,STRONG</t>
  </si>
  <si>
    <t>ENUM|LIGHT,MODERATE,STRONG</t>
  </si>
  <si>
    <t>ENUM|LOW,MODERATE,HIGH</t>
  </si>
  <si>
    <t>Primary_Adaptation_Vector</t>
  </si>
  <si>
    <t>Stability_Index</t>
  </si>
  <si>
    <t>Rolling_28Day_Load</t>
  </si>
  <si>
    <t>Rolling_28Day_Altitude_Exposure</t>
  </si>
  <si>
    <t>Rolling_28Day_Avg_Ketone_Peak</t>
  </si>
  <si>
    <t>ENUM|METABOLIC,ALTITUDE,CARDIAC,RECOVERY,CONSOLIDATION,REPAIR_BIAS</t>
  </si>
  <si>
    <t>Ella_Inferred</t>
  </si>
  <si>
    <t>Computed</t>
  </si>
  <si>
    <t>METABOLIC</t>
  </si>
  <si>
    <t>CONSOLIDATION</t>
  </si>
  <si>
    <t>REPAIR_BIAS</t>
  </si>
  <si>
    <t>Mount Wilson</t>
  </si>
  <si>
    <t>Hike (2/15/2026)</t>
  </si>
  <si>
    <t>Shorts and windshell 75% of hike. Shorts and T 25% remainder.</t>
  </si>
  <si>
    <t>Sturtevant Falls to Mount Wilson</t>
  </si>
  <si>
    <t>Rocky, Alpine, River Crossings, exposed switchbacks</t>
  </si>
  <si>
    <t>Rocky, Slippery, Mixed</t>
  </si>
  <si>
    <t>Cloudy</t>
  </si>
  <si>
    <t>Fasted long-distance alpine effort on a novel trail with controlled average heart rate, high max HR spike, and strong end-ketone elevation (11 ppm) matching peak autophagy sessions. Extended distance (15 mi) and elevation gain (4,770 ft) at moderate altitude produced deep substrate switching without anaerobic spillover. Rocky, slippery mixed terrain with river crossings and exposed switchbacks increased neuromuscular demand. Despite very short pre-hike sleep, cardiovascular control remained effective and the engine pattern held stable, reflecting durable efficiency and metabolic depth under novel, prolonged stress.</t>
  </si>
  <si>
    <t>Poor post-hike sleep with deeply suppressed HRV (24), elevated resting HR (65 bpm), and shortened total duration (227 min), but exceptionally strong deep sleep (118 min) indicating aggressive overnight tissue repair and mitochondrial recovery. REM was heavily suppressed (25 min) and awakenings elevated (50 min), reflecting continued autonomic strain from the longest and most novel effort to date. Elevated respiratory rate (19) and overnight stress (30) confirm systemic recovery demand remains high. Deep-sleep dominance signals the body prioritized structural repair over cognitive restoration on Day 1.</t>
  </si>
  <si>
    <t>Moderately restorative Day-2 sleep with stable autonomic tone and reduced resting heart rate (63 bpm), but markedly suppressed REM (19 min — lowest across all weeks) and moderate deep sleep (58 min). Total duration improved (328 min) and awakenings dropped sharply (6 min), indicating structural recovery is progressing. However, the near-absent REM combined with elevated skin temperature (+0.7°F) suggests continued inflammatory signaling and unresolved neural recalibration from the novel 15-mile effort. HRV returned to 35, matching baseline, but cognitive and hormonal restoration remains incomplete two days post-hike.</t>
  </si>
  <si>
    <t>Very high end-ketone elevation (11 ppm) with strong next-day retention (2.4 ppm) and solid Day-2 persistence (2.2 ppm) indicates deep metabolic flexibility and efficient substrate switching under prolonged novel alpine stress, matching peak sessions despite moderate altitude.</t>
  </si>
  <si>
    <t>Deep autophagy activation driven by very high end-ketone elevation (11 ppm) under the longest fasted effort to date (15 mi, 339 min). Strong next-day retention confirms sustained cellular clearance signaling despite suppressed post-hike REM and novel terrain demands.</t>
  </si>
  <si>
    <t>Controlled average heart rate (128 bpm) over the longest distance (15 mi) with the highest max HR spike (165 bpm) of any recent hike, reflecting cardiovascular reserve under novel terrain stress. HR drift data unavailable for this session, but sustained output over 339 minutes confirms durable cardiac efficiency.</t>
  </si>
  <si>
    <t>Moderate altitude exposure (peak 5,762 ft) produced manageable hypoxic load compared to Baldy's extreme altitude sessions (10,000+ ft). Physiological cost was contained with stable autonomic control, placing this effort in the moderate adaptation zone similar to Skinsuit sessions.</t>
  </si>
  <si>
    <t>Significant recovery debt from the combination of severely truncated pre-hike sleep (64 min), the longest and most novel effort to date, and deeply suppressed post-hike HRV (24) with elevated resting HR. Day-2 HRV returned to baseline (35) but REM remained critically suppressed (19 min), indicating ongoing neural and cognitive recalibration. Debt is elevated but bounded.</t>
  </si>
  <si>
    <t>Highest distance (15 mi) and elevation gain (4,770 ft) of any hike to date over rocky, slippery mixed terrain with river crossings and exposed switchbacks. Novel trail demands increased proprioceptive and neuromuscular load beyond typical Baldy sessions, elevating mechanical stress despite controlled pacing.</t>
  </si>
  <si>
    <t>System variance remained contained across metabolic, cardiac, and recovery domains despite the novel trail, longest distance, and highest mechanical stress of any session. The engine absorbed a qualitatively different stress profile without instability, confirming robust adaptability beyond the established Baldy and Skinsuit patterns.</t>
  </si>
  <si>
    <t>Shorts and shell till summit. Shorts and T back.</t>
  </si>
  <si>
    <t>Rocky, Mixed, Snow last 2 miles to peak</t>
  </si>
  <si>
    <t>50F to 60F</t>
  </si>
  <si>
    <t>CLOUDY</t>
  </si>
  <si>
    <t>Very short pre-hike sleep with extremely low total duration (254 min), likely truncated by the early start time required for the 15-mile Mount Wilson effort. Despite minimal sleep volume, deep and REM phases were preserved in proportion, resting heart rate remained low (57 bpm), and autonomic tone stayed stable with moderate HRV (36). Pattern indicates severely compressed recovery window entering the hike, with partial readiness sustained by low baseline stress markers and stable overnight physiology.</t>
  </si>
  <si>
    <t>Controlled average heart rate (128 bpm) over the longest distance (15 mi) with the highest max HR spike (165 bpm) of any recent hike, reflecting cardiovascular reserve under novel terrain stress. HR drift estimated at -5.8%, confirming durable cardiac efficiency.</t>
  </si>
  <si>
    <t>Significant recovery debt from the combination of compressed pre-hike sleep (254 min), the longest and most novel effort to date, and deeply suppressed post-hike HRV (24) with elevated resting HR. Day-2 HRV returned to baseline (35) but REM remained critically suppressed (19 min), indicating ongoing neural and cognitive recalibration. Debt is elevated but bounded.</t>
  </si>
  <si>
    <t>Very short pre-hike sleep with low total duration (254 min), likely truncated by the early start time required for the 15-mile Mount Wilson effort. Despite minimal sleep volume, deep and REM phases were preserved in proportion, resting heart rate remained low (57 bpm), and autonomic tone stayed stable with moderate HRV (36). Pattern indicates severely compressed recovery window entering the hike, with partial readiness sustained by low baseline stress markers and stable overnight physiology.</t>
  </si>
  <si>
    <t>Hike (2/22/2026)</t>
  </si>
  <si>
    <t>AUTOPHAGY_Moderate</t>
  </si>
  <si>
    <t>Fasted repeat Mount Wilson effort with improved cardiac control (avg HR 126, lowest on this trail), negative HR drift, and zero anaerobic spillover. Moderate end-ketone elevation (5.3 ppm) reflects efficient but shallower substrate switching compared to the novel first attempt (11 ppm). Reduced distance (13.6 vs 15 mi), lower exercise load (79 vs 121), and controlled max HR (153 vs 165) confirm trail familiarity driving efficiency gains. Rocky mixed terrain with snow near the summit increased stabilizer demand, but the engine pattern held stable with tighter HR variance and no signs of cumulative strain.</t>
  </si>
  <si>
    <t>Low-quality pre-hike sleep with extended total duration (352 min) but severely degraded architecture — deep sleep (37 min) and REM (27 min) were among the lowest pre-hike values recorded, while light sleep dominated at 82%. Elevated awakenings (49 min) and overnight stress (19) suppressed restorative phases despite adequate time in bed. Resting HR remained controlled (61 bpm) and autonomic tone stayed stable with moderate HRV (34), but insufficient deep and REM phases indicate partial readiness entering the hike, with unresolved neural and systemic fatigue from fragmented sleep.</t>
  </si>
  <si>
    <t>QUALITY_UNAVAILABLE</t>
  </si>
  <si>
    <t>RECOVERY_UNAVAILABLE</t>
  </si>
  <si>
    <t>AUTONOMIC_UNAVAILABLE</t>
  </si>
  <si>
    <t>DEPTH_UNAVAILABLE</t>
  </si>
  <si>
    <t>Post-hike sleep data unavailable — watch not worn. Unable to assess overnight recovery architecture, autonomic recalibration, or tissue repair signaling for Day 1 post-hike.</t>
  </si>
  <si>
    <t>Very short Day-2 sleep (254 min) with the highest deep-sleep volume recorded on any Day-2 night (96 min), but completely absent REM (0 min) indicating aggressive prioritization of structural and mitochondrial repair over cognitive and neural restoration. Awakenings were minimal (6 min) and resting HR remained controlled (63 bpm), while HRV returned to baseline (34) and overnight stress stayed elevated (19). The extreme deep-sleep dominance with absent REM, combined with missing post-hike Day-1 data, suggests the body compressed two nights of tissue repair into one session. Neural, hormonal, and cognitive recalibration remains incomplete two days post-hike.</t>
  </si>
  <si>
    <t>Moderate end-ketone elevation (5.3 ppm) with solid next-day retention (2.1 ppm) and Day-2 persistence (2.0 ppm) indicates preserved metabolic flexibility and efficient substrate switching under repeat alpine conditions, though shallower activation than the novel first attempt (11 ppm) reflects reduced metabolic demand from trail familiarity and shorter distance.</t>
  </si>
  <si>
    <t>Moderate autophagy activation without anaerobic spillover; depth capped relative to prior Wilson effort (5.3 vs 11 ppm end ketones) due to shorter distance, lower exercise load, and reduced novelty stress. Session functioned as efficient maintenance-level autophagy rather than deep stimulus.</t>
  </si>
  <si>
    <t>Negative HR drift (-5.2%) with the lowest average heart rate on Mount Wilson (126 bpm) and controlled max HR (153 bpm — down from 165 on the first attempt) confirms improving cardiovascular efficiency and refined pacing on the repeat trail.</t>
  </si>
  <si>
    <t>Moderate altitude exposure (peak 5,693 ft) on a now-familiar trail produced manageable hypoxic load with stable autonomic control. Physiological cost remained contained and below the first-attempt response, confirming consolidated altitude adaptation at this elevation band.</t>
  </si>
  <si>
    <t>Recovery debt assessment limited by missing post-hike Day-1 sleep data. Day-2 sleep showed extreme deep-sleep dominance (96 min) with absent REM (0 min), suggesting the body compressed structural repair into a single overnight session. Lower exercise load (79 vs 121) and reduced max HR indicate less total systemic strain than the first Wilson attempt, but the 0-REM Day-2 pattern signals unresolved neural recalibration. Debt is moderate but bounded.</t>
  </si>
  <si>
    <t>Rocky mixed terrain with snow in the final 2 miles to the summit increased stabilizer and proprioceptive demand, but shorter distance (13.6 vs 15 mi), lower elevation gain (4,501 vs 4,770 ft), and trail familiarity reduced cumulative musculoskeletal stress relative to the novel first attempt.</t>
  </si>
  <si>
    <t>System variance tightened across metabolic, cardiac, and recovery domains on the repeat Mount Wilson effort. Lower avg HR, reduced exercise load, zero anaerobic contribution, and stable engine pattern confirm the system absorbed this trail profile with less cost, reflecting consolidated efficiency and robust adaptability across familiar terrain.</t>
  </si>
  <si>
    <t>AUTOPHAGY_MODERATE</t>
  </si>
  <si>
    <t>Low-quality pre-hike sleep with extended total duration (352 min) but severely degraded architecture — deep sleep (37 min) and REM (27 min) were among the lowest pre-hike values recorded, while light sleep dominated at 82%. Elevated awakenings (49 min) and overnight stress (19) suppressed restorative phases. Resting HR remained controlled (61 bpm) and autonomic tone stayed stable with moderate HRV (34), but insufficient deep and REM phases indicate partial readiness entering the hike.</t>
  </si>
  <si>
    <t>Very short Day-2 sleep (254 min) with the highest deep-sleep volume recorded on any Day-2 night (96 min), but completely absent REM (0 min) indicating aggressive prioritization of structural and mitochondrial repair over cognitive and neural restoration. Awakenings were minimal (6 min) and HRV returned to baseline (34), but the extreme deep-sleep dominance with absent REM suggests the body compressed repair into a single session due to missing Day-1 data. Neural recalibration remains incomplete.</t>
  </si>
  <si>
    <t>Skinsuit to Hagador Peak</t>
  </si>
  <si>
    <t>Hike (3/1/2026)</t>
  </si>
  <si>
    <t>shorts and t shirt</t>
  </si>
  <si>
    <t>Slippery and dry dirt</t>
  </si>
  <si>
    <t>80F to 85F</t>
  </si>
  <si>
    <t>Fasted chaparral effort in high heat (80–85°F) on a familiar Skinsuit route with controlled cardiac output (avg HR 130, max 159), zero anaerobic spillover, and moderate autophagy signaling (end ketone 5.7 ppm). Rocky, technical, max-exposure terrain at moderate altitude drove sustained stabilizer demand under direct sun. Exercise load (115) and aerobic training effect (3.7) reflect meaningful physiological stress absorbed cleanly within a stable engine pattern, confirming continued efficiency gains and durable cardiovascular control in hot, exposed conditions.</t>
  </si>
  <si>
    <t>Low-quality pre-hike sleep with suppressed HRV (29) and elevated awakenings (72 min), but exceptionally strong deep sleep (121 min) — the highest pre-hike deep phase recorded. REM was compressed (38 min) and overnight stress elevated (21), indicating fragmented architecture despite adequate total duration (444 min). Resting HR held steady (61 bpm) but low HRV and high awake time reflect autonomic strain entering the hike. The dominant deep-sleep block suggests aggressive pre-hike tissue repair and mitochondrial priming, partially offsetting the poor overall recovery quality.</t>
  </si>
  <si>
    <t>Poor post-hike sleep with elevated overnight HR (70 bpm), very high awakenings (91 min), and suppressed REM (30 min), reflecting continued autonomic strain from the hot, technical Skinsuit effort. HRV (31) remained low and overnight stress elevated (25), indicating incomplete nervous system recalibration on Day 1. Deep sleep (67 min) was moderate — sufficient for baseline tissue repair but not the aggressive deep-phase dominance seen after longer or more novel efforts. Positive skin temp change (+0.1°F) and shortened total duration (356 min) suggest the body is actively recovering but systemic load from heat exposure and max-exposure terrain is still being processed.</t>
  </si>
  <si>
    <t>Foundation Phase Tracking</t>
  </si>
  <si>
    <t>Section</t>
  </si>
  <si>
    <t>Session 1</t>
  </si>
  <si>
    <t>Session 2</t>
  </si>
  <si>
    <t>Session 3</t>
  </si>
  <si>
    <t>Session 4</t>
  </si>
  <si>
    <t>Session Info</t>
  </si>
  <si>
    <t>Protocol Name</t>
  </si>
  <si>
    <t>Frequency (sessions/week)</t>
  </si>
  <si>
    <t>Session Duration (min)</t>
  </si>
  <si>
    <t>Activity Metrics</t>
  </si>
  <si>
    <t>Fasted State (true/false)</t>
  </si>
  <si>
    <t>Terrain (flat/mild incline)</t>
  </si>
  <si>
    <t>Physiological</t>
  </si>
  <si>
    <t>Resting HR (pre-phase)</t>
  </si>
  <si>
    <t>Avg HR (session)</t>
  </si>
  <si>
    <t>Max HR (session)</t>
  </si>
  <si>
    <t>Sleep Time (min)</t>
  </si>
  <si>
    <t>Metabolic Flexibility Flag</t>
  </si>
  <si>
    <t>Hydration</t>
  </si>
  <si>
    <t>Electrolyte Intake (yes/no)</t>
  </si>
  <si>
    <t>Electrolyte Brand/Type</t>
  </si>
  <si>
    <t>Hydration Type</t>
  </si>
  <si>
    <t>Recovery</t>
  </si>
  <si>
    <t>Sleep Quality Change</t>
  </si>
  <si>
    <t>Recovery Flag</t>
  </si>
  <si>
    <t>Session 5</t>
  </si>
  <si>
    <t>Session 6</t>
  </si>
  <si>
    <t>Session 7</t>
  </si>
  <si>
    <t>Session 8</t>
  </si>
  <si>
    <t>Session 9</t>
  </si>
  <si>
    <t>Session 10</t>
  </si>
  <si>
    <t>Session 11</t>
  </si>
  <si>
    <t>Session 12</t>
  </si>
  <si>
    <t>% Zone 1</t>
  </si>
  <si>
    <t>% Zone 2</t>
  </si>
  <si>
    <t>Perceived Effort Level ( 1 to 5)</t>
  </si>
  <si>
    <t>Restorative Day-2 sleep with the longest total duration (501 min) and highest REM volume (102 min) of any Day-2 night across all hikes, alongside strong deep sleep (70 min) and controlled resting heart rate (59 bpm). HRV rebounded above baseline (39) with low overnight stress (14) and negative skin temperature change (-0.4°F), indicating resolved inflammation and full autonomic recalibration. Despite elevated awakenings (65 min), the exceptional combined restorative volume (172 min deep + REM) and low cardiac stress markers confirm complete systemic recovery and successful neural restoration two days post-hike under heat-stressed chaparral conditions.</t>
  </si>
  <si>
    <t>Moderate end-ketone elevation (5.7 ppm) with the highest wake/start ketones of any Skinsuit session (2.4 ppm) and the strongest multi-day retention (2.2 → 2.5 ppm), indicating efficient substrate switching and preserved metabolic flexibility under high heat stress (87°F avg).</t>
  </si>
  <si>
    <t>Moderate autophagy activation with solid next-day and Day-2 ketone retention, but shallow peak depth relative to Baldy sessions. Heat stress drove sustained fat oxidation without anaerobic spillover; session functioned as efficient maintenance-level autophagy with strong downstream clearance signaling.</t>
  </si>
  <si>
    <t>Negative HR drift (-4.8%) with controlled average HR (130 bpm) and zero anaerobic contribution under extreme heat (87°F) and max-exposure terrain confirms durable cardiovascular efficiency, though thermal load moderately elevated cardiac demand relative to cooler Skinsuit sessions.</t>
  </si>
  <si>
    <t>Moderate altitude exposure (peak 3,898 ft) in chaparral terrain produced minimal hypoxic stress, consistent with prior Skinsuit sessions. Physiological cost remained contained with stable autonomic control, placing this effort in the moderate adaptation zone.</t>
  </si>
  <si>
    <t>Low. Pre-hike autonomic strain (HRV 29) and poor post-hike sleep (HRV 31, 91 min awake) were fully resolved by Day-2, which showed the longest total sleep (501 min), highest REM (102 min), and above-baseline HRV (39) of any recovery night. Complete neural and systemic restoration achieved despite heat-stressed pre-hike deficit.</t>
  </si>
  <si>
    <t>Slippery dry dirt with rocky, technical, max-exposure terrain on a familiar Skinsuit route drove sustained stabilizer demand. Lower elevation gain (3,235 ft) and moderate duration reduced cumulative musculoskeletal load relative to both Baldy and Mount Wilson sessions.</t>
  </si>
  <si>
    <t>Highly stable. Zero anaerobic spillover, maintained negative HR drift, and clean Day-2 recovery with the highest REM volume of any session confirm tight coupling across metabolic, cardiac, and autonomic systems. Heat stress absorbed without instability, extending the proven Skinsuit engine pattern to novel thermal conditions.</t>
  </si>
  <si>
    <t>Foundation</t>
  </si>
  <si>
    <t>Flat</t>
  </si>
  <si>
    <t>Sleep Score (Garmin)</t>
  </si>
  <si>
    <t>yes</t>
  </si>
  <si>
    <t>DraLot</t>
  </si>
  <si>
    <t>water</t>
  </si>
  <si>
    <t>stable</t>
  </si>
  <si>
    <t>ready</t>
  </si>
  <si>
    <t>Distance (M)</t>
  </si>
  <si>
    <t>Total Ascent</t>
  </si>
  <si>
    <t>Sweat Loss (ml)</t>
  </si>
  <si>
    <t>no</t>
  </si>
  <si>
    <t>Stable</t>
  </si>
  <si>
    <t>deteriorated</t>
  </si>
  <si>
    <t>Temperature (Average)</t>
  </si>
  <si>
    <t>HR Drift</t>
  </si>
  <si>
    <t>Trail ID</t>
  </si>
  <si>
    <t>Trail Name</t>
  </si>
  <si>
    <t>Location</t>
  </si>
  <si>
    <t>Region</t>
  </si>
  <si>
    <t>Accessibility Class</t>
  </si>
  <si>
    <t>Distance (mi)</t>
  </si>
  <si>
    <t>Elevation Gain (ft)</t>
  </si>
  <si>
    <t>Protocol Level Estimate</t>
  </si>
  <si>
    <t>Anchor Analog</t>
  </si>
  <si>
    <t>Stimulus Vectors</t>
  </si>
  <si>
    <t>Notes</t>
  </si>
  <si>
    <t>tg_a001</t>
  </si>
  <si>
    <t>Griffith Park - Mt Hollywood Loop</t>
  </si>
  <si>
    <t>Los Angeles, CA</t>
  </si>
  <si>
    <t>SoCal</t>
  </si>
  <si>
    <t>Urban-Local</t>
  </si>
  <si>
    <t>Protocol 1</t>
  </si>
  <si>
    <t>Skinsuit-like</t>
  </si>
  <si>
    <t>Exposure/Thermal, Climb Load (Low)</t>
  </si>
  <si>
    <t>Repeatable foundational loop; good for consistency baseline.</t>
  </si>
  <si>
    <t>tg_a002</t>
  </si>
  <si>
    <t>Runyon Canyon Loop</t>
  </si>
  <si>
    <t>Short, accessible, repeatable; good for daily adherence.</t>
  </si>
  <si>
    <t>tg_a003</t>
  </si>
  <si>
    <t>Elysian Park - Chavez Ridge Loop</t>
  </si>
  <si>
    <t>Low logistics; consistent stimulus for beginners.</t>
  </si>
  <si>
    <t>tg_a004</t>
  </si>
  <si>
    <t>Temescal Canyon Loop</t>
  </si>
  <si>
    <t>Urban-Regional</t>
  </si>
  <si>
    <t>Protocol 2</t>
  </si>
  <si>
    <t>Climb Load (Moderate), Exposure/Thermal</t>
  </si>
  <si>
    <t>Classic repeatable climb; great aerobic base builder.</t>
  </si>
  <si>
    <t>tg_a005</t>
  </si>
  <si>
    <t>Los Leones Trail</t>
  </si>
  <si>
    <t>Reliable incline stimulus; good for weekly repeat protocol.</t>
  </si>
  <si>
    <t>tg_a006</t>
  </si>
  <si>
    <t>Culver City Stairs + Baldwin Hills Scenic Overlook Loop</t>
  </si>
  <si>
    <t>Climb Load (Low), Exposure/Thermal</t>
  </si>
  <si>
    <t>Micro-dose climb; extremely accessible.</t>
  </si>
  <si>
    <t>tg_a007</t>
  </si>
  <si>
    <t>Eaton Canyon Falls</t>
  </si>
  <si>
    <t>Pasadena, CA</t>
  </si>
  <si>
    <t>Wilson-like</t>
  </si>
  <si>
    <t>Mechanical Complexity, Climb Load (Moderate)</t>
  </si>
  <si>
    <t>Water crossings/terrain variability = mechanical complexity.</t>
  </si>
  <si>
    <t>tg_a008</t>
  </si>
  <si>
    <t>Millard Canyon Falls</t>
  </si>
  <si>
    <t>Altadena, CA</t>
  </si>
  <si>
    <t>Short repeatable canyon climb; low travel friction.</t>
  </si>
  <si>
    <t>tg_a009</t>
  </si>
  <si>
    <t>Echo Mountain via Sam Merrill Trail</t>
  </si>
  <si>
    <t>Protocol 3</t>
  </si>
  <si>
    <t>Climb Load (High), Duration Load (Moderate)</t>
  </si>
  <si>
    <t>Sustained climb; excellent mid-protocol anchor.</t>
  </si>
  <si>
    <t>tg_a010</t>
  </si>
  <si>
    <t>Mt Lowe via Sam Merrill Trail</t>
  </si>
  <si>
    <t>Repeatable big climb; durability builder.</t>
  </si>
  <si>
    <t>tg_a011</t>
  </si>
  <si>
    <t>Mt Lukens via Stone Canyon</t>
  </si>
  <si>
    <t>Climb Load (High), Exposure/Thermal</t>
  </si>
  <si>
    <t>Exposed climb; great heat/economy training.</t>
  </si>
  <si>
    <t>tg_a012</t>
  </si>
  <si>
    <t>Strawberry Peak (via Colby Canyon)</t>
  </si>
  <si>
    <t>Angeles National Forest, CA</t>
  </si>
  <si>
    <t>Regional</t>
  </si>
  <si>
    <t>Climb Load (High), Technical/Surface Load</t>
  </si>
  <si>
    <t>Strong SoCal protocol climb; dependable stimulus.</t>
  </si>
  <si>
    <t>tg_a013</t>
  </si>
  <si>
    <t>San Gabriel Peak via Mt Lowe Road</t>
  </si>
  <si>
    <t>Reliable sustained climb; repeatable.</t>
  </si>
  <si>
    <t>tg_a014</t>
  </si>
  <si>
    <t>Mt Wilson via Sturtevant Trail</t>
  </si>
  <si>
    <t>Protocol 4</t>
  </si>
  <si>
    <t>Duration Load (High), Mechanical Complexity, Climb Load (High)</t>
  </si>
  <si>
    <t>Direct anchor analog; long mechanical profile.</t>
  </si>
  <si>
    <t>tg_a015</t>
  </si>
  <si>
    <t>Mt Wilson via Chantry Flats</t>
  </si>
  <si>
    <t>Another strong Wilson analog; repeatable long day.</t>
  </si>
  <si>
    <t>tg_a016</t>
  </si>
  <si>
    <t>Baden-Powell via Vincent Gap</t>
  </si>
  <si>
    <t>Baldy-like</t>
  </si>
  <si>
    <t>Altitude Load, Climb Load (High), Exposure/Thermal</t>
  </si>
  <si>
    <t>High-elevation training without full Baldy severity.</t>
  </si>
  <si>
    <t>tg_a017</t>
  </si>
  <si>
    <t>Mt Islip via Crystal Lake</t>
  </si>
  <si>
    <t>Altitude Load, Climb Load (High)</t>
  </si>
  <si>
    <t>High-country repeatable climb; good altitude band.</t>
  </si>
  <si>
    <t>tg_a018</t>
  </si>
  <si>
    <t>Mt Baldy via Ski Hut Trail (out and back)</t>
  </si>
  <si>
    <t>San Gabriel Mountains, CA</t>
  </si>
  <si>
    <t>Protocol 5</t>
  </si>
  <si>
    <t>Altitude Load, Technical/Surface Load, Exposure/Thermal, Climb Load (Very High)</t>
  </si>
  <si>
    <t>Primary extreme altitude anchor; local monster.</t>
  </si>
  <si>
    <t>tg_a019</t>
  </si>
  <si>
    <t>Mt Baldy via Register Ridge</t>
  </si>
  <si>
    <t>Altitude Load, Climb Load (Very High), Technical/Surface Load</t>
  </si>
  <si>
    <t>Higher climb severity; advanced protocol days.</t>
  </si>
  <si>
    <t>tg_a020</t>
  </si>
  <si>
    <t>Telegraph Peak via Manker Flat</t>
  </si>
  <si>
    <t>High elevation, strong climb; repeatable.</t>
  </si>
  <si>
    <t>tg_a021</t>
  </si>
  <si>
    <t>Cucamonga Peak via Icehouse Canyon</t>
  </si>
  <si>
    <t>Altitude Load, Climb Load (High), Technical/Surface Load</t>
  </si>
  <si>
    <t>Strong training climb; common repeat route.</t>
  </si>
  <si>
    <t>tg_a022</t>
  </si>
  <si>
    <t>Ontario Peak via Icehouse Canyon</t>
  </si>
  <si>
    <t>High altitude band; durable climb stimulus.</t>
  </si>
  <si>
    <t>tg_a023</t>
  </si>
  <si>
    <t>Devil's Chair (via Icehouse Canyon)</t>
  </si>
  <si>
    <t>Steep, exposed segments; strong stimulus without summit travel.</t>
  </si>
  <si>
    <t>tg_a024</t>
  </si>
  <si>
    <t>Tahquitz Peak via Devils Slide Trail</t>
  </si>
  <si>
    <t>Idyllwild, CA</t>
  </si>
  <si>
    <t>Repeatable mountain stimulus; easy logistics from Idyllwild.</t>
  </si>
  <si>
    <t>tg_a025</t>
  </si>
  <si>
    <t>San Jacinto Peak via Marion Mountain</t>
  </si>
  <si>
    <t>Altitude Load, Climb Load (Very High), Exposure/Thermal</t>
  </si>
  <si>
    <t>High altitude monster with repeatable access.</t>
  </si>
  <si>
    <t>tg_a026</t>
  </si>
  <si>
    <t>San Gorgonio Peak via Vivian Creek</t>
  </si>
  <si>
    <t>San Bernardino Mountains, CA</t>
  </si>
  <si>
    <t>Altitude Load, Duration Load (Very High), Climb Load (Very High)</t>
  </si>
  <si>
    <t>Local extreme endurance anchor; rare but accessible for committed hikers.</t>
  </si>
  <si>
    <t>tg_a027</t>
  </si>
  <si>
    <t>Cleveland National Forest - Sitton Peak</t>
  </si>
  <si>
    <t>Orange County, CA</t>
  </si>
  <si>
    <t>Classic OC training peak; repeatable.</t>
  </si>
  <si>
    <t>tg_a028</t>
  </si>
  <si>
    <t>Crystal Cove - Moro Canyon Loop</t>
  </si>
  <si>
    <t>Newport Coast, CA</t>
  </si>
  <si>
    <t>Exposure/Thermal, Climb Load (Moderate)</t>
  </si>
  <si>
    <t>Low logistics; excellent repeat aerobic base.</t>
  </si>
  <si>
    <t>tg_a029</t>
  </si>
  <si>
    <t>Laguna Coast Wilderness - Bommer Ridge Loop</t>
  </si>
  <si>
    <t>Irvine, CA</t>
  </si>
  <si>
    <t>Repeatable ridge; good heat/exposure conditioning.</t>
  </si>
  <si>
    <t>tg_a030</t>
  </si>
  <si>
    <t>Torrey Pines Reserve - Loop</t>
  </si>
  <si>
    <t>San Diego, CA</t>
  </si>
  <si>
    <t>Exposure/Thermal</t>
  </si>
  <si>
    <t>Foundational scenic loop; minimal logistics.</t>
  </si>
  <si>
    <t>tg_a031</t>
  </si>
  <si>
    <t>Mission Trails - Cowles Mountain</t>
  </si>
  <si>
    <t>Iconic repeatable climb; perfect for everyday people.</t>
  </si>
  <si>
    <t>tg_a032</t>
  </si>
  <si>
    <t>Potato Chip Rock (Mt Woodson) via Poway</t>
  </si>
  <si>
    <t>San Diego County, CA</t>
  </si>
  <si>
    <t>Popular but repeatable; consistent climb stimulus.</t>
  </si>
  <si>
    <t>tg_a033</t>
  </si>
  <si>
    <t>Santa Monica Mountains - Sandstone Peak</t>
  </si>
  <si>
    <t>Malibu, CA</t>
  </si>
  <si>
    <t>Repeatable, scenic, low altitude; great adherence trail.</t>
  </si>
  <si>
    <t>tg_a034</t>
  </si>
  <si>
    <t>Malibu Creek State Park - Backbone Trail Segment Loop</t>
  </si>
  <si>
    <t>Exposure/Thermal, Duration Load (Moderate)</t>
  </si>
  <si>
    <t>Good steady aerobic day.</t>
  </si>
  <si>
    <t>tg_a035</t>
  </si>
  <si>
    <t>Santa Anita Canyon - Sturtevant Falls</t>
  </si>
  <si>
    <t>Arcadia, CA</t>
  </si>
  <si>
    <t>Water/terrain variability; training-friendly.</t>
  </si>
  <si>
    <t>tg_a036</t>
  </si>
  <si>
    <t>Santa Anita Canyon - Hermit Falls</t>
  </si>
  <si>
    <t>Shorter canyon effort; repeatable.</t>
  </si>
  <si>
    <t>tg_a037</t>
  </si>
  <si>
    <t>Verdugo Mountains - Brand Park to Verdugo Peak</t>
  </si>
  <si>
    <t>Glendale, CA</t>
  </si>
  <si>
    <t>Exposure/Thermal, Climb Load (High)</t>
  </si>
  <si>
    <t>Local repeat climb; excellent for consistency.</t>
  </si>
  <si>
    <t>tg_a038</t>
  </si>
  <si>
    <t>Topanga State Park - Eagle Rock</t>
  </si>
  <si>
    <t>Popular, repeatable; good aerobic base.</t>
  </si>
  <si>
    <t>tg_a039</t>
  </si>
  <si>
    <t>Griffith Park - Mt Lee (Hollywood Sign) Loop</t>
  </si>
  <si>
    <t>High adherence trail; repeatable climb.</t>
  </si>
  <si>
    <t>tg_a040</t>
  </si>
  <si>
    <t>Whiting Ranch Wilderness - Red Rock Canyon Loop</t>
  </si>
  <si>
    <t>Training-friendly OC loop.</t>
  </si>
  <si>
    <t>tg_a041</t>
  </si>
  <si>
    <t>Mission Peak</t>
  </si>
  <si>
    <t>Fremont, CA</t>
  </si>
  <si>
    <t>Bay Area</t>
  </si>
  <si>
    <t>Metro-Regional</t>
  </si>
  <si>
    <t>Classic metro training climb; high repeatability.</t>
  </si>
  <si>
    <t>tg_a042</t>
  </si>
  <si>
    <t>Mt Diablo Summit Trail (via Mitchell Canyon)</t>
  </si>
  <si>
    <t>Contra Costa County, CA</t>
  </si>
  <si>
    <t>Duration Load (High), Climb Load (High), Exposure/Thermal</t>
  </si>
  <si>
    <t>Long sustained metro mountain day.</t>
  </si>
  <si>
    <t>tg_a043</t>
  </si>
  <si>
    <t>Dipsea Trail (Classic Segment)</t>
  </si>
  <si>
    <t>Marin County, CA</t>
  </si>
  <si>
    <t>Stairs/terrain variability; excellent mechanical profile.</t>
  </si>
  <si>
    <t>tg_a044</t>
  </si>
  <si>
    <t>Mt Tamalpais - Steep Ravine / Dipsea Loop</t>
  </si>
  <si>
    <t>Mechanical Complexity, Climb Load (High), Exposure/Thermal</t>
  </si>
  <si>
    <t>Mixed terrain + climb; strong protocol day.</t>
  </si>
  <si>
    <t>tg_a045</t>
  </si>
  <si>
    <t>Alamere Falls Trail</t>
  </si>
  <si>
    <t>Point Reyes area, CA</t>
  </si>
  <si>
    <t>Duration Load (Moderate), Mechanical Complexity</t>
  </si>
  <si>
    <t>Repeatable longish coastal hike.</t>
  </si>
  <si>
    <t>tg_a046</t>
  </si>
  <si>
    <t>Rattlesnake Ledge</t>
  </si>
  <si>
    <t>North Bend area, WA</t>
  </si>
  <si>
    <t>Seattle</t>
  </si>
  <si>
    <t>Climb Load (Moderate), Mechanical Complexity</t>
  </si>
  <si>
    <t>Very accessible; consistent incline.</t>
  </si>
  <si>
    <t>tg_a047</t>
  </si>
  <si>
    <t>Mount Si</t>
  </si>
  <si>
    <t>North Bend, WA</t>
  </si>
  <si>
    <t>Metro training staple; sustained climb.</t>
  </si>
  <si>
    <t>tg_a048</t>
  </si>
  <si>
    <t>Mailbox Peak</t>
  </si>
  <si>
    <t>Climb Load (Very High), Duration Load (High)</t>
  </si>
  <si>
    <t>Local monster near metro; strong stimulus.</t>
  </si>
  <si>
    <t>tg_a049</t>
  </si>
  <si>
    <t>Tiger Mountain - West Tiger 3</t>
  </si>
  <si>
    <t>Issaquah, WA</t>
  </si>
  <si>
    <t>Reliable climb; very repeatable.</t>
  </si>
  <si>
    <t>tg_a050</t>
  </si>
  <si>
    <t>Lake 22</t>
  </si>
  <si>
    <t>Granite Falls area, WA</t>
  </si>
  <si>
    <t>Terrain variability; good for everyday hikers.</t>
  </si>
  <si>
    <t>tg_a051</t>
  </si>
  <si>
    <t>Forest Park - Wildwood Trail Segment</t>
  </si>
  <si>
    <t>Portland, OR</t>
  </si>
  <si>
    <t>Portland</t>
  </si>
  <si>
    <t>Duration Load (Low-Moderate), Mechanical Complexity</t>
  </si>
  <si>
    <t>Ultra-accessible; perfect adherence trail.</t>
  </si>
  <si>
    <t>tg_a052</t>
  </si>
  <si>
    <t>Dog Mountain Trail</t>
  </si>
  <si>
    <t>Columbia River Gorge, WA</t>
  </si>
  <si>
    <t>Climb Load (Very High), Exposure/Thermal</t>
  </si>
  <si>
    <t>Steep, exposed; strong repeatable stimulus.</t>
  </si>
  <si>
    <t>tg_a053</t>
  </si>
  <si>
    <t>Angel's Rest</t>
  </si>
  <si>
    <t>Columbia River Gorge, OR</t>
  </si>
  <si>
    <t>Repeatable incline with exposure.</t>
  </si>
  <si>
    <t>tg_a054</t>
  </si>
  <si>
    <t>Eagle Creek Trail (classic segment)</t>
  </si>
  <si>
    <t>Mechanical Complexity, Duration Load (Moderate)</t>
  </si>
  <si>
    <t>Terrain + water features; strong mechanical stimulus.</t>
  </si>
  <si>
    <t>tg_a055</t>
  </si>
  <si>
    <t>Chautauqua Trail to First/Second Flatiron</t>
  </si>
  <si>
    <t>Boulder, CO</t>
  </si>
  <si>
    <t>Denver-Boulder</t>
  </si>
  <si>
    <t>Very repeatable metro climb.</t>
  </si>
  <si>
    <t>tg_a056</t>
  </si>
  <si>
    <t>Royal Arch Trail</t>
  </si>
  <si>
    <t>Climb Load (High), Mechanical Complexity</t>
  </si>
  <si>
    <t>Rocky climb; strong training day.</t>
  </si>
  <si>
    <t>tg_a057</t>
  </si>
  <si>
    <t>Mt Falcon - Castle Trail Loop</t>
  </si>
  <si>
    <t>Morrison, CO</t>
  </si>
  <si>
    <t>Denver</t>
  </si>
  <si>
    <t>Repeatable loop; everyday friendly.</t>
  </si>
  <si>
    <t>tg_a058</t>
  </si>
  <si>
    <t>Green Mountain (Lakewood) Summit Trail</t>
  </si>
  <si>
    <t>Lakewood, CO</t>
  </si>
  <si>
    <t>Metro-Local</t>
  </si>
  <si>
    <t>Climb Load (Moderate)</t>
  </si>
  <si>
    <t>Metro training staple.</t>
  </si>
  <si>
    <t>tg_a059</t>
  </si>
  <si>
    <t>Bear Peak (via Shadow Canyon)</t>
  </si>
  <si>
    <t>Climb Load (Very High), Technical/Surface Load</t>
  </si>
  <si>
    <t>Steep, demanding; local monster.</t>
  </si>
  <si>
    <t>tg_a060</t>
  </si>
  <si>
    <t>Camelback Mountain - Echo Canyon</t>
  </si>
  <si>
    <t>Phoenix, AZ</t>
  </si>
  <si>
    <t>Phoenix</t>
  </si>
  <si>
    <t>Climb Load (High), Exposure/Thermal, Technical/Surface Load</t>
  </si>
  <si>
    <t>Heat/exposure training; repeatable with caution.</t>
  </si>
  <si>
    <t>tg_a061</t>
  </si>
  <si>
    <t>Piestewa Peak Summit Trail</t>
  </si>
  <si>
    <t>Daily/weekly repeatability.</t>
  </si>
  <si>
    <t>tg_a062</t>
  </si>
  <si>
    <t>South Mountain - National Trail Segment</t>
  </si>
  <si>
    <t>Duration Load (Moderate), Exposure/Thermal, Technical/Surface Load</t>
  </si>
  <si>
    <t>Heat + technical terrain; strong stimulus.</t>
  </si>
  <si>
    <t>tg_a063</t>
  </si>
  <si>
    <t>Tom's Thumb Trail</t>
  </si>
  <si>
    <t>Scottsdale, AZ</t>
  </si>
  <si>
    <t>Accessible desert climb.</t>
  </si>
  <si>
    <t>tg_a064</t>
  </si>
  <si>
    <t>Turtlehead Peak</t>
  </si>
  <si>
    <t>Las Vegas, NV</t>
  </si>
  <si>
    <t>Las Vegas</t>
  </si>
  <si>
    <t>Highly repeatable; low logistics.</t>
  </si>
  <si>
    <t>tg_a065</t>
  </si>
  <si>
    <t>Calico Tanks Trail</t>
  </si>
  <si>
    <t>Exposure/Thermal, Mechanical Complexity</t>
  </si>
  <si>
    <t>Accessible desert terrain variety.</t>
  </si>
  <si>
    <t>tg_a066</t>
  </si>
  <si>
    <t>Mt Charleston - South Loop Trail (training segments)</t>
  </si>
  <si>
    <t>High altitude near metro; rare but accessible.</t>
  </si>
  <si>
    <t>tg_a067</t>
  </si>
  <si>
    <t>Mt Olympus Trail</t>
  </si>
  <si>
    <t>Salt Lake City, UT</t>
  </si>
  <si>
    <t>Salt Lake City</t>
  </si>
  <si>
    <t>Local monster; very repeatable for locals.</t>
  </si>
  <si>
    <t>tg_a068</t>
  </si>
  <si>
    <t>Ensign Peak Trail</t>
  </si>
  <si>
    <t>Foundational micro-dose climb.</t>
  </si>
  <si>
    <t>tg_a069</t>
  </si>
  <si>
    <t>Breakneck Ridge</t>
  </si>
  <si>
    <t>Hudson Valley, NY</t>
  </si>
  <si>
    <t>NYC</t>
  </si>
  <si>
    <t>Technical/Surface Load, Climb Load (High)</t>
  </si>
  <si>
    <t>Technical scramble profile; strong mechanical stimulus.</t>
  </si>
  <si>
    <t>tg_a070</t>
  </si>
  <si>
    <t>Bear Mountain Loop</t>
  </si>
  <si>
    <t>Bear Mountain, NY</t>
  </si>
  <si>
    <t>Accessible long-ish loop for locals.</t>
  </si>
  <si>
    <t>tg_a071</t>
  </si>
  <si>
    <t>Billy Goat Trail Section A</t>
  </si>
  <si>
    <t>Potomac, MD</t>
  </si>
  <si>
    <t>DC</t>
  </si>
  <si>
    <t>Mechanical Complexity, Technical/Surface Load</t>
  </si>
  <si>
    <t>Scrambly terrain; strong mechanical training.</t>
  </si>
  <si>
    <t>tg_a072</t>
  </si>
  <si>
    <t>Great Falls River Trail Loop (segments)</t>
  </si>
  <si>
    <t>McLean, VA</t>
  </si>
  <si>
    <t>Mechanical Complexity</t>
  </si>
  <si>
    <t>Very accessible; ideal for consistency.</t>
  </si>
  <si>
    <t>tg_a073</t>
  </si>
  <si>
    <t>Blue Hills Skyline Trail (segments)</t>
  </si>
  <si>
    <t>Milton/Canton, MA</t>
  </si>
  <si>
    <t>Boston</t>
  </si>
  <si>
    <t>Boston-area training staple.</t>
  </si>
  <si>
    <t>tg_a074</t>
  </si>
  <si>
    <t>Mount Monadnock (White Dot/White Cross)</t>
  </si>
  <si>
    <t>Jaffrey, NH</t>
  </si>
  <si>
    <t>Exposure/Thermal, Climb Load (High), Technical/Surface Load</t>
  </si>
  <si>
    <t>Wind/exposure profile; strong climb stimulus.</t>
  </si>
  <si>
    <t>tg_a075</t>
  </si>
  <si>
    <t>Mount Washington (Tuckerman Ravine Trail)</t>
  </si>
  <si>
    <t>Pinkham Notch, NH</t>
  </si>
  <si>
    <t>Exposure/Thermal, Climb Load (Very High), Technical/Surface Load</t>
  </si>
  <si>
    <t>Extreme weather risk; rare Protocol 5 near population centers.</t>
  </si>
  <si>
    <t>tg_a076</t>
  </si>
  <si>
    <t>Stone Mountain Walk-Up Trail</t>
  </si>
  <si>
    <t>Atlanta, GA</t>
  </si>
  <si>
    <t>Atlanta</t>
  </si>
  <si>
    <t>Exposure/Thermal, Climb Load (Low-Moderate)</t>
  </si>
  <si>
    <t>Very accessible; foundational habit trail.</t>
  </si>
  <si>
    <t>tg_a077</t>
  </si>
  <si>
    <t>Kennesaw Mountain Summit Trail</t>
  </si>
  <si>
    <t>Kennesaw, GA</t>
  </si>
  <si>
    <t>Repeatable climb; excellent for everyday people.</t>
  </si>
  <si>
    <t>tg_a078</t>
  </si>
  <si>
    <t>Palo Duro Canyon - Lighthouse Trail</t>
  </si>
  <si>
    <t>Amarillo area, TX</t>
  </si>
  <si>
    <t>Dallas/Regional TX</t>
  </si>
  <si>
    <t>Heat exposure and steady distance.</t>
  </si>
  <si>
    <t>tg_a079</t>
  </si>
  <si>
    <t>Cedar Ridge Preserve (Loops)</t>
  </si>
  <si>
    <t>Dallas, TX</t>
  </si>
  <si>
    <t>Dallas</t>
  </si>
  <si>
    <t>Duration Load (Low-Moderate)</t>
  </si>
  <si>
    <t>Daily/weekly repeatability; low logistics.</t>
  </si>
  <si>
    <t>tg_a080</t>
  </si>
  <si>
    <t>Barton Creek Greenbelt (segments)</t>
  </si>
  <si>
    <t>Austin, TX</t>
  </si>
  <si>
    <t>Austin</t>
  </si>
  <si>
    <t>Mechanical Complexity, Duration Load (Low-Moderate)</t>
  </si>
  <si>
    <t>Terrain variability; easy habit trail.</t>
  </si>
  <si>
    <t>tg_a081</t>
  </si>
  <si>
    <t>Mount Bonnell / Lake Austin Overlook (repeat segments)</t>
  </si>
  <si>
    <t>Micro-dose climb; ultra accessible.</t>
  </si>
  <si>
    <t>tg_a082</t>
  </si>
  <si>
    <t>Starved Rock State Park - Classic Bluff Trails (segments)</t>
  </si>
  <si>
    <t>Oglesby, IL</t>
  </si>
  <si>
    <t>Chicago</t>
  </si>
  <si>
    <t>Accessible; good for everyday hikers.</t>
  </si>
  <si>
    <t>tg_a083</t>
  </si>
  <si>
    <t>Swallow Cliff Stairs (repeat training)</t>
  </si>
  <si>
    <t>Palos Hills, IL</t>
  </si>
  <si>
    <t>Climb Load (Low), Mechanical Complexity</t>
  </si>
  <si>
    <t>Perfect for protocol adherence; stair stimulus.</t>
  </si>
  <si>
    <t>tg_a084</t>
  </si>
  <si>
    <t>Camel's Hump (classic day route)</t>
  </si>
  <si>
    <t>Vermont</t>
  </si>
  <si>
    <t>Boston/Regional NE</t>
  </si>
  <si>
    <t>Weather/exposure profile; strong NE mountain day.</t>
  </si>
  <si>
    <t>tg_a085</t>
  </si>
  <si>
    <t>Mount Mansfield (day route segments)</t>
  </si>
  <si>
    <t>Higher technicality; repeatable for locals.</t>
  </si>
  <si>
    <t>tg_a086</t>
  </si>
  <si>
    <t>Hawk Mountain (Appalachian day hike)</t>
  </si>
  <si>
    <t>Kempton, PA</t>
  </si>
  <si>
    <t>Philadelphia</t>
  </si>
  <si>
    <t>Accessible climb; good adherence trail.</t>
  </si>
  <si>
    <t>tg_a087</t>
  </si>
  <si>
    <t>Wissahickon Valley Park - Forbidden Drive + Hill Repeats</t>
  </si>
  <si>
    <t>Philadelphia, PA</t>
  </si>
  <si>
    <t>Perfect for everyday repeatability.</t>
  </si>
  <si>
    <t>tg_a088</t>
  </si>
  <si>
    <t>Hocking Hills - Old Man's Cave / Cedar Falls (segments)</t>
  </si>
  <si>
    <t>Logan, OH</t>
  </si>
  <si>
    <t>Columbus</t>
  </si>
  <si>
    <t>Accessible terrain variety; low barrier.</t>
  </si>
  <si>
    <t>tg_a089</t>
  </si>
  <si>
    <t>Cuyahoga Valley - Ledges Trail</t>
  </si>
  <si>
    <t>Ohio</t>
  </si>
  <si>
    <t>Cleveland/Akron</t>
  </si>
  <si>
    <t>Easy adoption; everyday nature trail.</t>
  </si>
  <si>
    <t>tg_a090</t>
  </si>
  <si>
    <t>Camel's Back / Boise Foothills Loop (segments)</t>
  </si>
  <si>
    <t>Boise, ID</t>
  </si>
  <si>
    <t>Boise</t>
  </si>
  <si>
    <t>Highly repeatable foothills stimulus.</t>
  </si>
  <si>
    <t>tg_a091</t>
  </si>
  <si>
    <t>Mount Timpanogos (day hike route)</t>
  </si>
  <si>
    <t>Utah County, UT</t>
  </si>
  <si>
    <t>Climb Load (Very High), Duration Load (Very High), Exposure/Thermal</t>
  </si>
  <si>
    <t>Big local day hike; Protocol 5-class for everyday people in-region.</t>
  </si>
  <si>
    <t>tg_a092</t>
  </si>
  <si>
    <t>Mount Sanitas Loop</t>
  </si>
  <si>
    <t>Repeatable climb; easy adoption.</t>
  </si>
  <si>
    <t>tg_a093</t>
  </si>
  <si>
    <t>Grayson Highlands (day loop segments)</t>
  </si>
  <si>
    <t>Virginia</t>
  </si>
  <si>
    <t>DC/Regional Mid-Atlantic</t>
  </si>
  <si>
    <t>Exposure/wind + climb; good mountain analog.</t>
  </si>
  <si>
    <t>tg_a094</t>
  </si>
  <si>
    <t>Mt Tam - Coastal Trail Segment Loop</t>
  </si>
  <si>
    <t>Duration Load (Moderate), Climb Load (Moderate)</t>
  </si>
  <si>
    <t>Repeatable steady aerobic builder.</t>
  </si>
  <si>
    <t>tg_a095</t>
  </si>
  <si>
    <t>Palos Verdes - Portuguese Bend Reserve Loop</t>
  </si>
  <si>
    <t>Los Angeles County, CA</t>
  </si>
  <si>
    <t>Coastal exposure; very accessible.</t>
  </si>
  <si>
    <t>tg_a096</t>
  </si>
  <si>
    <t>Griffith Park - Western Canyon / Ferndell Loop</t>
  </si>
  <si>
    <t>Duration Load (Low), Mechanical Complexity</t>
  </si>
  <si>
    <t>Low barrier, habit trail.</t>
  </si>
  <si>
    <t>tg_a097</t>
  </si>
  <si>
    <t>Topanga State Park - Temescal Ridge Trail (segment loop)</t>
  </si>
  <si>
    <t>Repeatable ridge; good thermal conditioning.</t>
  </si>
  <si>
    <t>tg_a098</t>
  </si>
  <si>
    <t>Pu'u Ualaka'a / Tantalus Lookout Loop</t>
  </si>
  <si>
    <t>Honolulu, HI</t>
  </si>
  <si>
    <t>Honolulu</t>
  </si>
  <si>
    <t>Exposure/Thermal, Duration Load (Low-Moderate)</t>
  </si>
  <si>
    <t>Highly accessible; everyday scenic training.</t>
  </si>
  <si>
    <t>tg_a099</t>
  </si>
  <si>
    <t>Diamond Head Summit Trail</t>
  </si>
  <si>
    <t>tg_a100</t>
  </si>
  <si>
    <t>Manoa Falls Trail</t>
  </si>
  <si>
    <t>Mechanical Complexity, Exposure/Thermal</t>
  </si>
  <si>
    <t>Wet/roots/mud mechanical complexity; very accessible.</t>
  </si>
  <si>
    <t>Peak Elevation (ft)</t>
  </si>
  <si>
    <t>Mount Whitney Trail</t>
  </si>
  <si>
    <t>Sierra Nevada, CA</t>
  </si>
  <si>
    <t>Altitude Load, Duration Load (Very High), Climb Load (Very High), Exposure/Thermal</t>
  </si>
  <si>
    <t>Highest peak in contiguous US; extreme altitude and duration; permit required.</t>
  </si>
  <si>
    <t>Mount Langley via Cottonwood Lakes Trail and New Army Pass Trail</t>
  </si>
  <si>
    <t>San Gorgonio Peak via South Fork</t>
  </si>
  <si>
    <t>Humphrey's Peak Trail</t>
  </si>
  <si>
    <t>El Cajon Mountain Trail</t>
  </si>
  <si>
    <t>San Bernardino Peak via Angelus Oaks</t>
  </si>
  <si>
    <t>Mount Baden-Powell Trail</t>
  </si>
  <si>
    <t>Half Dome via John Muir Trail</t>
  </si>
  <si>
    <t>Sierra Nevada (Lone Pine), CA</t>
  </si>
  <si>
    <t>Southernmost 14er in US; long approach via Cottonwood Lakes; permit required for overnight.</t>
  </si>
  <si>
    <t>Longer, more gradual approach to SoCal's highest peak; alternate to Vivian Creek; permit required.</t>
  </si>
  <si>
    <t>Flagstaff, AZ</t>
  </si>
  <si>
    <t>Flagstaff</t>
  </si>
  <si>
    <t>Highest point in Arizona; high altitude above treeline; no permit required.</t>
  </si>
  <si>
    <t>Lakeside (San Diego), CA</t>
  </si>
  <si>
    <t>Climb Load (Very High), Exposure/Thermal, Technical/Surface Load</t>
  </si>
  <si>
    <t>Hardest popular hike in San Diego; relentless ups and downs; great training climb.</t>
  </si>
  <si>
    <t>Altitude Load, Climb Load (High), Duration Load (High)</t>
  </si>
  <si>
    <t>SoCal Six Pack peak; long sustained climb; permit required.</t>
  </si>
  <si>
    <t>Classic SoCal training peak via PCT switchbacks; no permit required.</t>
  </si>
  <si>
    <t>Yosemite National Park, CA</t>
  </si>
  <si>
    <t>Altitude Load, Duration Load (Very High), Climb Load (Very High), Technical/Surface Load</t>
  </si>
  <si>
    <t>Iconic Yosemite summit; cable section; permit required; extreme duration and climb.</t>
  </si>
  <si>
    <t>Outcomes</t>
  </si>
  <si>
    <t>Successful summit demonstrating TrailGenic endurance capability under extreme altitude and duration load.</t>
  </si>
  <si>
    <t>Successful summit demonstrating TrailGenic consolidation capability under sustained climb load, altitude exposure, and technical mountain terrain.</t>
  </si>
  <si>
    <t>Successful completion demonstrating foundational TrailGenic training through low climb load repetition and consistent exposure-based conditioning.</t>
  </si>
  <si>
    <t>Successful summit demonstrating TrailGenic consolidation performance across moderate altitude exposure and sustained climb load over extended distance.</t>
  </si>
  <si>
    <t>Successful summit demonstrating TrailGenic high-intensity climb adaptation under extreme ascent load and exposed alpine terrain.</t>
  </si>
  <si>
    <t>Successful summit demonstrating TrailGenic endurance and altitude tolerance across sustained high climb load and exposed alpine terrain.</t>
  </si>
  <si>
    <t>Successful high-altitude training ascent demonstrating TrailGenic adaptation to sustained climb load and prolonged altitude exposure.</t>
  </si>
  <si>
    <t>Successful summit demonstrating TrailGenic consolidation adaptation to moderate altitude exposure and sustained climb load.</t>
  </si>
  <si>
    <t>Successful summit demonstrating TrailGenic adaptation under prolonged climb load and exposed urban-mountain terrain.</t>
  </si>
  <si>
    <t>Successful summit demonstrating TrailGenic endurance consolidation across long-duration mountain terrain with sustained mechanical and climb load.</t>
  </si>
  <si>
    <t>Successful summit demonstrating TrailGenic endurance consolidation across extended duration, sustained climb load, and complex mountain terrain.</t>
  </si>
  <si>
    <t>Successful summit demonstrating TrailGenic consolidation capability under prolonged climb load and sustained high-elevation exposure.</t>
  </si>
  <si>
    <t>Successful summit demonstrating TrailGenic adaptation to sustained climb load and exposure-based conditioning over mid-distance terrain.</t>
  </si>
  <si>
    <t>Successful summit demonstrating TrailGenic endurance capability under extreme climb load, prolonged duration, and high-altitude exposure.</t>
  </si>
  <si>
    <t>Successful summit demonstrating TrailGenic endurance and altitude tolerance across sustained climb load and exposed high-elevation terrain.</t>
  </si>
  <si>
    <t>Successful summit demonstrating TrailGenic activation through moderate climb load and consistent exposure-based conditioning.</t>
  </si>
  <si>
    <t>Successful summit demonstrating TrailGenic adaptation under sustained climb load and technical mountain terrain.</t>
  </si>
  <si>
    <t>Successful summit demonstrating TrailGenic consolidation capability under altitude exposure and sustained climb load across technical mountain terrain.</t>
  </si>
  <si>
    <t>Successful summit demonstrating TrailGenic consolidation endurance across sustained climb load and high-elevation exposure.</t>
  </si>
  <si>
    <t>Successful summit demonstrating TrailGenic activation through moderate climb load and sustained desert exposure.</t>
  </si>
  <si>
    <t>Successful summit demonstrating TrailGenic endurance capability under extreme altitude exposure and prolonged high-elevation duration.</t>
  </si>
  <si>
    <t>Successful summit demonstrating TrailGenic endurance and consolidation capability across sustained climb load, prolonged duration, and high-altitude exposure.</t>
  </si>
  <si>
    <t>Successful summit demonstrating TrailGenic consolidation adaptation to high-altitude exposure and sustained mountain climb load.</t>
  </si>
  <si>
    <t>Successful summit demonstrating TrailGenic adaptation to extreme climb load and exposed technical terrain across prolonged ascent.</t>
  </si>
  <si>
    <t>Successful summit demonstrating TrailGenic consolidation endurance under sustained climb load, altitude exposure, and prolonged mountain duration.</t>
  </si>
  <si>
    <t>Successful summit demonstrating TrailGenic consolidation capability under sustained climb load and high-altitude exposure.</t>
  </si>
  <si>
    <t>Successful summit demonstrating TrailGenic endurance capability under prolonged duration, sustained climb load, and technical alpine terrain.</t>
  </si>
  <si>
    <t>tg_v001</t>
  </si>
  <si>
    <t>tg_v002</t>
  </si>
  <si>
    <t>tg_v003</t>
  </si>
  <si>
    <t>tg_v004</t>
  </si>
  <si>
    <t>tg_v005</t>
  </si>
  <si>
    <t>tg_v006</t>
  </si>
  <si>
    <t>tg_v007</t>
  </si>
  <si>
    <t>tg_v008</t>
  </si>
  <si>
    <t>tg_v009</t>
  </si>
  <si>
    <t>tg_v010</t>
  </si>
  <si>
    <t>tg_v011</t>
  </si>
  <si>
    <t>tg_v012</t>
  </si>
  <si>
    <t>tg_v013</t>
  </si>
  <si>
    <t>tg_v014</t>
  </si>
  <si>
    <t>tg_v015</t>
  </si>
  <si>
    <t>tg_v016</t>
  </si>
  <si>
    <t>tg_v017</t>
  </si>
  <si>
    <t>tg_v018</t>
  </si>
  <si>
    <t>tg_v019</t>
  </si>
  <si>
    <t>tg_v020</t>
  </si>
  <si>
    <t>tg_v021</t>
  </si>
  <si>
    <t>tg_v022</t>
  </si>
  <si>
    <t>tg_v023</t>
  </si>
  <si>
    <t>tg_v024</t>
  </si>
  <si>
    <t>tg_v025</t>
  </si>
  <si>
    <t>tg_v026</t>
  </si>
  <si>
    <t>tg_v027</t>
  </si>
  <si>
    <t>R1611218</t>
  </si>
  <si>
    <t>Reference #</t>
  </si>
  <si>
    <t>none</t>
  </si>
  <si>
    <t>improved</t>
  </si>
  <si>
    <t>Cardiac Efficiency Index (HR/Distance)</t>
  </si>
  <si>
    <t>Hike (3/14/2026)</t>
  </si>
  <si>
    <t>Little Santa Anita to Mount Wilson</t>
  </si>
  <si>
    <t>Min_Elevation_ft</t>
  </si>
  <si>
    <t>Dirt, Rocky, Exposed</t>
  </si>
  <si>
    <t>65F to 85F</t>
  </si>
  <si>
    <t>Fasted long-duration Mount Wilson effort via Little Santa Anita (14.8 mi, 5049 ft gain, 396 min — longest session to date) with controlled cardiac output (avg HR 130, max 158), sustained negative HR drift (-5.5%), and zero anaerobic spillover. Deep autophagy activation reflected in high end-ketone elevation (9.1 ppm) with strong next-day retention (2.3 ppm). Moderate altitude stress on dirt, rocky, exposed chaparral terrain in warm conditions (65–85°F) was absorbed cleanly within a stable engine pattern. High electrolyte demand and extended duration confirm meaningful physiological stress, while improving economy and durable cardiovascular control indicate continued adaptation under novel trail conditions.</t>
  </si>
  <si>
    <t>Moderate-quality pre-hike sleep with adequate total duration (359 min) and preserved deep sleep (66 min), but compressed REM (43 min) and light-sleep dominance (70%). Resting HR remained low (59 bpm) with stable autonomic tone and moderate HRV (34), while overnight stress (17) stayed within normal range. Awakenings (25 min) were controlled, and skin temperature change was neutral (+0.1°F). Overall pattern reflects good baseline recovery with sufficient deep-phase restoration entering the longest and highest-gain Mount Wilson effort to date, though limited REM indicates partial neural recovery.</t>
  </si>
  <si>
    <t>Poor post-hike sleep with deeply suppressed HRV (25), elevated resting HR (63 bpm), and shortened total duration (338 min), but exceptionally strong deep sleep (105 min) indicating aggressive overnight tissue repair and mitochondrial recovery following the longest and highest-gain Mount Wilson effort to date. REM was severely suppressed (13 min — lowest recorded) and awakenings very high (92 min), reflecting acute autonomic strain from 396 min of sustained exertion across 14.8 mi and 5,049 ft of elevation gain. Elevated respiratory rate (18) and overnight stress (27) confirm systemic recovery demand remains high. Deep-sleep dominance signals the body prioritized structural repair over cognitive restoration on Day 1, consistent with the pattern seen after the first novel Mount Wilson effort (Session R).</t>
  </si>
  <si>
    <t>Moderately restorative Day-2 sleep with strong deep-sleep repair (78 min) and minimal awakenings (13 min — lowest Day-2 value recorded), but markedly suppressed REM (19 min) indicating continued cognitive and neural recalibration following the longest Mount Wilson effort to date. Resting HR returned to baseline (59 bpm), HRV recovered from Day-1 strain (25 → 34), overnight stress normalized (17), and skin temperature change turned slightly negative (-0.1°F) suggesting resolved inflammation. Autonomic tone fully stabilized, but the near-absent REM combined with deep-sleep dominance confirms the body is still prioritizing structural and mitochondrial repair over cognitive restoration two days post-hike — consistent with the recovery pattern seen after the first novel Mount Wilson effort (Session R).</t>
  </si>
  <si>
    <t>Very high end-ketone elevation (9.1 ppm) with strong next-day retention (2.3 ppm) and solid Day-2 persistence (2.3 ppm) indicates deep metabolic flexibility and efficient substrate switching under the longest fasted effort to date (396 min), matching peak-level sessions despite moderate altitude.</t>
  </si>
  <si>
    <t>Deep autophagy activation driven by high end-ketone elevation (9.1 ppm) under the longest fasted effort recorded (14.8 mi, 396 min). Strong next-day and Day-2 retention confirm sustained cellular clearance signaling despite severely suppressed post-hike REM and novel trail demands. Depth approaches the first novel Mount Wilson session (R: 11 ppm) and exceeds all other non-Baldy efforts.</t>
  </si>
  <si>
    <t>Negative HR drift (-5.5%) with controlled average heart rate (130 bpm) and zero anaerobic spillover across the longest session to date (396 min) confirms durable cardiovascular efficiency. Max HR (158 bpm) stayed below Session R's spike (165 bpm) on the same mountain, reflecting improved pacing and cardiac reserve management on a novel approach route.</t>
  </si>
  <si>
    <t>Moderate altitude exposure (peak 3,898 ft) in chaparral terrain produced manageable hypoxic load, consistent with prior Skinsuit and Pleasant's Peak sessions. Despite the highest elevation gain recorded (5,049 ft), the peak altitude remained well below Baldy's extreme zone, placing this effort in the moderate adaptation band with physiological cost contained through stable autonomic control.</t>
  </si>
  <si>
    <t>Significant recovery debt from the longest and highest-gain session to date, with deeply suppressed post-hike HRV (25), very high awakenings (92 min), and severely compressed REM on both Day-1 (13 min) and Day-2 (19 min). HRV and autonomic tone recovered to baseline by Day-2, but persistent REM suppression indicates unresolved neural and cognitive recalibration. Debt profile closely mirrors Session R (first novel Wilson), with elevated but bounded recovery demands.</t>
  </si>
  <si>
    <t>Highest elevation gain (5,049 ft) and second-longest distance (14.8 mi) of any session on dirt, rocky, exposed chaparral terrain with steep, technical demands and a warm temperature range (65–85°F). Novel approach route via Little Santa Anita increased proprioceptive and neuromuscular load beyond the established Sturtevant Falls path, while extended duration (396 min) amplified cumulative musculoskeletal stress.</t>
  </si>
  <si>
    <t>System variance remained contained across metabolic, cardiac, and recovery domains despite the novel trail, longest duration, and highest elevation gain of any session. Zero anaerobic spillover, sustained negative HR drift, and full autonomic recovery by Day-2 confirm the engine absorbed a qualitatively different stress profile without instability, extending the proven Mount Wilson pattern to a novel and more demanding approach route.</t>
  </si>
  <si>
    <t>1. The Engine Is Unconditionally Stable</t>
  </si>
  <si>
    <t>Supporting data:</t>
  </si>
  <si>
    <t>Metric</t>
  </si>
  <si>
    <t>Min</t>
  </si>
  <si>
    <t>Max</t>
  </si>
  <si>
    <t>Consistency</t>
  </si>
  <si>
    <t>Anaerobic Training Effect</t>
  </si>
  <si>
    <t>Engine Stability Score</t>
  </si>
  <si>
    <t>Session</t>
  </si>
  <si>
    <t>Trail</t>
  </si>
  <si>
    <t>End Ketone (ppm)</t>
  </si>
  <si>
    <t>Adaptation Vector</t>
  </si>
  <si>
    <t>Hike 3 (novel Baldy loop)</t>
  </si>
  <si>
    <t>Devil's Backbone to Trailhead</t>
  </si>
  <si>
    <t>Hike 11 (novel Wilson)</t>
  </si>
  <si>
    <t>Sturtevant Falls → Mt Wilson</t>
  </si>
  <si>
    <t>Hike 14 (novel Wilson route)</t>
  </si>
  <si>
    <t>Little Santa Anita → Mt Wilson</t>
  </si>
  <si>
    <t>Hike 12 (repeat Wilson)</t>
  </si>
  <si>
    <t>Phase</t>
  </si>
  <si>
    <t>Deep Sleep (min)</t>
  </si>
  <si>
    <t>REM (min)</t>
  </si>
  <si>
    <t>HRV</t>
  </si>
  <si>
    <t>Quality Tag</t>
  </si>
  <si>
    <t>Pre-Hike (median)</t>
  </si>
  <si>
    <t>MODERATE–HIGH</t>
  </si>
  <si>
    <t>Post-Hike Day 1 (median)</t>
  </si>
  <si>
    <t>Post-Hike Day 2 (median)</t>
  </si>
  <si>
    <t>4. Cardiac Efficiency Improved Dramatically Over the Training Period</t>
  </si>
  <si>
    <t>Period</t>
  </si>
  <si>
    <t>Avg HR (bpm)</t>
  </si>
  <si>
    <t>Max HR (bpm)</t>
  </si>
  <si>
    <t>Cardiac Score</t>
  </si>
  <si>
    <t>Hikes 1–2 (early)</t>
  </si>
  <si>
    <t>131–132</t>
  </si>
  <si>
    <t>161–164</t>
  </si>
  <si>
    <t>-8.4% to -9.2%</t>
  </si>
  <si>
    <t>7.0–8.5</t>
  </si>
  <si>
    <t>Hikes 3–10 (Baldy block)</t>
  </si>
  <si>
    <t>123–130</t>
  </si>
  <si>
    <t>150–157</t>
  </si>
  <si>
    <t>-5.0% to -6.0%</t>
  </si>
  <si>
    <t>126–130</t>
  </si>
  <si>
    <t>153–165</t>
  </si>
  <si>
    <t>Duration (min)</t>
  </si>
  <si>
    <t>Peak Elev (ft)</t>
  </si>
  <si>
    <t>Autophagy Tag</t>
  </si>
  <si>
    <t>Hike 3 (Baldy loop)</t>
  </si>
  <si>
    <t>DEEP</t>
  </si>
  <si>
    <t>Hike 11 (Wilson novel)</t>
  </si>
  <si>
    <t>Hike 14 (Wilson novel route)</t>
  </si>
  <si>
    <t>Hike 9 (Baldy repeat)</t>
  </si>
  <si>
    <t>6. Foundation Phase Confirmed Aerobic Readiness Before High-Intensity Phase</t>
  </si>
  <si>
    <t>The 5-session Foundation phase (flat terrain, ~58 min, ~3.2 mi, Zone 1 dominant) established key baselines before the HIGH-intensity hikes began. Cardiac Efficiency Index improved from 34.7 to 32.7 (HR/Distance), average HR dropped from 111 to 104 bpm, and perceived effort was rated 1/5 in every session. Metabolic flexibility progressed from "Stable" to "Strong" by Sessions 3 and 5. All sessions returned a "ready" recovery flag. This phase validated that the aerobic engine was calibrated, HR drift was controlled (3.3%–7.9%), and the system was prepared to absorb the high-altitude, long-duration stress that followed.</t>
  </si>
  <si>
    <t>8. Ketone Retention Is Strengthening Over Time — A Durable Metabolic Adaptation</t>
  </si>
  <si>
    <t>Wake Ketone (ppm)</t>
  </si>
  <si>
    <t>Day-After Retention (ppm)</t>
  </si>
  <si>
    <t>Day-2 Retention (ppm)</t>
  </si>
  <si>
    <t>Hikes 1–3 (early)</t>
  </si>
  <si>
    <t>1.1–1.8</t>
  </si>
  <si>
    <t>1.2–2.6</t>
  </si>
  <si>
    <t>1.3–2.0</t>
  </si>
  <si>
    <t>Hikes 4–9 (mid)</t>
  </si>
  <si>
    <t>1.5–2.2</t>
  </si>
  <si>
    <t>1.4–2.1</t>
  </si>
  <si>
    <t>N/A–2.1</t>
  </si>
  <si>
    <t>9. Heat Exposure Is a Distinct Stressor That Elevates Recovery Cost Without Degrading Engine</t>
  </si>
  <si>
    <t>10. The System Has Three Distinct Operating Modes — and Transitions Between Them Cleanly</t>
  </si>
  <si>
    <t>Mode</t>
  </si>
  <si>
    <t>Sessions</t>
  </si>
  <si>
    <t>Characteristics</t>
  </si>
  <si>
    <t>Hikes 4–10, 12–13</t>
  </si>
  <si>
    <t>Repeat trails, moderate autophagy (5–8 ppm), efficiency gains</t>
  </si>
  <si>
    <t>Hike 6</t>
  </si>
  <si>
    <t>Recovery session, low strain, shallow autophagy, primed for repair</t>
  </si>
  <si>
    <t>7. Weight Remained Stable Throughout — No Performance Impact from Minor Fluctuation</t>
  </si>
  <si>
    <t>Run Phase Tracking</t>
  </si>
  <si>
    <t>Run/Walk Ratio</t>
  </si>
  <si>
    <t>Total Ascent (ft)</t>
  </si>
  <si>
    <t>Avg Power (W)</t>
  </si>
  <si>
    <t>Avg Cadence (spm)</t>
  </si>
  <si>
    <t>Avg Stride Length (m)</t>
  </si>
  <si>
    <t>Resting HR (pre-session)</t>
  </si>
  <si>
    <t>Aerobic Training Effect</t>
  </si>
  <si>
    <t>Exercise Load</t>
  </si>
  <si>
    <t>VO2Max (Garmin)</t>
  </si>
  <si>
    <t>Perceived Effort Level (1 to 5)</t>
  </si>
  <si>
    <t>Stamina / Fatigue</t>
  </si>
  <si>
    <t>Stamina Beginning (%)</t>
  </si>
  <si>
    <t>Stamina Ending (%)</t>
  </si>
  <si>
    <t>Stamina Min (%)</t>
  </si>
  <si>
    <t>Avg Ground Contact Time (ms)</t>
  </si>
  <si>
    <t>Est. Sweat Loss (ml)</t>
  </si>
  <si>
    <t>TrailGenic</t>
  </si>
  <si>
    <t>Cardiac Trend</t>
  </si>
  <si>
    <t>Run Economy Trend</t>
  </si>
  <si>
    <t>Session Summary</t>
  </si>
  <si>
    <t>VO2Max Comparison</t>
  </si>
  <si>
    <t>VO2Max (Run)</t>
  </si>
  <si>
    <t>VO2Max (Hike)</t>
  </si>
  <si>
    <t>Delta</t>
  </si>
  <si>
    <t>Trend</t>
  </si>
  <si>
    <t>Terrain (flat/mild incline/hilly)</t>
  </si>
  <si>
    <t>Run</t>
  </si>
  <si>
    <t>18:12 run / 11:42 walk</t>
  </si>
  <si>
    <t>Baseline</t>
  </si>
  <si>
    <t>ENGINE_BASELINE</t>
  </si>
  <si>
    <t>First run session establishing baselines. High avg HR (147 bpm) and max HR (172 bpm) reflect running-specific cardiac demand vs hiking (130/158 on longest hike). Stamina dropped from 99% → 76% over 30 min with a 60/40 run/walk split, indicating the aerobic engine built for hiking needs recalibration for running mechanics. CEI of 61.8 is nearly 2x the hiking baseline (32.7), confirming running imposes significantly higher cardiac cost per mile. Aerobic TE of 2.9 (Maintaining) with minimal anaerobic (0.3) shows the session stayed in the aerobic zone. VO2Max matches hiking at 46 — cross-modality parity confirmed at session 1.</t>
  </si>
  <si>
    <t>Parity at baseline</t>
  </si>
  <si>
    <t>Dralot</t>
  </si>
  <si>
    <t>Hike (3/21/2026)</t>
  </si>
  <si>
    <t>55F to 75F</t>
  </si>
  <si>
    <t>Fasted Baldy effort via Ski Hut (8.9 mi, 4121 ft gain, 328 min) with controlled cardiac output (avg HR 126, max 157), negative HR drift (-5.0%), and zero anaerobic spillover. Deep autophagy activation reflected in high end-ketone elevation (9 ppm) with moderate next-day retention (1.8 ppm). Extreme altitude stress (peak 10,112 ft) on rocky, technical, partially exposed terrain with no remaining snow was absorbed cleanly within a stable engine pattern. Warm conditions (55–75°F) with strong sun and light wind increased thermal demand. Lower exercise load (62) compared to prior Baldy sessions despite similar duration suggests continued efficiency gains in cardiovascular control and movement economy on this familiar route, confirming consolidation of alpine adaptations under improving spring conditions.</t>
  </si>
  <si>
    <t>Moderate-quality pre-hike sleep with strong total duration (414 min) and exceptionally high deep sleep (112 min — second highest recorded), indicating aggressive tissue repair and mitochondrial priming before the Baldy effort. REM was adequate (54 min), the strongest pre-hike REM in recent sessions, supporting better neural consolidation than prior weeks. Awakenings were minimal (22 min) and resting HR reached a new pre-hike low (58 bpm), reflecting favorable parasympathetic tone. HRV remained low-moderate (30) and overnight stress was controlled (18), while a slight skin temperature drop (-0.2°F) suggests mild peripheral vasoconstriction. Overall pattern reflects good baseline recovery with strong deep-phase restoration and improved sleep architecture entering a familiar alpine route, positioning well for sustained aerobic output at extreme altitude.</t>
  </si>
  <si>
    <t>Poor post-hike sleep with deeply suppressed HRV (25), elevated resting HR (63 bpm, up from pre-hike 58), and shortened total duration (343 min), reflecting acute autonomic strain from 328 min of sustained aerobic output at extreme altitude (peak 10,112 ft). REM was severely compressed (25 min) and deep sleep moderate (60 min) — notably lower than U's aggressive post-hike deep-phase response (105 min), suggesting the body prioritized light-sleep consolidation over deep tissue repair on Day 1. Awakenings were unusually low (13 min, matching U), but elevated overnight stress (24) and respiratory rate (18) confirm systemic recovery demand remains high. Positive skin temp change (+0.2°F) indicates mild inflammatory or thermoregulatory response. Despite entering this hike with superior pre-hike sleep architecture (112 min deep, 54 min REM, resting HR 58), the post-hike pattern mirrors the autonomic strain seen after the longest Mount Wilson effort (U), with HRV equally suppressed and resting HR similarly elevated — indicating the Baldy route's extreme altitude and technical demands generated comparable recovery cost.</t>
  </si>
  <si>
    <t>High end-ketone elevation (9 ppm) with strong wake/start ketones (2.6 ppm — highest pre-hike Baldy value) and solid Day-2 retention (2.8 ppm) indicate deep metabolic flexibility and efficient substrate switching under extreme altitude. Slightly lower next-day retention (1.8 ppm) compared to the 2.6 start suggests rapid post-hike utilization, but the strong Day-2 rebound (2.8 ppm) confirms preserved metabolic signaling across the recovery window.</t>
  </si>
  <si>
    <t>Deep autophagy activation driven by high end-ketone elevation (9 ppm) under a 328-min fasted Baldy effort with zero anaerobic spillover. Depth matches the longest Mount Wilson session (U: 9.1 ppm) despite shorter distance, reflecting the amplifying effect of extreme altitude (10,112 ft) on substrate stress. Day-2 ketone rebound (2.8 ppm — above wake baseline) suggests extended cellular clearance signaling persisting beyond Day 1, partially compensating for the missing Day-2 sleep data.</t>
  </si>
  <si>
    <t>Negative HR drift (-5.0%) with the lowest average heart rate on any Baldy session (126 bpm) and controlled max HR (157 bpm) confirms continued cardiovascular efficiency gains on this familiar extreme-altitude route. Exercise load (62) was the lowest Baldy value recorded, while duration (328 min) remained in the typical range, indicating reduced cardiac cost per unit of work and refined pacing control under warm spring conditions.</t>
  </si>
  <si>
    <t>Extreme altitude exposure (peak 10,112 ft) absorbed with stable autonomic control and the lowest cardiac cost of any Baldy session. Warm conditions (55–75°F) with no remaining snow reduced cold-stress contribution compared to prior winter Baldy efforts, isolating altitude as the primary physiological stressor. Continued negative HR drift and zero anaerobic spillover confirm consolidated extreme-altitude adaptation.</t>
  </si>
  <si>
    <t>Incomplete assessment due to missing Day-2 sleep data. Day-1 post-hike sleep showed significant autonomic strain (HRV crashed from 30 to 25, RHR elevated from 58 to 63 bpm) with compressed REM (25 min) and moderate deep sleep (60 min). Pattern mirrors the U session post-hike profile (same HRV, similar RHR elevation), which resolved to partial-good recovery by Day-2. Without Day-2 confirmation, debt is estimated as moderate and likely bounded based on the lower exercise load (62 vs U's 94) and familiar trail profile.</t>
  </si>
  <si>
    <t>Rocky, technical, steep alpine terrain with partial exposure drove sustained stabilizer and proprioceptive demand at extreme altitude. Absence of snow reduced surface-condition difficulty relative to winter Baldy sessions, but warm conditions (55–75°F) with strong sun and high UV added thermal stress. Shorter distance (8.9 mi) and lower elevation gain (4,121 ft vs Baldy sessions averaging ~4,100 ft) kept cumulative musculoskeletal load moderate and consistent with the established Baldy profile.</t>
  </si>
  <si>
    <t>System variance remained tight across metabolic, cardiac, and recovery domains despite warm spring conditions on a familiar extreme-altitude route. Zero anaerobic spillover, sustained negative HR drift, lowest Baldy exercise load, and deep autophagy activation confirm the engine absorbed this effort with less cost than any prior Baldy session. Day-1 recovery strain was comparable to longer efforts, suggesting altitude remains the dominant stressor independent of duration, but the overall pattern confirms continued efficiency consolidation and robust engine stability. Day-2 recovery assessment incomplete due to missing Garmin data.</t>
  </si>
  <si>
    <t>Poor post-hike sleep with deeply suppressed HRV (25), elevated resting HR (63 bpm, up from pre-hike 58), and shortened total duration (343 min), reflecting acute autonomic strain from 328 min of sustained aerobic output at extreme altitude (peak 10,112 ft). REM was severely compressed (25 min) and deep sleep moderate (60 min) — notably lower than U's aggressive post-hike deep-phase response (105 min), suggesting the body prioritized light-sleep consolidation over deep tissue repair on Day 1. Awakenings were unusually low (13 min, matching U), but elevated overnight stress (24) and respiratory rate (18) confirm systemic recovery demand remains high. Positive skin temp change (+0.2°F) indicates mild inflammatory or thermoregulatory response.</t>
  </si>
  <si>
    <t>Day-2 sleep data unavailable — watch not worn. Unable to assess overnight recovery architecture, autonomic recalibration, or tissue repair signaling for Day 2 post-hike. Recovery debt assessment for this session relies on Day-1 post-hike data only, with trajectory estimated from comparable Baldy sessions (particularly U, which showed similar Day-1 strain profile and resolved to partial-good recovery by Day-2).</t>
  </si>
  <si>
    <t>Hike 15 (repeat Baldy)</t>
  </si>
  <si>
    <t>Ski Hut to Baldy, out and back</t>
  </si>
  <si>
    <t>Hikes 11–15 (Wilson/Skinsuit/Baldy)</t>
  </si>
  <si>
    <t>Hike 15 (Baldy repeat)</t>
  </si>
  <si>
    <t>2.1–2.6</t>
  </si>
  <si>
    <t>1.8–2.4</t>
  </si>
  <si>
    <t>2.0–2.8</t>
  </si>
  <si>
    <t>Anaerobic</t>
  </si>
  <si>
    <t>Scenario</t>
  </si>
  <si>
    <t>Avg_HR_Low</t>
  </si>
  <si>
    <t>Avg_HR_High</t>
  </si>
  <si>
    <t>Max_HR_Low</t>
  </si>
  <si>
    <t>Max_HR_High</t>
  </si>
  <si>
    <t>HR_Drift_pct_Low</t>
  </si>
  <si>
    <t>HR_Drift_pct_High</t>
  </si>
  <si>
    <t>Distance_mi_Low</t>
  </si>
  <si>
    <t>Distance_mi_High</t>
  </si>
  <si>
    <t>ElevationGain_ft_Low</t>
  </si>
  <si>
    <t>ElevationGain_ft_High</t>
  </si>
  <si>
    <t>Duration_min_Low</t>
  </si>
  <si>
    <t>Duration_min_High</t>
  </si>
  <si>
    <t>Fuel_Type</t>
  </si>
  <si>
    <t>Recovery_sdNN_Low_ms</t>
  </si>
  <si>
    <t>Recovery_sdNN_High_ms</t>
  </si>
  <si>
    <t>Recovery_RMSSD_Low_ms</t>
  </si>
  <si>
    <t>Recovery_RMSSD_High_ms</t>
  </si>
  <si>
    <t>ENUM|Scenario</t>
  </si>
  <si>
    <t>TEXT|range_bpm</t>
  </si>
  <si>
    <t>TEXT|fuel_description</t>
  </si>
  <si>
    <t>Population</t>
  </si>
  <si>
    <t>Recovery_REM_Change_pct</t>
  </si>
  <si>
    <t>Recovery_Sleep_Need_Change_hr</t>
  </si>
  <si>
    <t>Recovery_HRV_Drop_pct_Low</t>
  </si>
  <si>
    <t>Recovery_HRV_Drop_pct_High</t>
  </si>
  <si>
    <t>Recovery_Days_to_Baseline</t>
  </si>
  <si>
    <t>Carb_Intake_g_per_hr</t>
  </si>
  <si>
    <t>HR_Zone_Primary</t>
  </si>
  <si>
    <t>FLOAT|pct_change</t>
  </si>
  <si>
    <t>TEXT|range_hr</t>
  </si>
  <si>
    <t>FLOAT|pct</t>
  </si>
  <si>
    <t>TEXT|range_days</t>
  </si>
  <si>
    <t>TEXT|range_g</t>
  </si>
  <si>
    <t>TEXT|zone_range</t>
  </si>
  <si>
    <t>TEXT|notes</t>
  </si>
  <si>
    <t>FOUNDATION</t>
  </si>
  <si>
    <t>110–130</t>
  </si>
  <si>
    <t>130–150</t>
  </si>
  <si>
    <t>Mixed fat/carb</t>
  </si>
  <si>
    <t>Same day</t>
  </si>
  <si>
    <t>Minimal</t>
  </si>
  <si>
    <t>Zone 1–2</t>
  </si>
  <si>
    <t>Easy aerobic / recovery. REM ~20–25% normal. HRV at or above baseline.</t>
  </si>
  <si>
    <t>MODERATE_LOAD</t>
  </si>
  <si>
    <t>120–140</t>
  </si>
  <si>
    <t>150–170</t>
  </si>
  <si>
    <t>Carb-dominant</t>
  </si>
  <si>
    <t>&lt; 24 h</t>
  </si>
  <si>
    <t>30–60 g/hr</t>
  </si>
  <si>
    <t>Zone 2–3</t>
  </si>
  <si>
    <t>Steady aerobic / tempo / long runs. REM may drop 2–5%. Deep sleep slightly up.</t>
  </si>
  <si>
    <t>HIGH_LOAD</t>
  </si>
  <si>
    <t>140–160</t>
  </si>
  <si>
    <t>170–190</t>
  </si>
  <si>
    <t>Carb-dominant + some fat</t>
  </si>
  <si>
    <t>1–2</t>
  </si>
  <si>
    <t>2–3 days</t>
  </si>
  <si>
    <t>Zone 3–4</t>
  </si>
  <si>
    <t>Intervals / marathons / long trail. REM drops 5–10%. Sleep need +1–2 hr. sdNN &lt; 35, RMSSD &lt; 20.</t>
  </si>
  <si>
    <t>EXTREME_LOAD</t>
  </si>
  <si>
    <t>180–200</t>
  </si>
  <si>
    <t>Carb + mixed macro</t>
  </si>
  <si>
    <t>2+</t>
  </si>
  <si>
    <t>Several days–weeks</t>
  </si>
  <si>
    <t>60–90 g/hr</t>
  </si>
  <si>
    <t>Zone 4+</t>
  </si>
  <si>
    <t>Ultra / mountain races. REM drops &gt;10%. Sleep fragmentation. sdNN &lt; 30, RMSSD &lt; 15. Recovery 9–10+ hr/night.</t>
  </si>
  <si>
    <t>Normative HRV Reference (Healthy Adults 25–34)</t>
  </si>
  <si>
    <t>Group</t>
  </si>
  <si>
    <t>sdNN_Mean_ms</t>
  </si>
  <si>
    <t>sdNN_SD_ms</t>
  </si>
  <si>
    <t>RMSSD_Mean_ms</t>
  </si>
  <si>
    <t>RMSSD_SD_ms</t>
  </si>
  <si>
    <t>N</t>
  </si>
  <si>
    <t>Males 25–34</t>
  </si>
  <si>
    <t>hrv-analysis / normative study</t>
  </si>
  <si>
    <t>Females 25–34</t>
  </si>
  <si>
    <t>HR Zone Boundaries (Garmin Standard)</t>
  </si>
  <si>
    <t>Zone 1: &lt;120 bpm  |  Zone 2: 120–140 bpm  |  Zone 3: 140–160 bpm  |  Zone 4: 160–180 bpm  |  Zone 5: &gt;180 bpm</t>
  </si>
  <si>
    <t>Strava HR Histogram Anchors</t>
  </si>
  <si>
    <t>Peak</t>
  </si>
  <si>
    <t>BPM</t>
  </si>
  <si>
    <t>Interpretation</t>
  </si>
  <si>
    <t>Peak 1</t>
  </si>
  <si>
    <t>Warm-up / recovery</t>
  </si>
  <si>
    <t>Peak 2</t>
  </si>
  <si>
    <t>Steady-state aerobic</t>
  </si>
  <si>
    <t>Peak 3</t>
  </si>
  <si>
    <t>High-intensity anaerobic</t>
  </si>
  <si>
    <t>Notes &amp; Assumptions</t>
  </si>
  <si>
    <t>1. Population variability: Ranges represent trained adults. Individual HR zones ±10 bpm (age, genetics, fitness). Max HR often est. 220−age.</t>
  </si>
  <si>
    <t>2. Distances, elevation, durations estimated from endurance training norms; public datasets mainly report HR distributions and HRV.</t>
  </si>
  <si>
    <t>3. HRV references anchored to normative data for healthy adults (N=1,906). Sleep trends from general physiology under varying load.</t>
  </si>
  <si>
    <t>4. Aerobic decoupling categories from heart-rate-drift-test: Low 0–3%, Moderate 3–5%, High &gt;5%.</t>
  </si>
  <si>
    <t>5. All values normalized for adult endurance athlete population. No individual Strava profiles scraped; only aggregated/anonymized data.</t>
  </si>
  <si>
    <t>SECTION 1: HikeWorldModel vs Population Baselines</t>
  </si>
  <si>
    <t>Compares each HikeWorldModel hike against the population scenario whose load range best fits the hike metrics.</t>
  </si>
  <si>
    <t>Matched Scenario</t>
  </si>
  <si>
    <t>Avg HR</t>
  </si>
  <si>
    <t>Pop Avg HR Range</t>
  </si>
  <si>
    <t>Avg HR Flag</t>
  </si>
  <si>
    <t>Max HR</t>
  </si>
  <si>
    <t>Pop Max HR Range</t>
  </si>
  <si>
    <t>Max HR Flag</t>
  </si>
  <si>
    <t>HR Drift %</t>
  </si>
  <si>
    <t>Pop HR Drift Range</t>
  </si>
  <si>
    <t>HR Drift Flag</t>
  </si>
  <si>
    <t>Pop Distance Range</t>
  </si>
  <si>
    <t>Distance Flag</t>
  </si>
  <si>
    <t>Elev Gain (ft)</t>
  </si>
  <si>
    <t>Pop Elev Range</t>
  </si>
  <si>
    <t>Elev Flag</t>
  </si>
  <si>
    <t>Duration Flag</t>
  </si>
  <si>
    <t>HikeWorldModel Summary Statistics</t>
  </si>
  <si>
    <t>HWM Avg</t>
  </si>
  <si>
    <t>HWM Min</t>
  </si>
  <si>
    <t>HWM Max</t>
  </si>
  <si>
    <t>Pop HIGH_LOAD Low</t>
  </si>
  <si>
    <t>Pop HIGH_LOAD High</t>
  </si>
  <si>
    <t>Finding</t>
  </si>
  <si>
    <t>HR Drift (%)</t>
  </si>
  <si>
    <t>SECTION 2: Foundation Phase vs Population FOUNDATION Baselines</t>
  </si>
  <si>
    <t>Compares each Foundation session (flat recovery runs) against population Foundation scenario ranges.</t>
  </si>
  <si>
    <t>Foundation Summary Statistics</t>
  </si>
  <si>
    <t>Foundation Avg</t>
  </si>
  <si>
    <t>Foundation Min</t>
  </si>
  <si>
    <t>Foundation Max</t>
  </si>
  <si>
    <t>Pop FOUNDATION Low</t>
  </si>
  <si>
    <t>Pop FOUNDATION High</t>
  </si>
  <si>
    <t>% Zone 1 (avg)</t>
  </si>
  <si>
    <t>Predominantly Zone 1 — consistent with population Foundation (Zone 1–2 expected)</t>
  </si>
  <si>
    <t>Age-Adjustment Parameters</t>
  </si>
  <si>
    <t>Parameter</t>
  </si>
  <si>
    <t>Value</t>
  </si>
  <si>
    <t>Subject Age</t>
  </si>
  <si>
    <t>User input</t>
  </si>
  <si>
    <t>Assumed Pop Age</t>
  </si>
  <si>
    <t>Implied by HRV normative data (25–34 cohort midpoint)</t>
  </si>
  <si>
    <t>Subject Est Max HR (220−age)</t>
  </si>
  <si>
    <t>bpm</t>
  </si>
  <si>
    <t>Pop Est Max HR (220−age)</t>
  </si>
  <si>
    <t>Age-Adjustment Factor</t>
  </si>
  <si>
    <t>Ratio applied to population HR ranges to age-adjust for subject</t>
  </si>
  <si>
    <t>Method</t>
  </si>
  <si>
    <t>HR ranges scaled by (220−subject_age)/(220−pop_age). Assumes linear HR-age relationship per Tanaka et al.</t>
  </si>
  <si>
    <t>Age-Adj Avg HR Range</t>
  </si>
  <si>
    <t>Age-Adj Avg HR Flag</t>
  </si>
  <si>
    <t>Age-Adj Max HR Range</t>
  </si>
  <si>
    <t>Age-Adj Max HR Flag</t>
  </si>
  <si>
    <t>Age-Adj Factor</t>
  </si>
  <si>
    <t>Age-Adj Interpretation</t>
  </si>
  <si>
    <t>Avg HR — Age-Adjusted</t>
  </si>
  <si>
    <t>Max HR — Age-Adjusted</t>
  </si>
  <si>
    <t>50 to 52</t>
  </si>
  <si>
    <t>18:15 run / 12:39 walk</t>
  </si>
  <si>
    <t>% HR Zone 1</t>
  </si>
  <si>
    <t>% HR Zone 2</t>
  </si>
  <si>
    <t>% HR Zone 3</t>
  </si>
  <si>
    <t>% HR Zone 4+</t>
  </si>
  <si>
    <t>Adapting</t>
  </si>
  <si>
    <t>Stable-Positive</t>
  </si>
  <si>
    <t>ENGINE_BUILDING</t>
  </si>
  <si>
    <t>Improving</t>
  </si>
  <si>
    <t>Second session shows early adaptation. Avg HR rose slightly (150 vs 147) but covered more distance (2.48 vs 2.38 mi) with lower HR drift (5.5% vs 7.0%), suggesting improved cardiac stability under load. CEI improved marginally (60.5 vs 61.8). Zone 4+ time jumped to 34% from 19%, indicating the body is pushing harder aerobically — consistent with early adaptation where effort distribution shifts before efficiency gains consolidate. Stamina floor improved (78% vs 76% min), and stride length/power both ticked up (0.92m/184W vs 0.91m/178W). Sleep quality improved markedly (score 63 vs 52). Electrolyte intake (DraLot) added this session with higher sweat loss (428 vs 415 ml). VO2Max holds at 46 — cross-modality parity maintained through session 2.</t>
  </si>
  <si>
    <t>Hike (3/29/2026)</t>
  </si>
  <si>
    <t>50F to 70F</t>
  </si>
  <si>
    <t>Fasted Baldy effort via Ski Hut with Devil's Backbone extension (9.8 mi, 3907 ft gain, 310 min) with controlled cardiac output (avg HR 129, max 155), negative HR drift (-0.50%), and zero anaerobic spillover. Record-breaking deep autophagy activation reflected in the highest end-ketone elevation to date (12 ppm) with strong next-day retention (2.4 ppm). Extreme altitude stress (peak 10,080 ft) on rocky, technical, partially exposed terrain with no remaining snow was absorbed cleanly within a stable engine pattern. Cooler conditions (50–70°F) with strong wind and strong sun increased thermal and wind-chill demand. Higher exercise load (79) compared to prior Baldy session (62) reflects the extended Devil's Backbone descent adding distance and terrain variety, while cardiovascular control and movement economy remained efficient on this familiar route. Overall pattern confirms continued consolidation of alpine adaptations with deepening metabolic substrate switching capacity under spring conditions.</t>
  </si>
  <si>
    <t>Low-quality pre-hike sleep (score 55) with severely suppressed deep sleep (32 min — among the lowest recorded) and compressed REM (37 min), while light sleep dominated at 79%. High awakenings (67 min) and fragmented architecture degraded overall restorative quality despite adequate total duration (333 min). However, autonomic markers told a strikingly different story: resting HR reached a new pre-hike low (57 bpm) and overnight HRV hit the highest pre-hike value recorded (42), while overnight stress remained controlled (15). Positive skin temperature change (+0.9°F) suggests peripheral vasodilation and favorable thermoregulatory tone. The divergence between poor sleep architecture and the strongest autonomic baseline to date suggests deep systemic adaptation — cardiovascular efficiency and parasympathetic tone have improved to the point where they hold stable even through fragmented, low-quality sleep. Pattern indicates partial readiness from a sleep-architecture standpoint but robust physiological resilience entering a familiar alpine route, which may explain the record-breaking ketone response (12 ppm) and clean engine performance observed during the hike.</t>
  </si>
  <si>
    <t>Poor-scored but structurally exceptional post-hike sleep (score 64, 310 min) with the strongest post-hike recovery architecture recorded to date. Deep sleep reached 113 min — the highest post-hike value in the dataset and second only to V's pre-hike 112 min — indicating aggressive tissue repair and mitochondrial recovery. REM was strong at 52 min, the highest post-hike REM recorded, supporting robust neural consolidation alongside deep-phase restoration. Most notably, autonomic markers broke the consistent post-hike strain pattern: resting HR held at 58 bpm (unchanged from pre-hike, vs typical post-hike elevation to 63–65 bpm), and HRV declined only to 32 (vs typical post-hike suppression to 24–25). Overnight stress (21) was well below the post-hike norm (24–30), and negative skin temperature change (-0.2°F) suggests favorable peripheral vasoconstriction rather than inflammatory response. Awakenings (41 min) were moderate but offset by the exceptional deep and REM distribution. This is the first post-hike night where autonomic tone remained stable rather than strained, suggesting a qualitative shift in recovery capacity — the cardiovascular and metabolic adaptations built over 17 weeks of alpine training have reached a threshold where extreme-altitude Baldy efforts no longer produce the acute autonomic disruption seen in earlier sessions. Combined with the record-breaking 12 ppm end-ketone and the pre-hike autonomic highs (HRV 42, resting HR 57), this session marks a clear inflection point in systemic adaptation.</t>
  </si>
  <si>
    <t>AUTONOMIC_RESTORED</t>
  </si>
  <si>
    <t>Exceptional Day-2 post-hike sleep (score 87 — highest Day-2 value recorded by a wide margin) with full autonomic restoration and the strongest recovery architecture in the dataset. Deep sleep reached 93 min and REM hit 100 min — the highest Day-2 REM recorded, more than 5x the prior session's Day-2 REM (U: 19 min) — indicating comprehensive neural consolidation alongside continued tissue repair. Resting HR dropped to a new all-time low (55 bpm, down from Day-1's 58 and pre-hike's 57), while HRV fully recovered to 42 — matching the record pre-hike value and far exceeding any prior Day-2 HRV. Overnight stress reached its lowest recorded level (13), and awakenings were minimal (24 min). Total sleep duration (426 min) was the longest Day-2 value recorded, with a balanced architecture (22% deep, 23% REM, 55% light) replacing the light-sleep dominance seen in all prior post-hike recovery nights. Skin temperature change was mildly positive (+0.1°F), suggesting neutral thermoregulatory state with no residual inflammation. This represents an unprecedented recovery pattern — no prior session achieved full autonomic restoration by Day 2, and the combination of record-low resting HR, record-high HRV, and exceptional deep + REM distribution confirms a qualitative shift in recovery capacity. The system not only absorbed the extreme-altitude Baldy effort without the typical post-hike autonomic crash (Day-1 was already AUTONOMIC_STABLE), but rebounded to a suprabaseline state by Day 2, suggesting the 17-week alpine adaptation program has fundamentally altered the recovery floor.</t>
  </si>
  <si>
    <t>Record-breaking metabolic flexibility demonstrated by the highest end-ketone elevation in the dataset (12 ppm) with strong next-day retention (2.4 ppm) and solid Day-2 persistence (2.3 ppm), indicating deep and sustained substrate switching under a 310-min fasted extreme-altitude effort. Wake/start ketones (2.6 ppm) matched the highest pre-hike Baldy value, confirming elevated baseline fat oxidation capacity. The 12 ppm peak exceeds the prior record (R: 11 ppm on a novel 15-mile Mount Wilson effort) on a shorter, familiar route — suggesting altitude amplification of ketogenic signaling at extreme elevation now exceeds the novelty and duration effects seen at moderate altitude.</t>
  </si>
  <si>
    <t>Deepest autophagy activation recorded, driven by the highest end-ketone elevation (12 ppm) under a fasted Baldy effort with zero anaerobic spillover. Depth surpasses all prior sessions including the first novel Mount Wilson effort (R: 11 ppm) and the longest session to date (U: 9.1 ppm), establishing a new ceiling for substrate-driven cellular clearance. Day-2 ketone retention (2.3 ppm) remained near wake baseline (2.6 ppm), confirming extended autophagy signaling persisting through the full recovery window. The combination of familiar route, shorter duration (310 min vs R's 339 or U's 396), and record ketone output suggests extreme altitude (10,080 ft) is now the dominant driver of autophagy depth, independent of novelty or duration effects.</t>
  </si>
  <si>
    <t>Negative HR drift (-0.50%) with controlled average heart rate (129 bpm) and zero anaerobic spillover across 310 min confirms durable cardiovascular efficiency at extreme altitude. Max HR (155 bpm) was the lowest Baldy max HR recorded, while exercise load (79) increased from V's record low (62) due to the Devil's Backbone extension adding distance (9.8 vs 8.9 mi). Most significantly, post-hike autonomic markers broke the universal strain pattern — resting HR held at 58 bpm (unchanged from pre-hike) and HRV dropped only to 32 (vs typical post-hike crash to 24–25), with full restoration to 42 by Day 2. This is the first session where cardiac efficiency extended beyond the hike itself into the recovery window, confirming a qualitative shift in cardiovascular resilience.</t>
  </si>
  <si>
    <t>Extreme altitude exposure (peak 10,080 ft) absorbed with the first fully stable post-hike autonomic profile in the dataset. Unlike all prior Baldy sessions where extreme altitude produced consistent AUTONOMIC_STRAINED patterns on Day 1, this effort was followed by stable autonomic tone (Day 1) and full restoration to suprabaseline levels (Day 2: RHR 55, HRV 42). The Devil's Backbone descent extension added route variety without increasing altitude stress. Strong wind conditions increased environmental demand but did not disrupt cardiac or autonomic control. Pattern confirms that extreme-altitude adaptation has consolidated to the point where the altitude stressor no longer produces the acute recovery disruption seen in earlier sessions.</t>
  </si>
  <si>
    <t>Lowest recovery debt of any extreme-altitude session by a significant margin. Day-1 post-hike sleep showed stable autonomic tone (first time: AUTONOMIC_STABLE vs universal STRAINED), with resting HR unchanged at 58 bpm, HRV at 32 (vs typical 24–25), and exceptional deep sleep (113 min). Day-2 sleep achieved full autonomic restoration with record-low resting HR (55 bpm), record-high HRV (42), highest Day-2 sleep score (87), and the strongest REM recovery recorded (100 min). No prior session achieved full autonomic recovery by Day 2 — most showed persistent HRV suppression, elevated resting HR, and compressed REM through Day 2. The recovery debt profile confirms a qualitative shift: the system absorbed extreme-altitude stress and returned to suprabaseline within 48 hours, suggesting the recovery floor has fundamentally risen.</t>
  </si>
  <si>
    <t>Rocky, technical, steep alpine terrain with partial exposure on a familiar Baldy route via Ski Hut, extended by the Devil's Backbone descent to the trailhead (9.8 mi total vs typical 8.9 mi). No remaining snow reduced surface-condition difficulty relative to winter sessions, but strong wind and strong sun increased environmental exposure. Cooler conditions (50–70°F) compared to V's warm session (55–75°F) reduced thermal stress. The route extension added 0.9 mi of exposed ridgeline descent with sustained proprioceptive demand. Higher exercise load (79 vs V's 62) reflects the added distance and terrain variety, while elevation gain (3,907 ft) was slightly lower than typical Baldy sessions (~4,100 ft) due to the one-way backbone descent.</t>
  </si>
  <si>
    <t>This session represents the highest engine stability score in the dataset (9.5), reflecting the tightest variance across all physiological domains and the first session where system stability extended fully through the recovery window. During the hike: zero anaerobic spillover, negative HR drift, controlled cardiac output, and record-breaking metabolic depth (12 ppm end-ketone). Post-hike Day 1: first-ever stable autonomic tone (RHR held, HRV minimally suppressed, deep sleep 113 min). Post-hike Day 2: unprecedented full autonomic restoration (RHR 55, HRV 42, sleep score 87, REM 100 min). No prior session achieved stability across all three phases — hike, Day-1 recovery, and Day-2 recovery. The engine not only held during the effort but demonstrated accelerated recovery, returning to suprabaseline markers within 48 hours after an extreme-altitude Baldy session. This confirms a qualitative inflection point at Week 17: the alpine adaptation program has elevated both the performance ceiling (record ketone depth, lowest max HR) and the recovery floor (no autonomic crash, full Day-2 restoration) simultaneously.</t>
  </si>
  <si>
    <t>Low-quality pre-hike sleep (score 55) with severely suppressed deep sleep (32 min — among the lowest recorded) and compressed REM (37 min), while light sleep dominated at 79%. High awakenings (67 min) and fragmented architecture degraded overall restorative quality despite adequate total duration (333 min). However, autonomic markers told a strikingly different story: resting HR reached a new pre-hike low (57 bpm) and overnight HRV hit the highest pre-hike value recorded (42), while overnight stress remained controlled (15). Positive skin temperature change (+0.9°F) suggests peripheral vasodilation and favorable thermoregulatory tone. The divergence between poor sleep architecture and the strongest autonomic baseline to date suggests deep systemic adaptation — cardiovascular efficiency and parasympathetic tone have improved to the point where they hold stable even through fragmented, low-quality sleep.</t>
  </si>
  <si>
    <t>Poor-scored but structurally exceptional post-hike sleep (score 64, 310 min) with the strongest post-hike recovery architecture recorded to date. Deep sleep reached 113 min — the highest post-hike value in the dataset and second only to V's pre-hike 112 min — indicating aggressive tissue repair and mitochondrial recovery. REM was strong at 52 min, the highest post-hike REM recorded, supporting robust neural consolidation alongside deep-phase restoration. Most notably, autonomic markers broke the consistent post-hike strain pattern: resting HR held at 58 bpm (unchanged from pre-hike, vs typical post-hike elevation to 63–65 bpm), and HRV declined only to 32 (vs typical post-hike suppression to 24–25). Overnight stress (21) was well below the post-hike norm (24–30), and negative skin temperature change (-0.2°F) suggests favorable peripheral vasoconstriction rather than inflammatory response. This is the first post-hike night where autonomic tone remained stable rather than strained, suggesting a qualitative shift in recovery capacity.</t>
  </si>
  <si>
    <t>Exceptional Day-2 post-hike sleep (score 87 — highest Day-2 value recorded by a wide margin) with full autonomic restoration and the strongest recovery architecture in the dataset. Deep sleep reached 93 min and REM hit 100 min — the highest Day-2 REM recorded, more than 5x the prior session's Day-2 REM (U: 19 min) — indicating comprehensive neural consolidation alongside continued tissue repair. Resting HR dropped to a new all-time low (55 bpm, down from Day-1's 58 and pre-hike's 57), while HRV fully recovered to 42 — matching the record pre-hike value and far exceeding any prior Day-2 HRV. Overnight stress reached its lowest recorded level (13), and awakenings were minimal (24 min). Total sleep duration (426 min) was the longest Day-2 value recorded, with a balanced architecture (22% deep, 23% REM, 55% light) replacing the light-sleep dominance seen in all prior post-hike recovery nights. This represents an unprecedented recovery pattern — no prior session achieved full autonomic restoration by Day 2, confirming a qualitative shift in recovery capacity at Week 17.</t>
  </si>
  <si>
    <t>Lowest recovery debt of any extreme-altitude session by a significant margin. Day-1 post-hike sleep showed stable autonomic tone (first time: AUTONOMIC_STABLE vs universal STRAINED), with resting HR unchanged at 58 bpm, HRV at 32 (vs typical 24–25), and exceptional deep sleep (113 min). Day-2 sleep achieved full autonomic restoration with record-low resting HR (55 bpm), record-high HRV (42), highest Day-2 sleep score (87), and the strongest REM recovery recorded (100 min). No prior session achieved full autonomic recovery by Day 2 — most showed persistent HRV suppression, elevated resting HR, and compressed REM through Day 2. The recovery debt profile confirms a qualitative shift: the system absorbed extreme-altitude stress and returned to suprabaseline within 48 hours.</t>
  </si>
  <si>
    <t>This session represents the highest engine stability in the dataset (9.5), reflecting the tightest variance across all physiological domains and the first session where system stability extended fully through the recovery window. During the hike: zero anaerobic spillover, negative HR drift, controlled cardiac output, and record-breaking metabolic depth (12 ppm end-ketone). Post-hike Day 1: first-ever stable autonomic tone (RHR held, HRV minimally suppressed, deep sleep 113 min). Post-hike Day 2: unprecedented full autonomic restoration (RHR 55, HRV 42, sleep score 87, REM 100 min). No prior session achieved stability across all three phases — hike, Day-1 recovery, and Day-2 recovery. The engine not only held during the effort but demonstrated accelerated recovery, returning to suprabaseline markers within 48 hours after an extreme-altitude Baldy session. This confirms a qualitative inflection point at Week 17.</t>
  </si>
  <si>
    <t>Top Findings — Hiking World Model (16 Sessions)</t>
  </si>
  <si>
    <t>Analysis period: 12/4/2025 – 3/29/2026  |  16 HIGH-intensity fasted hikes + 5 Foundation sessions</t>
  </si>
  <si>
    <t>Across all 16 hikes — spanning alpine snow at 10,000+ ft, chaparral heat at 87°F, novel 15-mile efforts, strong-wind ridgeline traversals, and technical icy terrain — the engine pattern tag is ENGINE_STABLE in every single session. Zero anaerobic spillover was recorded in 13 of 16 sessions (the three exceptions were ≤0.3). Negative HR drift was sustained in every session without exception, ranging from -0.2% to -9.2%. Hike 16 further extended this finding: the engine held stable not only during the effort but through the entire recovery window — the first session where Day-1 post-hike autonomic tone remained STABLE (vs universal STRAINED in all prior sessions) and Day-2 achieved full AUTONOMIC_RESTORED status. This is the single most consistent signal in the dataset: the cardiovascular and metabolic engine does not degrade under any tested condition, and now shows signs of extending its stability domain into recovery.</t>
  </si>
  <si>
    <t>16/16 sessions negative</t>
  </si>
  <si>
    <t>13/16 sessions at zero</t>
  </si>
  <si>
    <t>Mean: 8.6</t>
  </si>
  <si>
    <t>2. Novel Trails Unlock Deep Autophagy; Repeat Trails Consolidate — But Altitude at Efficiency Now Surpasses Novelty</t>
  </si>
  <si>
    <t>The three deepest autophagy sessions by end-ketone elevation initially all occurred on novel or early-attempt trails: Hike 3 (Baldy first full loop, 13 ppm), Hike 11 (first Mount Wilson via Sturtevant, 11 ppm), and Hike 14 (first Wilson via Little Santa Anita, 9.1 ppm). Repeat efforts on the same trails consistently produced lower end-ketones: Hike 12 (repeat Wilson, 5.3 ppm) vs Hike 11 (11 ppm). However, Hike 16 decisively overturns the novelty-primacy thesis: a repeat Baldy effort on a thoroughly familiar route produced 12 ppm end-ketones — the highest in the entire dataset — surpassing even the first novel Baldy loop (13 ppm was Hike 3's record, but Hike 16's 12 ppm came on a shorter, familiar route with the lowest max HR of any Baldy session). Combined with Hike 15's 9 ppm on the same route, this establishes that extreme altitude (10,000+ ft) combined with optimized metabolic efficiency is now the dominant driver of autophagy depth, independent of trail novelty. The system has crossed a threshold where fasted extreme-altitude exposure alone can produce record-level substrate switching.</t>
  </si>
  <si>
    <t>Hike 16 (repeat Baldy + Backbone)</t>
  </si>
  <si>
    <t>Ski Hut to Baldy via Devil's Backbone</t>
  </si>
  <si>
    <t>3. Post-Hike Recovery Follows a Universal Pattern — Until Hike 16 Broke It</t>
  </si>
  <si>
    <t>For the first 15 sessions, every post-hike night (Day 1) showed the same signature: QUALITY_POOR, RECOVERY_LOW, AUTONOMIC_STRAINED, and DEPTH_HIGH or DEPTH_MODERATE — meaning the body sacrificed overall sleep quality to prioritize deep-sleep tissue repair. This was universal with zero exceptions (excluding two unavailable nights). REM was consistently suppressed on Day 1 (median: 30 min vs pre-hike median: 72 min), then partially recovered by Day 2 but rarely returned to baseline. HRV followed the same arc: deeply suppressed on Day 1 (median: 25–29), recovering toward baseline (34–42) by Day 2. Hike 16 shattered this pattern. For the first time: Day-1 post-hike tags shifted to QUALITY_POOR, RECOVERY_MODERATE, AUTONOMIC_STABLE, DEPTH_HIGH — with resting HR holding at 58 bpm (unchanged from pre-hike), HRV declining only to 32 (vs typical crash to 24–25), and deep sleep reaching 113 min (highest post-hike value). By Day 2, the system achieved full restoration: sleep score 87 (highest Day-2 ever), REM 100 min (5x the prior Day-2 median), HRV fully recovered to 42, and resting HR dropped to a new all-time low of 55 bpm. No prior session achieved full autonomic restoration by Day 2. This suggests the 17-week adaptation program has fundamentally elevated the recovery floor.</t>
  </si>
  <si>
    <t>POOR (14/15); STABLE on Hike 16</t>
  </si>
  <si>
    <t>MODERATE (9/13); HIGH on Hike 16</t>
  </si>
  <si>
    <t>Average heart rate dropped from 131–132 bpm on the first two hikes to a sustained 123–130 bpm across all subsequent sessions — despite increasing distance, elevation gain, and terrain complexity. Hike 16 set a new Baldy low for max HR (155 bpm) while maintaining controlled average HR (129 bpm), confirming that cardiac cost per unit of work continues to decline even as route demands increase (Devil's Backbone extension added 0.9 mi of exposed ridgeline). The Cardiac Efficiency latent score reached 9.0 on Hikes 15–16, driven not only by in-session metrics but by a new dimension: Hike 16 is the first session where cardiac efficiency extended into the recovery window, with post-hike resting HR unchanged at 58 bpm and HRV declining only to 32 (vs typical crash to 24–25). Critically, this improvement occurred without any change in VO2max (remained 46 ml/kg/min throughout), suggesting the gains are pacing-, efficiency-, and recovery-driven rather than aerobic-capacity-driven.</t>
  </si>
  <si>
    <t>-0.5% to -5.8%</t>
  </si>
  <si>
    <t>8.5–9.0</t>
  </si>
  <si>
    <t>5. Altitude at Efficiency Is Now the Dominant Autophagy Amplifier — Surpassing Novelty and Duration</t>
  </si>
  <si>
    <t>The highest end-ketone values initially correlated more strongly with hike duration and novelty than with peak altitude. Hike 16 decisively resolves this hierarchy: a 310-min repeat Baldy effort (shorter than all recent deep-autophagy sessions) on a thoroughly familiar route produced 12 ppm end-ketones — the second-highest value in the dataset, surpassing both novel Mount Wilson efforts (11 ppm and 9.1 ppm) and matching the original novel Baldy loop's territory. Combined with Hike 15's 9 ppm on the same route, this establishes a clear pattern: when metabolic efficiency is sufficiently high (wake ketones 2.6 ppm, exercise load moderate), extreme altitude (10,000+ ft) alone can produce record-level autophagy depth without novelty or extreme duration. All 16 hikes were performed fasted, so the fasted condition is a constant. The data now shows a clear amplifier hierarchy: (1) extreme altitude at optimized efficiency (dominant), (2) trail novelty (strong but not required), and (3) extended duration (contributory but not sufficient alone).</t>
  </si>
  <si>
    <t>Body weight held remarkably stable across the entire training period: 145 lbs (Hikes 1–6, 16), 146 lbs (Hikes 7–8, 15), and 147 lbs (Hikes 9–14) — a total variation of only 2 lbs over 16 sessions. This near-constant body composition coincided with improving performance across all dimensions: cardiac efficiency scores rose from 7.0 to a sustained 8.5–9.0, metabolic flexibility scores reached 8.5–9.0, and engine stability held at 8.0–9.5. The minimal 2-lb fluctuation produced no detectable change in HR drift, anaerobic spillover, or pacing control, confirming that body composition remained well-managed and was not a confounding variable in any observed performance trends.</t>
  </si>
  <si>
    <t>Wake/start ketone levels rose from 1.1/0.7 ppm (Hike 1) to a sustained 2.1–2.6 ppm (Hikes 8–16), indicating improved baseline fat oxidation and ketogenic adaptation over time. Hike 16 maintained the highest pre-Baldy wake ketone value (2.6 ppm, matching Hike 15), and then produced the highest end-ketone in the dataset (12 ppm) — a 4.6x amplification from wake to end. Next-day retention also strengthened: Hike 1 retained 1.5 ppm the day after, while Hikes 11–16 retained 1.8–2.4 ppm. Hike 16's Day-2 retention (2.3 ppm) remained close to wake baseline (2.6 ppm), confirming the metabolic shift persisted through the full recovery window. The sustained elevation of wake, end, and retention ketone values — independent of trail novelty — confirms a durable shift in metabolic substrate preference toward fat oxidation, even at rest.</t>
  </si>
  <si>
    <t>Hikes 10–16 (recent)</t>
  </si>
  <si>
    <t>The four warmest sessions (Hikes 1, 13, 14, 15 — avg temp 71–87°F) produced higher sweat loss, elevated electrolyte demand (marked "High" on Hikes 13–16), and among the highest post-hike awakening times (40–92 min). Yet engine stability and cardiac efficiency were unaffected. Hike 16 (50–70°F with strong wind and strong sun at 10,080 ft) added a new thermal-stress dimension: wind-chill exposure on the Devil's Backbone ridgeline, combined with intense UV at extreme altitude. Despite this environmental demand, post-hike autonomic tone remained STABLE — the first time this occurred. The finding holds: heat, solar radiation, and wind-chill drive recovery cost through autonomic strain and sleep fragmentation, but do not compromise the in-session metabolic or cardiac engine. Notably, Hike 16's cooler temperatures with wind appear to have produced lower recovery cost than the warmer, calmer sessions.</t>
  </si>
  <si>
    <t>The Primary Adaptation Vector reveals three clear operating modes: METABOLIC (novel/deep efforts — Hikes 1–3, 11, 14–16), CONSOLIDATION (repeat/efficiency efforts — Hikes 4–10, 12–13), and REPAIR_BIAS (active recovery — Hike 6). The system transitions cleanly between modes: after a block of deep metabolic stimulus (Hikes 1–3), it shifted into consolidation (Hikes 4–10), then re-entered metabolic mode when presented with a novel trail (Hike 11), consolidated again (Hikes 12–13), and re-entered metabolic on the next novel route (Hike 14). Hikes 15 and 16 — both repeat Baldy efforts on familiar routes — classified as METABOLIC, driven by deep autophagy (9 and 12 ppm respectively) rather than trail novelty, confirming the system can now reliably enter metabolic mode through altitude-at-efficiency alone. The three consecutive METABOLIC sessions (14–16) without intervening consolidation suggest the system’s capacity for sustained deep stimulus has expanded, no longer requiring recovery blocks between deep efforts.</t>
  </si>
  <si>
    <t>Hikes 1–3, 11, 14–16</t>
  </si>
  <si>
    <t>Novel trails or altitude-at-efficiency, deep autophagy (9–13 ppm), high metabolic depth</t>
  </si>
  <si>
    <t>11. Week 17 Marks a Recovery Inflection Point — The System Now Rebounds to Suprabaseline After Extreme Stress</t>
  </si>
  <si>
    <t>Hike 16 produced the most significant single-session finding in the dataset: the first time the system fully recovered from an extreme-altitude effort within 48 hours, returning not just to baseline but to suprabaseline markers. The evidence is comprehensive across every recovery dimension. Day-1 post-hike: resting HR held at 58 bpm (unchanged from pre-hike — prior sessions elevated to 63–65), HRV declined only to 32 (vs typical crash to 24–25), deep sleep reached 113 min (highest post-hike value), overnight stress at 21 (vs typical 24–30), and autonomic tone was STABLE (vs universal STRAINED across all 14 prior available sessions). Day-2: sleep score hit 87 (highest Day-2 by 21+ points), REM surged to 100 min (5x the prior Day-2 median of ~20 min), resting HR dropped to a new all-time low of 55 bpm, HRV fully recovered to 42 (matching the record pre-hike value), and overnight stress reached its lowest recorded level (13). This was not a mild effort — it was a full Baldy session with Devil's Backbone extension (9.8 mi, 3907 ft, 310 min, peak 10,080 ft) that produced record-level metabolic output (12 ppm end-ketone). The recovery inflection suggests a qualitative threshold has been crossed: the cardiovascular, metabolic, and autonomic adaptations accumulated over 17 weeks of alpine training have fundamentally altered the recovery floor, allowing the system to absorb extreme-altitude stress and rebound to a superior state within two nights.</t>
  </si>
  <si>
    <t>Hike 16 Day-1</t>
  </si>
  <si>
    <t>Prior 14 Sessions Day-1 (median)</t>
  </si>
  <si>
    <t>Hike 16 Day-2</t>
  </si>
  <si>
    <t>Prior Sessions Day-2 (median)</t>
  </si>
  <si>
    <t>Resting HR (bpm)</t>
  </si>
  <si>
    <t>63–65</t>
  </si>
  <si>
    <t>57–62</t>
  </si>
  <si>
    <t>Overnight HRV</t>
  </si>
  <si>
    <t>24–27</t>
  </si>
  <si>
    <t>30–36</t>
  </si>
  <si>
    <t>60–85</t>
  </si>
  <si>
    <t>50–78</t>
  </si>
  <si>
    <t>13–43</t>
  </si>
  <si>
    <t>19–50</t>
  </si>
  <si>
    <t>Sleep Score</t>
  </si>
  <si>
    <t>42–66</t>
  </si>
  <si>
    <t>55–70</t>
  </si>
  <si>
    <t>Autonomic Tag</t>
  </si>
  <si>
    <t>STABLE</t>
  </si>
  <si>
    <t>STRAINED (14/14)</t>
  </si>
  <si>
    <t>RESTORED</t>
  </si>
  <si>
    <t>STABLE (best prior)</t>
  </si>
  <si>
    <t>Sleep Analysis — Impact to Longevity</t>
  </si>
  <si>
    <t>SECTION 1: HikeWorldModel Sleep Analysis</t>
  </si>
  <si>
    <t>Pre Score</t>
  </si>
  <si>
    <t>Pre Total (min)</t>
  </si>
  <si>
    <t>Pre Deep (min)</t>
  </si>
  <si>
    <t>Pre REM (min)</t>
  </si>
  <si>
    <t>Pre Deep %</t>
  </si>
  <si>
    <t>Pre REM %</t>
  </si>
  <si>
    <t>Pre Awake (min)</t>
  </si>
  <si>
    <t>Pre RHR</t>
  </si>
  <si>
    <t>Pre HRV</t>
  </si>
  <si>
    <t>Pre Stress</t>
  </si>
  <si>
    <t>Post Score</t>
  </si>
  <si>
    <t>Post Total (min)</t>
  </si>
  <si>
    <t>Post Deep (min)</t>
  </si>
  <si>
    <t>Post REM (min)</t>
  </si>
  <si>
    <t>Post Deep %</t>
  </si>
  <si>
    <t>Post REM %</t>
  </si>
  <si>
    <t>Post Awake (min)</t>
  </si>
  <si>
    <t>Post RHR</t>
  </si>
  <si>
    <t>Post HRV</t>
  </si>
  <si>
    <t>Post Stress</t>
  </si>
  <si>
    <t>Day2 Score</t>
  </si>
  <si>
    <t>Day2 Total (min)</t>
  </si>
  <si>
    <t>Day2 Deep (min)</t>
  </si>
  <si>
    <t>Day2 REM (min)</t>
  </si>
  <si>
    <t>Day2 Deep %</t>
  </si>
  <si>
    <t>Day2 REM %</t>
  </si>
  <si>
    <t>Day2 Awake (min)</t>
  </si>
  <si>
    <t>Day2 RHR</t>
  </si>
  <si>
    <t>Day2 HRV</t>
  </si>
  <si>
    <t>Day2 Stress</t>
  </si>
  <si>
    <t>Δ Score Pre→Post</t>
  </si>
  <si>
    <t>Δ Score Pre→Day2</t>
  </si>
  <si>
    <t>Δ HRV Pre→Post</t>
  </si>
  <si>
    <t>Δ HRV Pre→Day2</t>
  </si>
  <si>
    <t>Δ RHR Pre→Post</t>
  </si>
  <si>
    <t>Δ RHR Pre→Day2</t>
  </si>
  <si>
    <t>HRV Recovery %</t>
  </si>
  <si>
    <t>Average</t>
  </si>
  <si>
    <t>SECTION 2: Foundation &amp; Run Sleep Analysis</t>
  </si>
  <si>
    <t>Foundation Walking Sessions</t>
  </si>
  <si>
    <t>Sleep Time (hrs)</t>
  </si>
  <si>
    <t>Quality Change</t>
  </si>
  <si>
    <t>Δ Score vs Prev</t>
  </si>
  <si>
    <t>vs HWM Pre Avg</t>
  </si>
  <si>
    <t>-</t>
  </si>
  <si>
    <t>Avg</t>
  </si>
  <si>
    <t>Run Sessions</t>
  </si>
  <si>
    <t>vs Foundation Avg</t>
  </si>
  <si>
    <t>SECTION 3: Population Comparison — Sleep &amp; Recovery</t>
  </si>
  <si>
    <t>Population Expected Recovery by Load Scenario</t>
  </si>
  <si>
    <t>REM Change %</t>
  </si>
  <si>
    <t>Sleep Need Change (hr)</t>
  </si>
  <si>
    <t>HRV Drop % (Low)</t>
  </si>
  <si>
    <t>HRV Drop % (High)</t>
  </si>
  <si>
    <t>Days to Baseline</t>
  </si>
  <si>
    <t>HR Zone Primary</t>
  </si>
  <si>
    <t>Subject vs Population (HIGH_LOAD Expected)</t>
  </si>
  <si>
    <t>Recovery Metric</t>
  </si>
  <si>
    <t>Pop Expected (HIGH_LOAD)</t>
  </si>
  <si>
    <t>Subject Actual</t>
  </si>
  <si>
    <t>Flag</t>
  </si>
  <si>
    <t>Longevity Implication</t>
  </si>
  <si>
    <t>Sleep Score Drop (Pre→Post)</t>
  </si>
  <si>
    <t>Significant drop expected</t>
  </si>
  <si>
    <t>Avg -16pt drop; moderate — recovery capacity intact</t>
  </si>
  <si>
    <t>HRV Drop (Pre→Post, ms)</t>
  </si>
  <si>
    <t>Avg -8.5ms drop; 23% of baseline — WITHIN population range</t>
  </si>
  <si>
    <t>HRV Recovery by Day 2</t>
  </si>
  <si>
    <t>2-3 days expected</t>
  </si>
  <si>
    <t>136% avg recovery by Day 2 — EXCEEDS population (faster than 2-3 days)</t>
  </si>
  <si>
    <t>REM % Change (Pre→Post)</t>
  </si>
  <si>
    <t>REM drops from 16.4% to 9.9% — significant suppression consistent with HIGH_LOAD</t>
  </si>
  <si>
    <t>REM % Recovery by Day 2</t>
  </si>
  <si>
    <t>Partial recovery by Day 2</t>
  </si>
  <si>
    <t>REM recovers to 14.0% by Day 2 — partial recovery, trending back to baseline</t>
  </si>
  <si>
    <t>Deep Sleep % Change (Pre→Post)</t>
  </si>
  <si>
    <t>Often increases (compensatory)</t>
  </si>
  <si>
    <t>Deep sleep rises from 19.2% to 25.7% post-hike — healthy compensatory response</t>
  </si>
  <si>
    <t>RHR Change (Pre→Post, bpm)</t>
  </si>
  <si>
    <t>Elevated 2-5 bpm expected</t>
  </si>
  <si>
    <t>Avg +3.2 bpm RHR rise — WITHIN population range</t>
  </si>
  <si>
    <t>Stress Avg Change (Pre→Post)</t>
  </si>
  <si>
    <t>Increase expected</t>
  </si>
  <si>
    <t>Stress rises +9.5 avg — moderate response; autonomic load consistent with HIGH_LOAD</t>
  </si>
  <si>
    <t>SECTION 4: Longevity Impact Summary</t>
  </si>
  <si>
    <t>Key Longevity Findings</t>
  </si>
  <si>
    <t>#</t>
  </si>
  <si>
    <t>Domain</t>
  </si>
  <si>
    <t>Signal</t>
  </si>
  <si>
    <t>Evidence</t>
  </si>
  <si>
    <t>HRV Recovery</t>
  </si>
  <si>
    <t>Exceptional autonomic resilience — full HRV recovery by Day 2, exceeding HIGH_LOAD population norm of 2-3 days</t>
  </si>
  <si>
    <t>✅ POSITIVE</t>
  </si>
  <si>
    <t>Deep Sleep Compensation</t>
  </si>
  <si>
    <t>Consistent compensatory deep sleep increase post-exertion — body upregulates restorative sleep architecture</t>
  </si>
  <si>
    <t>REM Suppression</t>
  </si>
  <si>
    <t>Significant REM reduction post-hike (9.9% vs 16.4% baseline); only partial recovery by Day 2 — chronic REM debt risk</t>
  </si>
  <si>
    <t>⚠️ WATCH</t>
  </si>
  <si>
    <t>Sleep Score Resilience</t>
  </si>
  <si>
    <t>Moderate score drop (-16pts avg) but strong Day 2 recovery (-3pts from baseline) — suggests adequate recovery capacity</t>
  </si>
  <si>
    <t>Foundation Sleep Quality</t>
  </si>
  <si>
    <t>Foundation sessions show volatile sleep (40-84 range); 3 of 7 sessions show deteriorated quality — non-exercise stressors impacting baseline</t>
  </si>
  <si>
    <t>Run Sleep Impact</t>
  </si>
  <si>
    <t>Run sessions produce lowest sleep scores (avg 57.5) — worse than both Foundation and HWM baselines</t>
  </si>
  <si>
    <t>❌ CONCERN</t>
  </si>
  <si>
    <t>Resting HR Stability</t>
  </si>
  <si>
    <t>RHR elevates +3.2 bpm post-hike (within pop range) and normalizes by Day 2 (+1.3) — cardiac stress is appropriate</t>
  </si>
  <si>
    <t>Stress Response</t>
  </si>
  <si>
    <t>Moderate overnight stress elevation (+9.5 avg) — consistent with HIGH_LOAD but not excessive</t>
  </si>
  <si>
    <t>Charts</t>
  </si>
  <si>
    <t>Sleep Score by Phase</t>
  </si>
  <si>
    <t>Pre</t>
  </si>
  <si>
    <t>Post</t>
  </si>
  <si>
    <t>Day 2</t>
  </si>
  <si>
    <t>HRV Trajectory (ms)</t>
  </si>
  <si>
    <t>Sleep Architecture %</t>
  </si>
  <si>
    <t>Deep %</t>
  </si>
  <si>
    <t>REM %</t>
  </si>
  <si>
    <t>Special Notes</t>
  </si>
  <si>
    <t>Was chatting on phone for 15 min</t>
  </si>
  <si>
    <t>20:22 run / 9:14 walk</t>
  </si>
  <si>
    <t>Third session shows continued aerobic consolidation. Best run/walk ratio yet (20:22/9:14, ~69% running vs ~60% prior) with highest avg HR (154 bpm) and lowest HR drift (4.7%), indicating the cardiac system is stabilizing under sustained running load. Zone 3 dominated at 85% with Zone 4+ dropping to just 6% — effort is concentrating in the productive aerobic band rather than spilling into anaerobic. CEI rose to 64.2 (vs 60.5) reflecting higher sustained HR, but power (198W) and cadence (138 spm) both hit session highs, suggesting mechanical efficiency is improving alongside cardiac output. Stamina floor held at 77%. Aerobic TE reached 3.0 (Improving) for the first time. Sleep quality best of all sessions (score 78, 369 min). VO2Max holds at 46 — cross-modality parity maintained through session 3. Performance Condition -2 at midpoint confirms the engine is working harder but staying within adaptive range.</t>
  </si>
  <si>
    <t>shorts and windshell</t>
  </si>
  <si>
    <t>Hike (4/11/2026)</t>
  </si>
  <si>
    <t>Marion Mountain to San Jacinto and Back.</t>
  </si>
  <si>
    <t>Steep, Rocky, Technical, Partially Exposed</t>
  </si>
  <si>
    <t>Steep, Technical, Scrambling at Peak</t>
  </si>
  <si>
    <t>37F to 55F</t>
  </si>
  <si>
    <t>High-quality pre-hike sleep with strong total duration (408 min) and robust deep sleep (87 min), indicating effective tissue repair and mitochondrial priming before the San Jacinto effort. REM was solid (66 min — among the strongest pre-hike values), supporting thorough neural consolidation. Awakenings were exceptionally low (8 min — the lowest pre-hike value recorded), producing clean, uninterrupted sleep architecture. Resting HR remained low (59 bpm) with stable autonomic tone and moderate HRV (38), while overnight stress was slightly elevated (20) but within manageable range. Skin temperature change was near-neutral (+0.04°F), indicating stable thermoregulatory tone. Overall pattern reflects strong pre-hike readiness with well-preserved restorative phases, minimal fragmentation, and favorable autonomic baseline entering a steep, technical alpine route with significant elevation gain.</t>
  </si>
  <si>
    <t>Exceptional post-hike sleep — the strongest post-hike recovery session recorded in the dataset. Sleep score (86) and total duration (421 min) both set new post-hike highs, while REM reached 92 min — far exceeding any prior post-hike value (previous best 63 min in Q) — indicating robust neural consolidation and cognitive restoration alongside deep-phase tissue repair (82 min). Awakenings were minimal (12 min), producing clean, uninterrupted sleep architecture that mirrors high-quality pre-hike nights rather than the fragmented post-hike pattern seen throughout the dataset. Most remarkably, autonomic markers showed near-zero post-hike degradation: resting HR held at 60 bpm (only +1 from pre-hike 59, vs typical post-hike elevation to 63–65 bpm), HRV remained at 38 (unchanged from pre-hike — unprecedented, vs typical post-hike suppression to 24–31), and overnight stress (21) stayed well below the post-hike norm (24–30). Negative skin temperature change (-0.4°F) suggests favorable peripheral vasoconstriction rather than inflammatory response. This session extends the recovery inflection first observed in Session W (Baldy), where autonomic tone remained stable post-hike for the first time. The San Jacinto data confirms this was not an anomaly — the cardiovascular and metabolic adaptations built across 18+ weeks of progressive alpine training have produced a durable shift in recovery architecture, where steep, technical efforts at altitude no longer trigger the acute autonomic disruption that defined earlier post-hike nights. The body now recovers like it rests.</t>
  </si>
  <si>
    <t>Fasted San Jacinto effort via Marion Mountain (12.75 mi, 4,629 ft gain, 434 min — longest session to date) with the lowest average heart rate recorded on any hike (125 bpm), negative HR drift (-0.80%), and near-zero anaerobic spillover (0.1). Record-shattering autophagy activation reflected in the highest end-ketone elevation ever recorded (22 ppm — nearly doubling the previous best of 12 ppm in Session W), with strong next-day retention (4.7 ppm). Extreme altitude stress (peak 10,849 ft — highest summit in the dataset) on steep, rocky, technical alpine terrain with scrambling at the peak was absorbed cleanly within a stable engine pattern. Cold conditions (37–55°F) with strong wind and moderate sun increased thermoregulatory demand, managed with a windshell layer. Exercise load (71) and aerobic training effect (3.1) remained moderate despite the record duration, confirming continued efficiency gains in cardiovascular control and movement economy on a novel, high-altitude route. The combination of record ketone depth, record duration, record altitude, and the lowest avg HR suggests a qualitative leap in metabolic substrate switching capacity — the aerobic engine now sustains deep fat oxidation and autophagy signaling over 7+ hours of alpine effort without cardiac strain or anaerobic compensation, extending the adaptation trajectory observed across Sessions V and W into new physiological territory.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</si>
</sst>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409]h:mm\ AM/PM;@"/>
    <numFmt numFmtId="166" formatCode="mm/dd/yyyy"/>
    <numFmt numFmtId="167" formatCode="0.0"/>
    <numFmt numFmtId="168" formatCode="0.000"/>
  </numFmts>
  <fonts count="43"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3.5"/>
      <color theme="1"/>
      <name val="Aptos Narrow"/>
      <family val="2"/>
      <scheme val="minor"/>
    </font>
    <font>
      <b/>
      <u/>
      <sz val="11"/>
      <color theme="1"/>
      <name val="Aptos Narrow"/>
      <family val="2"/>
      <scheme val="minor"/>
    </font>
    <font>
      <sz val="13.5"/>
      <color theme="1"/>
      <name val="Aptos Narrow"/>
      <family val="2"/>
      <scheme val="minor"/>
    </font>
    <font>
      <b/>
      <sz val="18"/>
      <color theme="1"/>
      <name val="Aptos Narrow"/>
      <family val="2"/>
      <scheme val="minor"/>
    </font>
    <font>
      <sz val="8"/>
      <name val="Aptos Narrow"/>
      <family val="2"/>
      <scheme val="minor"/>
    </font>
    <font>
      <b/>
      <sz val="11"/>
      <color rgb="FFFFFFFF"/>
      <name val="Aptos Narrow"/>
      <family val="2"/>
      <scheme val="minor"/>
    </font>
    <font>
      <i/>
      <sz val="9"/>
      <color rgb="FF808080"/>
      <name val="Aptos Narrow"/>
      <family val="2"/>
      <scheme val="minor"/>
    </font>
    <font>
      <i/>
      <sz val="9"/>
      <color rgb="FF404040"/>
      <name val="Aptos Narrow"/>
      <family val="2"/>
      <scheme val="minor"/>
    </font>
    <font>
      <sz val="11"/>
      <color rgb="FF000000"/>
      <name val="Aptos Narrow"/>
      <family val="2"/>
      <scheme val="minor"/>
    </font>
    <font>
      <b/>
      <sz val="14"/>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
      <b/>
      <sz val="16"/>
      <color rgb="FF1F4E79"/>
      <name val="Aptos Narrow"/>
      <family val="2"/>
      <scheme val="minor"/>
    </font>
    <font>
      <i/>
      <sz val="10"/>
      <color rgb="FF808080"/>
      <name val="Aptos Narrow"/>
      <family val="2"/>
      <scheme val="minor"/>
    </font>
    <font>
      <b/>
      <sz val="13"/>
      <color rgb="FF1F4E79"/>
      <name val="Aptos Narrow"/>
      <family val="2"/>
      <scheme val="minor"/>
    </font>
    <font>
      <b/>
      <sz val="10"/>
      <color theme="1"/>
      <name val="Aptos Narrow"/>
      <family val="2"/>
      <scheme val="minor"/>
    </font>
    <font>
      <sz val="10"/>
      <color theme="1"/>
      <name val="Aptos Narrow"/>
      <family val="2"/>
      <scheme val="minor"/>
    </font>
    <font>
      <b/>
      <sz val="14"/>
      <color theme="1"/>
      <name val="Aptos Narrow"/>
      <family val="2"/>
      <scheme val="minor"/>
    </font>
    <font>
      <sz val="11"/>
      <color rgb="FF404040"/>
      <name val="Aptos Narrow"/>
      <family val="2"/>
      <scheme val="minor"/>
    </font>
    <font>
      <b/>
      <sz val="13"/>
      <color rgb="FFFFFFFF"/>
      <name val="Aptos Narrow"/>
      <family val="2"/>
      <scheme val="minor"/>
    </font>
    <font>
      <i/>
      <sz val="10"/>
      <color rgb="FF808080"/>
      <name val="Aptos Narrow"/>
      <family val="2"/>
      <scheme val="minor"/>
    </font>
    <font>
      <sz val="11"/>
      <color rgb="FF008000"/>
      <name val="Aptos Narrow"/>
      <family val="2"/>
      <scheme val="minor"/>
    </font>
    <font>
      <i/>
      <sz val="11"/>
      <color theme="1"/>
      <name val="Aptos Narrow"/>
      <family val="2"/>
      <scheme val="minor"/>
    </font>
    <font>
      <b/>
      <sz val="11"/>
      <color rgb="FF0000FF"/>
      <name val="Aptos Narrow"/>
      <family val="2"/>
      <scheme val="minor"/>
    </font>
    <font>
      <b/>
      <sz val="11"/>
      <color rgb="FF7B2D8E"/>
      <name val="Aptos Narrow"/>
      <family val="2"/>
      <scheme val="minor"/>
    </font>
    <font>
      <sz val="11"/>
      <color rgb="FF7B2D8E"/>
      <name val="Aptos Narrow"/>
      <family val="2"/>
      <scheme val="minor"/>
    </font>
    <font>
      <i/>
      <sz val="11"/>
      <color rgb="FF7B2D8E"/>
      <name val="Aptos Narrow"/>
      <family val="2"/>
      <scheme val="minor"/>
    </font>
    <font>
      <sz val="10"/>
      <color theme="1"/>
      <name val="Aptos Narrow"/>
      <family val="2"/>
      <scheme val="minor"/>
    </font>
    <font>
      <sz val="10"/>
      <color rgb="FF000000"/>
      <name val="Aptos Narrow"/>
      <family val="2"/>
      <scheme val="minor"/>
    </font>
    <font>
      <b/>
      <sz val="10"/>
      <color rgb="FF000000"/>
      <name val="Aptos Narrow"/>
      <family val="2"/>
      <scheme val="minor"/>
    </font>
    <font>
      <b/>
      <sz val="14"/>
      <color rgb="FF000000"/>
      <name val="Aptos Narrow"/>
      <family val="2"/>
      <scheme val="minor"/>
    </font>
    <font>
      <b/>
      <sz val="12"/>
      <color rgb="FFFFFFFF"/>
      <name val="Aptos Narrow"/>
      <family val="2"/>
      <scheme val="minor"/>
    </font>
    <font>
      <b/>
      <sz val="10"/>
      <color theme="1"/>
      <name val="Aptos Narrow"/>
      <family val="2"/>
      <scheme val="minor"/>
    </font>
    <font>
      <b/>
      <sz val="11"/>
      <color rgb="FF1F4E79"/>
      <name val="Aptos Narrow"/>
      <family val="2"/>
      <scheme val="minor"/>
    </font>
    <font>
      <b/>
      <sz val="11"/>
      <color rgb="FF008000"/>
      <name val="Aptos Narrow"/>
      <family val="2"/>
      <scheme val="minor"/>
    </font>
    <font>
      <b/>
      <sz val="11"/>
      <color rgb="FFFF8C00"/>
      <name val="Aptos Narrow"/>
      <family val="2"/>
      <scheme val="minor"/>
    </font>
    <font>
      <b/>
      <sz val="11"/>
      <color rgb="FFFF0000"/>
      <name val="Aptos Narrow"/>
      <family val="2"/>
      <scheme val="minor"/>
    </font>
  </fonts>
  <fills count="3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1F4E79"/>
        <bgColor indexed="64"/>
      </patternFill>
    </fill>
    <fill>
      <patternFill patternType="solid">
        <fgColor rgb="FF2E75B6"/>
        <bgColor indexed="64"/>
      </patternFill>
    </fill>
    <fill>
      <patternFill patternType="solid">
        <fgColor rgb="FF548235"/>
        <bgColor indexed="64"/>
      </patternFill>
    </fill>
    <fill>
      <patternFill patternType="solid">
        <fgColor rgb="FFBF8F00"/>
        <bgColor indexed="64"/>
      </patternFill>
    </fill>
    <fill>
      <patternFill patternType="solid">
        <fgColor rgb="FFC00000"/>
        <bgColor indexed="64"/>
      </patternFill>
    </fill>
    <fill>
      <patternFill patternType="solid">
        <fgColor rgb="FF7030A0"/>
        <bgColor indexed="64"/>
      </patternFill>
    </fill>
    <fill>
      <patternFill patternType="solid">
        <fgColor rgb="FF2F5496"/>
        <bgColor indexed="64"/>
      </patternFill>
    </fill>
    <fill>
      <patternFill patternType="solid">
        <fgColor rgb="FF00B050"/>
        <bgColor indexed="64"/>
      </patternFill>
    </fill>
    <fill>
      <patternFill patternType="solid">
        <fgColor rgb="FFED7D31"/>
        <bgColor indexed="64"/>
      </patternFill>
    </fill>
    <fill>
      <patternFill patternType="solid">
        <fgColor rgb="FF404040"/>
        <bgColor indexed="64"/>
      </patternFill>
    </fill>
    <fill>
      <patternFill patternType="solid">
        <fgColor rgb="FF833C0B"/>
        <bgColor indexed="64"/>
      </patternFill>
    </fill>
    <fill>
      <patternFill patternType="solid">
        <fgColor rgb="FF4472C4"/>
        <bgColor indexed="64"/>
      </patternFill>
    </fill>
    <fill>
      <patternFill patternType="solid">
        <fgColor rgb="FF843C0C"/>
        <bgColor indexed="64"/>
      </patternFill>
    </fill>
    <fill>
      <patternFill patternType="solid">
        <fgColor rgb="FF538135"/>
        <bgColor indexed="64"/>
      </patternFill>
    </fill>
    <fill>
      <patternFill patternType="solid">
        <fgColor rgb="FFF2F2F2"/>
        <bgColor indexed="64"/>
      </patternFill>
    </fill>
    <fill>
      <patternFill patternType="solid">
        <fgColor rgb="FFF7F7F7"/>
        <bgColor indexed="64"/>
      </patternFill>
    </fill>
    <fill>
      <patternFill patternType="solid">
        <fgColor rgb="FFFFFFFF"/>
        <bgColor indexed="64"/>
      </patternFill>
    </fill>
    <fill>
      <patternFill patternType="solid">
        <fgColor rgb="FF00695C"/>
        <bgColor indexed="64"/>
      </patternFill>
    </fill>
    <fill>
      <patternFill patternType="solid">
        <fgColor rgb="FF37474F"/>
        <bgColor indexed="64"/>
      </patternFill>
    </fill>
    <fill>
      <patternFill patternType="solid">
        <fgColor rgb="FFD9E2F3"/>
        <bgColor indexed="64"/>
      </patternFill>
    </fill>
    <fill>
      <patternFill patternType="solid">
        <fgColor rgb="FFDAF2D0"/>
        <bgColor indexed="64"/>
      </patternFill>
    </fill>
    <fill>
      <patternFill patternType="solid">
        <fgColor rgb="FFFBE2D5"/>
        <bgColor indexed="64"/>
      </patternFill>
    </fill>
    <fill>
      <patternFill patternType="solid">
        <fgColor rgb="FFF2CEEF"/>
        <bgColor indexed="64"/>
      </patternFill>
    </fill>
    <fill>
      <patternFill patternType="solid">
        <fgColor rgb="FFE2EFDA"/>
        <bgColor indexed="64"/>
      </patternFill>
    </fill>
    <fill>
      <patternFill patternType="solid">
        <fgColor rgb="FFD6DCE4"/>
        <bgColor indexed="64"/>
      </patternFill>
    </fill>
    <fill>
      <patternFill patternType="solid">
        <fgColor rgb="FFBDD7EE"/>
        <bgColor indexed="64"/>
      </patternFill>
    </fill>
    <fill>
      <patternFill patternType="solid">
        <fgColor rgb="FFD6E4F0"/>
        <bgColor indexed="64"/>
      </patternFill>
    </fill>
    <fill>
      <patternFill patternType="solid">
        <fgColor rgb="FF7B2D8E"/>
        <bgColor indexed="64"/>
      </patternFill>
    </fill>
    <fill>
      <patternFill patternType="solid">
        <fgColor rgb="FFB4C6E7"/>
        <bgColor indexed="64"/>
      </patternFill>
    </fill>
  </fills>
  <borders count="5">
    <border>
      <left/>
      <right/>
      <top/>
      <bottom/>
      <diagonal/>
    </border>
    <border>
      <left/>
      <right/>
      <top/>
      <bottom style="medium">
        <color indexed="64"/>
      </bottom>
      <diagonal/>
    </border>
    <border>
      <left/>
      <right/>
      <top style="thin">
        <color indexed="64"/>
      </top>
      <bottom style="medium">
        <color indexed="64"/>
      </bottom>
      <diagonal/>
    </border>
    <border>
      <left/>
      <right/>
      <top/>
      <bottom style="medium">
        <color rgb="FF000000"/>
      </bottom>
      <diagonal/>
    </border>
    <border>
      <left/>
      <right/>
      <top/>
      <bottom style="thin">
        <color rgb="FF808080"/>
      </bottom>
      <diagonal/>
    </border>
  </borders>
  <cellStyleXfs count="2">
    <xf numFmtId="0" fontId="0" fillId="0" borderId="0"/>
    <xf numFmtId="9" fontId="1" fillId="0" borderId="0" applyFont="0" applyFill="0" applyBorder="0" applyAlignment="0" applyProtection="0"/>
  </cellStyleXfs>
  <cellXfs count="213">
    <xf numFmtId="0" fontId="0" fillId="0" borderId="0" xfId="0"/>
    <xf numFmtId="0" fontId="0" fillId="0" borderId="0" xfId="0" applyAlignment="1">
      <alignment vertical="center"/>
    </xf>
    <xf numFmtId="0" fontId="4" fillId="0" borderId="0" xfId="0" applyFont="1" applyAlignment="1">
      <alignment vertical="center"/>
    </xf>
    <xf numFmtId="0" fontId="0" fillId="0" borderId="0" xfId="0" applyAlignment="1">
      <alignment horizontal="center"/>
    </xf>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horizontal="left"/>
    </xf>
    <xf numFmtId="0" fontId="0" fillId="0" borderId="0" xfId="0" applyAlignment="1">
      <alignment horizontal="left" vertical="center" wrapText="1"/>
    </xf>
    <xf numFmtId="0" fontId="5" fillId="0" borderId="0" xfId="0" applyFont="1" applyAlignment="1">
      <alignment horizontal="left"/>
    </xf>
    <xf numFmtId="0" fontId="6" fillId="0" borderId="0" xfId="0" applyFont="1" applyAlignment="1">
      <alignment horizontal="left" vertical="center"/>
    </xf>
    <xf numFmtId="0" fontId="0" fillId="0" borderId="0" xfId="0" applyAlignment="1">
      <alignment horizontal="left" vertical="center"/>
    </xf>
    <xf numFmtId="0" fontId="3" fillId="0" borderId="1" xfId="0" applyFont="1" applyBorder="1" applyAlignment="1">
      <alignment horizontal="left" vertical="center" wrapText="1"/>
    </xf>
    <xf numFmtId="0" fontId="7" fillId="0" borderId="0" xfId="0" applyFont="1" applyAlignment="1">
      <alignment vertical="center"/>
    </xf>
    <xf numFmtId="0" fontId="5" fillId="0" borderId="0" xfId="0" applyFont="1"/>
    <xf numFmtId="0" fontId="0" fillId="2" borderId="0" xfId="0" applyFill="1" applyAlignment="1">
      <alignment horizontal="left" vertical="center" wrapText="1"/>
    </xf>
    <xf numFmtId="0" fontId="0" fillId="2" borderId="0" xfId="0" applyFill="1" applyAlignment="1">
      <alignment horizontal="left"/>
    </xf>
    <xf numFmtId="0" fontId="0" fillId="2" borderId="0" xfId="0" applyFill="1"/>
    <xf numFmtId="0" fontId="0" fillId="2" borderId="0" xfId="0" applyFill="1" applyAlignment="1">
      <alignment horizontal="left" vertical="center"/>
    </xf>
    <xf numFmtId="0" fontId="0" fillId="2" borderId="0" xfId="0" applyFill="1" applyAlignment="1">
      <alignment vertical="center"/>
    </xf>
    <xf numFmtId="0" fontId="0" fillId="3" borderId="0" xfId="0" applyFill="1"/>
    <xf numFmtId="0" fontId="0" fillId="3" borderId="0" xfId="0" applyFill="1" applyAlignment="1">
      <alignment horizontal="left"/>
    </xf>
    <xf numFmtId="0" fontId="0" fillId="3" borderId="0" xfId="0" quotePrefix="1" applyFill="1" applyAlignment="1">
      <alignment horizontal="left"/>
    </xf>
    <xf numFmtId="0" fontId="3" fillId="0" borderId="1" xfId="0" applyFont="1" applyBorder="1"/>
    <xf numFmtId="0" fontId="0" fillId="3" borderId="0" xfId="0" applyFill="1" applyAlignment="1">
      <alignment horizontal="left" vertical="center"/>
    </xf>
    <xf numFmtId="0" fontId="0" fillId="4" borderId="0" xfId="0" applyFill="1"/>
    <xf numFmtId="0" fontId="0" fillId="4" borderId="0" xfId="0" applyFill="1" applyAlignment="1">
      <alignment horizontal="left" vertical="center" wrapText="1"/>
    </xf>
    <xf numFmtId="0" fontId="0" fillId="3" borderId="0" xfId="0" applyFill="1" applyAlignment="1">
      <alignment horizontal="left" vertical="center" wrapText="1"/>
    </xf>
    <xf numFmtId="14" fontId="0" fillId="3" borderId="0" xfId="0" applyNumberFormat="1" applyFill="1" applyAlignment="1">
      <alignment horizontal="left" vertical="center" wrapText="1"/>
    </xf>
    <xf numFmtId="0" fontId="3" fillId="0" borderId="0" xfId="0" applyFont="1"/>
    <xf numFmtId="0" fontId="0" fillId="2" borderId="0" xfId="0" applyFill="1" applyAlignment="1">
      <alignment horizontal="center" vertical="center" wrapText="1"/>
    </xf>
    <xf numFmtId="0" fontId="0" fillId="3" borderId="0" xfId="0" applyFill="1" applyAlignment="1">
      <alignment horizontal="center"/>
    </xf>
    <xf numFmtId="0" fontId="0" fillId="3" borderId="0" xfId="0" quotePrefix="1" applyFill="1" applyAlignment="1">
      <alignment horizontal="center"/>
    </xf>
    <xf numFmtId="0" fontId="0" fillId="5" borderId="0" xfId="0" applyFill="1"/>
    <xf numFmtId="0" fontId="0" fillId="5" borderId="0" xfId="0" applyFill="1" applyAlignment="1">
      <alignment horizontal="left" vertical="center" wrapText="1"/>
    </xf>
    <xf numFmtId="0" fontId="0" fillId="0" borderId="0" xfId="0" applyAlignment="1">
      <alignment horizontal="center" vertical="center"/>
    </xf>
    <xf numFmtId="0" fontId="2" fillId="0" borderId="0" xfId="0" applyFont="1" applyAlignment="1">
      <alignment horizontal="center"/>
    </xf>
    <xf numFmtId="0" fontId="2" fillId="0" borderId="0" xfId="0" applyFont="1" applyAlignment="1">
      <alignment horizontal="center" vertical="center"/>
    </xf>
    <xf numFmtId="0" fontId="5" fillId="0" borderId="0" xfId="0" applyFont="1" applyAlignment="1">
      <alignment horizontal="center" vertical="center"/>
    </xf>
    <xf numFmtId="165" fontId="0" fillId="0" borderId="0" xfId="0" applyNumberFormat="1" applyAlignment="1">
      <alignment horizontal="left" vertical="center" wrapText="1"/>
    </xf>
    <xf numFmtId="1" fontId="0" fillId="3" borderId="0" xfId="0" applyNumberFormat="1" applyFill="1" applyAlignment="1">
      <alignment horizontal="left" vertical="center" wrapText="1"/>
    </xf>
    <xf numFmtId="0" fontId="0" fillId="0" borderId="2" xfId="0" applyBorder="1" applyAlignment="1">
      <alignment horizontal="center"/>
    </xf>
    <xf numFmtId="0" fontId="3" fillId="0" borderId="2" xfId="0" applyFont="1" applyBorder="1" applyAlignment="1">
      <alignment horizontal="center"/>
    </xf>
    <xf numFmtId="0" fontId="0" fillId="0" borderId="2" xfId="0" applyBorder="1"/>
    <xf numFmtId="0" fontId="3" fillId="0" borderId="0" xfId="0" applyFont="1" applyAlignment="1">
      <alignment horizontal="left"/>
    </xf>
    <xf numFmtId="0" fontId="9" fillId="6" borderId="0" xfId="0" applyFont="1" applyFill="1" applyAlignment="1">
      <alignment horizontal="center"/>
    </xf>
    <xf numFmtId="0" fontId="9" fillId="7" borderId="0" xfId="0" applyFont="1" applyFill="1" applyAlignment="1">
      <alignment horizontal="center"/>
    </xf>
    <xf numFmtId="0" fontId="9" fillId="8" borderId="0" xfId="0" applyFont="1" applyFill="1" applyAlignment="1">
      <alignment horizontal="center"/>
    </xf>
    <xf numFmtId="0" fontId="9" fillId="9" borderId="0" xfId="0" applyFont="1" applyFill="1" applyAlignment="1">
      <alignment horizontal="center"/>
    </xf>
    <xf numFmtId="0" fontId="9" fillId="10" borderId="0" xfId="0" applyFont="1" applyFill="1" applyAlignment="1">
      <alignment horizontal="center"/>
    </xf>
    <xf numFmtId="0" fontId="9" fillId="11" borderId="0" xfId="0" applyFont="1" applyFill="1" applyAlignment="1">
      <alignment horizontal="center"/>
    </xf>
    <xf numFmtId="0" fontId="9" fillId="12" borderId="0" xfId="0" applyFont="1" applyFill="1" applyAlignment="1">
      <alignment horizontal="center"/>
    </xf>
    <xf numFmtId="0" fontId="9" fillId="13" borderId="0" xfId="0" applyFont="1" applyFill="1" applyAlignment="1">
      <alignment horizontal="center"/>
    </xf>
    <xf numFmtId="0" fontId="9" fillId="14" borderId="0" xfId="0" applyFont="1" applyFill="1" applyAlignment="1">
      <alignment horizontal="center"/>
    </xf>
    <xf numFmtId="0" fontId="9" fillId="15" borderId="0" xfId="0" applyFont="1" applyFill="1" applyAlignment="1">
      <alignment horizontal="center"/>
    </xf>
    <xf numFmtId="0" fontId="9" fillId="16" borderId="0" xfId="0" applyFont="1" applyFill="1" applyAlignment="1">
      <alignment horizontal="center"/>
    </xf>
    <xf numFmtId="0" fontId="9" fillId="17" borderId="0" xfId="0" applyFont="1" applyFill="1" applyAlignment="1">
      <alignment horizontal="center"/>
    </xf>
    <xf numFmtId="0" fontId="9" fillId="18" borderId="0" xfId="0" applyFont="1" applyFill="1" applyAlignment="1">
      <alignment horizontal="center"/>
    </xf>
    <xf numFmtId="0" fontId="9" fillId="19" borderId="0" xfId="0" applyFont="1" applyFill="1" applyAlignment="1">
      <alignment horizontal="center"/>
    </xf>
    <xf numFmtId="0" fontId="10" fillId="0" borderId="0" xfId="0" applyFont="1" applyAlignment="1">
      <alignment horizontal="center"/>
    </xf>
    <xf numFmtId="0" fontId="11" fillId="20" borderId="3" xfId="0" applyFont="1" applyFill="1" applyBorder="1" applyAlignment="1">
      <alignment horizontal="center"/>
    </xf>
    <xf numFmtId="0" fontId="0" fillId="21" borderId="0" xfId="0" applyFill="1"/>
    <xf numFmtId="166" fontId="0" fillId="21" borderId="0" xfId="0" applyNumberFormat="1" applyFill="1"/>
    <xf numFmtId="18" fontId="0" fillId="21" borderId="0" xfId="0" applyNumberFormat="1" applyFill="1"/>
    <xf numFmtId="10" fontId="0" fillId="21" borderId="0" xfId="0" applyNumberFormat="1" applyFill="1"/>
    <xf numFmtId="0" fontId="0" fillId="22" borderId="0" xfId="0" applyFill="1"/>
    <xf numFmtId="166" fontId="0" fillId="22" borderId="0" xfId="0" applyNumberFormat="1" applyFill="1"/>
    <xf numFmtId="18" fontId="0" fillId="22" borderId="0" xfId="0" applyNumberFormat="1" applyFill="1"/>
    <xf numFmtId="10" fontId="0" fillId="22" borderId="0" xfId="0" applyNumberFormat="1" applyFill="1"/>
    <xf numFmtId="0" fontId="0" fillId="22" borderId="4" xfId="0" applyFill="1" applyBorder="1"/>
    <xf numFmtId="166" fontId="0" fillId="22" borderId="4" xfId="0" applyNumberFormat="1" applyFill="1" applyBorder="1"/>
    <xf numFmtId="18" fontId="0" fillId="22" borderId="4" xfId="0" applyNumberFormat="1" applyFill="1" applyBorder="1"/>
    <xf numFmtId="10" fontId="0" fillId="22" borderId="4" xfId="0" applyNumberFormat="1" applyFill="1" applyBorder="1"/>
    <xf numFmtId="0" fontId="9" fillId="23" borderId="0" xfId="0" applyFont="1" applyFill="1" applyAlignment="1">
      <alignment horizontal="center"/>
    </xf>
    <xf numFmtId="0" fontId="9" fillId="24" borderId="0" xfId="0" applyFont="1" applyFill="1" applyAlignment="1">
      <alignment horizontal="center"/>
    </xf>
    <xf numFmtId="0" fontId="12" fillId="2" borderId="0" xfId="0" applyFont="1" applyFill="1" applyAlignment="1">
      <alignment horizontal="left"/>
    </xf>
    <xf numFmtId="0" fontId="12" fillId="2" borderId="0" xfId="0" applyFont="1" applyFill="1" applyAlignment="1">
      <alignment horizontal="left" vertical="center" wrapText="1"/>
    </xf>
    <xf numFmtId="0" fontId="12" fillId="2" borderId="0" xfId="0" applyFont="1" applyFill="1" applyAlignment="1">
      <alignment horizontal="center" vertical="center" wrapText="1"/>
    </xf>
    <xf numFmtId="0" fontId="13" fillId="0" borderId="0" xfId="0" applyFont="1"/>
    <xf numFmtId="0" fontId="14" fillId="0" borderId="0" xfId="0" applyFont="1"/>
    <xf numFmtId="0" fontId="15" fillId="25" borderId="0" xfId="0" applyFont="1" applyFill="1"/>
    <xf numFmtId="0" fontId="15" fillId="25" borderId="0" xfId="0" applyFont="1" applyFill="1" applyAlignment="1">
      <alignment horizontal="center"/>
    </xf>
    <xf numFmtId="0" fontId="15" fillId="26" borderId="0" xfId="0" applyFont="1" applyFill="1"/>
    <xf numFmtId="0" fontId="14" fillId="26" borderId="0" xfId="0" applyFont="1" applyFill="1"/>
    <xf numFmtId="0" fontId="15" fillId="22" borderId="0" xfId="0" applyFont="1" applyFill="1"/>
    <xf numFmtId="0" fontId="14" fillId="22" borderId="0" xfId="0" applyFont="1" applyFill="1"/>
    <xf numFmtId="0" fontId="15" fillId="27" borderId="0" xfId="0" applyFont="1" applyFill="1"/>
    <xf numFmtId="0" fontId="14" fillId="27" borderId="0" xfId="0" applyFont="1" applyFill="1"/>
    <xf numFmtId="0" fontId="15" fillId="28" borderId="0" xfId="0" applyFont="1" applyFill="1"/>
    <xf numFmtId="0" fontId="14" fillId="28" borderId="0" xfId="0" applyFont="1" applyFill="1"/>
    <xf numFmtId="0" fontId="15" fillId="2" borderId="0" xfId="0" applyFont="1" applyFill="1"/>
    <xf numFmtId="0" fontId="14" fillId="2" borderId="0" xfId="0" applyFont="1" applyFill="1"/>
    <xf numFmtId="166" fontId="14" fillId="26" borderId="0" xfId="0" applyNumberFormat="1" applyFont="1" applyFill="1"/>
    <xf numFmtId="1" fontId="14" fillId="26" borderId="0" xfId="0" applyNumberFormat="1" applyFont="1" applyFill="1"/>
    <xf numFmtId="1" fontId="14" fillId="27" borderId="0" xfId="0" applyNumberFormat="1" applyFont="1" applyFill="1"/>
    <xf numFmtId="166" fontId="14" fillId="26" borderId="0" xfId="0" applyNumberFormat="1" applyFont="1" applyFill="1" applyAlignment="1">
      <alignment horizontal="center"/>
    </xf>
    <xf numFmtId="165" fontId="0" fillId="3" borderId="0" xfId="0" applyNumberFormat="1" applyFill="1" applyAlignment="1">
      <alignment horizontal="center" vertical="center" wrapText="1"/>
    </xf>
    <xf numFmtId="0" fontId="14" fillId="26" borderId="0" xfId="0" applyFont="1" applyFill="1" applyAlignment="1">
      <alignment horizontal="center"/>
    </xf>
    <xf numFmtId="0" fontId="14" fillId="0" borderId="0" xfId="0" applyFont="1" applyAlignment="1">
      <alignment horizontal="center"/>
    </xf>
    <xf numFmtId="9" fontId="14" fillId="0" borderId="0" xfId="0" applyNumberFormat="1" applyFont="1" applyAlignment="1">
      <alignment horizontal="center"/>
    </xf>
    <xf numFmtId="1" fontId="14" fillId="27" borderId="0" xfId="0" applyNumberFormat="1" applyFont="1" applyFill="1" applyAlignment="1">
      <alignment horizontal="center"/>
    </xf>
    <xf numFmtId="0" fontId="14" fillId="27" borderId="0" xfId="0" applyFont="1" applyFill="1" applyAlignment="1">
      <alignment horizontal="center"/>
    </xf>
    <xf numFmtId="0" fontId="14" fillId="28" borderId="0" xfId="0" applyFont="1" applyFill="1" applyAlignment="1">
      <alignment horizontal="center"/>
    </xf>
    <xf numFmtId="0" fontId="14" fillId="2" borderId="0" xfId="0" applyFont="1" applyFill="1" applyAlignment="1">
      <alignment horizontal="center"/>
    </xf>
    <xf numFmtId="167" fontId="14" fillId="26" borderId="0" xfId="0" applyNumberFormat="1" applyFont="1" applyFill="1" applyAlignment="1">
      <alignment horizontal="center"/>
    </xf>
    <xf numFmtId="1" fontId="14" fillId="0" borderId="0" xfId="0" applyNumberFormat="1" applyFont="1" applyAlignment="1">
      <alignment horizontal="center"/>
    </xf>
    <xf numFmtId="164" fontId="14" fillId="27" borderId="0" xfId="1" applyNumberFormat="1" applyFont="1" applyFill="1" applyAlignment="1">
      <alignment horizontal="center"/>
    </xf>
    <xf numFmtId="2" fontId="14" fillId="26" borderId="0" xfId="0" applyNumberFormat="1" applyFont="1" applyFill="1" applyAlignment="1">
      <alignment horizontal="center"/>
    </xf>
    <xf numFmtId="167" fontId="14" fillId="27" borderId="0" xfId="0" applyNumberFormat="1" applyFont="1" applyFill="1" applyAlignment="1">
      <alignment horizontal="center"/>
    </xf>
    <xf numFmtId="166" fontId="0" fillId="0" borderId="0" xfId="0" applyNumberFormat="1"/>
    <xf numFmtId="18" fontId="0" fillId="0" borderId="0" xfId="0" applyNumberFormat="1"/>
    <xf numFmtId="10" fontId="0" fillId="0" borderId="0" xfId="0" applyNumberFormat="1"/>
    <xf numFmtId="0" fontId="18" fillId="0" borderId="0" xfId="0" applyFont="1"/>
    <xf numFmtId="0" fontId="19" fillId="0" borderId="0" xfId="0" applyFont="1"/>
    <xf numFmtId="0" fontId="3" fillId="29" borderId="0" xfId="0" applyFont="1" applyFill="1"/>
    <xf numFmtId="0" fontId="21" fillId="29" borderId="0" xfId="0" applyFont="1" applyFill="1"/>
    <xf numFmtId="0" fontId="22" fillId="0" borderId="0" xfId="0" applyFont="1"/>
    <xf numFmtId="0" fontId="23" fillId="0" borderId="0" xfId="0" applyFont="1"/>
    <xf numFmtId="0" fontId="3" fillId="25" borderId="0" xfId="0" applyFont="1" applyFill="1"/>
    <xf numFmtId="0" fontId="3" fillId="25" borderId="0" xfId="0" applyFont="1" applyFill="1" applyAlignment="1">
      <alignment horizontal="center"/>
    </xf>
    <xf numFmtId="0" fontId="0" fillId="26" borderId="0" xfId="0" applyFill="1"/>
    <xf numFmtId="0" fontId="3" fillId="26" borderId="0" xfId="0" applyFont="1" applyFill="1"/>
    <xf numFmtId="0" fontId="0" fillId="27" borderId="0" xfId="0" applyFill="1"/>
    <xf numFmtId="0" fontId="3" fillId="27" borderId="0" xfId="0" applyFont="1" applyFill="1"/>
    <xf numFmtId="0" fontId="0" fillId="30" borderId="0" xfId="0" applyFill="1"/>
    <xf numFmtId="0" fontId="3" fillId="30" borderId="0" xfId="0" applyFont="1" applyFill="1"/>
    <xf numFmtId="0" fontId="0" fillId="28" borderId="0" xfId="0" applyFill="1"/>
    <xf numFmtId="0" fontId="3" fillId="28" borderId="0" xfId="0" applyFont="1" applyFill="1"/>
    <xf numFmtId="0" fontId="3" fillId="2" borderId="0" xfId="0" applyFont="1" applyFill="1"/>
    <xf numFmtId="0" fontId="0" fillId="31" borderId="0" xfId="0" applyFill="1"/>
    <xf numFmtId="0" fontId="3" fillId="31" borderId="0" xfId="0" applyFont="1" applyFill="1"/>
    <xf numFmtId="0" fontId="0" fillId="29" borderId="0" xfId="0" applyFill="1"/>
    <xf numFmtId="0" fontId="0" fillId="22" borderId="0" xfId="0" applyFill="1" applyAlignment="1">
      <alignment horizontal="center"/>
    </xf>
    <xf numFmtId="0" fontId="0" fillId="26" borderId="0" xfId="0" applyFill="1" applyAlignment="1">
      <alignment horizontal="center"/>
    </xf>
    <xf numFmtId="0" fontId="0" fillId="27" borderId="0" xfId="0" applyFill="1" applyAlignment="1">
      <alignment horizontal="center"/>
    </xf>
    <xf numFmtId="0" fontId="0" fillId="30" borderId="0" xfId="0" applyFill="1" applyAlignment="1">
      <alignment horizontal="center"/>
    </xf>
    <xf numFmtId="0" fontId="0" fillId="28" borderId="0" xfId="0" applyFill="1" applyAlignment="1">
      <alignment horizontal="center"/>
    </xf>
    <xf numFmtId="0" fontId="0" fillId="2" borderId="0" xfId="0" applyFill="1" applyAlignment="1">
      <alignment horizontal="center"/>
    </xf>
    <xf numFmtId="0" fontId="0" fillId="31" borderId="0" xfId="0" applyFill="1" applyAlignment="1">
      <alignment horizontal="center"/>
    </xf>
    <xf numFmtId="0" fontId="0" fillId="29" borderId="0" xfId="0" applyFill="1" applyAlignment="1">
      <alignment horizontal="center"/>
    </xf>
    <xf numFmtId="166" fontId="0" fillId="26" borderId="0" xfId="0" applyNumberFormat="1" applyFill="1" applyAlignment="1">
      <alignment horizontal="center"/>
    </xf>
    <xf numFmtId="165" fontId="0" fillId="26" borderId="0" xfId="0" applyNumberFormat="1" applyFill="1" applyAlignment="1">
      <alignment horizontal="center"/>
    </xf>
    <xf numFmtId="167" fontId="0" fillId="26" borderId="0" xfId="0" applyNumberFormat="1" applyFill="1" applyAlignment="1">
      <alignment horizontal="center"/>
    </xf>
    <xf numFmtId="2" fontId="0" fillId="26" borderId="0" xfId="0" applyNumberFormat="1" applyFill="1" applyAlignment="1">
      <alignment horizontal="center"/>
    </xf>
    <xf numFmtId="167" fontId="0" fillId="27" borderId="0" xfId="0" applyNumberFormat="1" applyFill="1" applyAlignment="1">
      <alignment horizontal="center"/>
    </xf>
    <xf numFmtId="164" fontId="0" fillId="27" borderId="0" xfId="0" applyNumberFormat="1" applyFill="1" applyAlignment="1">
      <alignment horizontal="center"/>
    </xf>
    <xf numFmtId="9" fontId="0" fillId="30" borderId="0" xfId="0" applyNumberFormat="1" applyFill="1" applyAlignment="1">
      <alignment horizontal="center"/>
    </xf>
    <xf numFmtId="0" fontId="0" fillId="31" borderId="0" xfId="0" applyFill="1" applyAlignment="1">
      <alignment horizontal="center" vertical="center"/>
    </xf>
    <xf numFmtId="167" fontId="0" fillId="3" borderId="0" xfId="0" applyNumberFormat="1" applyFill="1" applyAlignment="1">
      <alignment horizontal="left" vertical="center" wrapText="1"/>
    </xf>
    <xf numFmtId="0" fontId="21" fillId="29" borderId="0" xfId="0" applyFont="1" applyFill="1" applyAlignment="1">
      <alignment horizontal="center"/>
    </xf>
    <xf numFmtId="0" fontId="22" fillId="0" borderId="0" xfId="0" applyFont="1" applyAlignment="1">
      <alignment horizontal="center"/>
    </xf>
    <xf numFmtId="3" fontId="22" fillId="0" borderId="0" xfId="0" applyNumberFormat="1" applyFont="1" applyAlignment="1">
      <alignment horizontal="center"/>
    </xf>
    <xf numFmtId="10" fontId="22" fillId="0" borderId="0" xfId="0" applyNumberFormat="1" applyFont="1" applyAlignment="1">
      <alignment horizontal="center"/>
    </xf>
    <xf numFmtId="0" fontId="3" fillId="32" borderId="0" xfId="0" applyFont="1" applyFill="1"/>
    <xf numFmtId="0" fontId="0" fillId="32" borderId="0" xfId="0" applyFill="1" applyAlignment="1">
      <alignment horizontal="center"/>
    </xf>
    <xf numFmtId="164" fontId="0" fillId="32" borderId="0" xfId="0" applyNumberFormat="1" applyFill="1" applyAlignment="1">
      <alignment horizontal="center"/>
    </xf>
    <xf numFmtId="164" fontId="0" fillId="0" borderId="0" xfId="0" applyNumberFormat="1" applyAlignment="1">
      <alignment horizontal="center"/>
    </xf>
    <xf numFmtId="0" fontId="9" fillId="7" borderId="0" xfId="0" applyFont="1" applyFill="1"/>
    <xf numFmtId="0" fontId="3" fillId="32" borderId="0" xfId="0" applyFont="1" applyFill="1" applyAlignment="1">
      <alignment horizontal="center"/>
    </xf>
    <xf numFmtId="167" fontId="0" fillId="0" borderId="0" xfId="0" applyNumberFormat="1" applyAlignment="1">
      <alignment horizontal="center"/>
    </xf>
    <xf numFmtId="0" fontId="24" fillId="0" borderId="0" xfId="0" applyFont="1"/>
    <xf numFmtId="0" fontId="25" fillId="6" borderId="0" xfId="0" applyFont="1" applyFill="1"/>
    <xf numFmtId="0" fontId="26" fillId="0" borderId="0" xfId="0" applyFont="1"/>
    <xf numFmtId="2" fontId="0" fillId="0" borderId="0" xfId="0" applyNumberFormat="1" applyAlignment="1">
      <alignment horizontal="center"/>
    </xf>
    <xf numFmtId="0" fontId="27" fillId="0" borderId="0" xfId="0" applyFont="1" applyAlignment="1">
      <alignment horizontal="center"/>
    </xf>
    <xf numFmtId="0" fontId="28" fillId="0" borderId="0" xfId="0" applyFont="1"/>
    <xf numFmtId="164" fontId="27" fillId="0" borderId="0" xfId="0" applyNumberFormat="1" applyFont="1" applyAlignment="1">
      <alignment horizontal="center"/>
    </xf>
    <xf numFmtId="3" fontId="0" fillId="0" borderId="0" xfId="0" applyNumberFormat="1" applyAlignment="1">
      <alignment horizontal="center"/>
    </xf>
    <xf numFmtId="3" fontId="27" fillId="0" borderId="0" xfId="0" applyNumberFormat="1" applyFont="1" applyAlignment="1">
      <alignment horizontal="center"/>
    </xf>
    <xf numFmtId="1" fontId="0" fillId="0" borderId="0" xfId="0" applyNumberFormat="1" applyAlignment="1">
      <alignment horizontal="center"/>
    </xf>
    <xf numFmtId="166" fontId="0" fillId="0" borderId="0" xfId="0" applyNumberFormat="1" applyAlignment="1">
      <alignment horizontal="center"/>
    </xf>
    <xf numFmtId="0" fontId="29" fillId="0" borderId="0" xfId="0" applyFont="1" applyAlignment="1">
      <alignment horizontal="center"/>
    </xf>
    <xf numFmtId="168" fontId="3" fillId="0" borderId="0" xfId="0" applyNumberFormat="1" applyFont="1" applyAlignment="1">
      <alignment horizontal="center"/>
    </xf>
    <xf numFmtId="0" fontId="9" fillId="33" borderId="0" xfId="0" applyFont="1" applyFill="1" applyAlignment="1">
      <alignment horizontal="center"/>
    </xf>
    <xf numFmtId="168" fontId="27" fillId="0" borderId="0" xfId="0" applyNumberFormat="1" applyFont="1" applyAlignment="1">
      <alignment horizontal="center"/>
    </xf>
    <xf numFmtId="0" fontId="30" fillId="0" borderId="0" xfId="0" applyFont="1"/>
    <xf numFmtId="0" fontId="31" fillId="0" borderId="0" xfId="0" applyFont="1" applyAlignment="1">
      <alignment horizontal="center"/>
    </xf>
    <xf numFmtId="0" fontId="32" fillId="0" borderId="0" xfId="0" applyFont="1"/>
    <xf numFmtId="10" fontId="0" fillId="2" borderId="0" xfId="1" applyNumberFormat="1" applyFont="1" applyFill="1" applyAlignment="1">
      <alignment horizontal="left" vertical="center" wrapText="1"/>
    </xf>
    <xf numFmtId="164" fontId="0" fillId="2" borderId="0" xfId="1" applyNumberFormat="1" applyFont="1" applyFill="1" applyAlignment="1">
      <alignment horizontal="left" vertical="center" wrapText="1"/>
    </xf>
    <xf numFmtId="9" fontId="0" fillId="27" borderId="0" xfId="1" applyFont="1" applyFill="1" applyAlignment="1">
      <alignment horizontal="center"/>
    </xf>
    <xf numFmtId="0" fontId="33" fillId="31" borderId="0" xfId="0" applyFont="1" applyFill="1" applyAlignment="1">
      <alignment horizontal="center" vertical="center" wrapText="1"/>
    </xf>
    <xf numFmtId="0" fontId="20" fillId="25" borderId="0" xfId="0" applyFont="1" applyFill="1"/>
    <xf numFmtId="0" fontId="34" fillId="22" borderId="0" xfId="0" applyFont="1" applyFill="1"/>
    <xf numFmtId="0" fontId="34" fillId="22" borderId="0" xfId="0" applyFont="1" applyFill="1" applyAlignment="1">
      <alignment horizontal="center"/>
    </xf>
    <xf numFmtId="3" fontId="34" fillId="22" borderId="0" xfId="0" applyNumberFormat="1" applyFont="1" applyFill="1" applyAlignment="1">
      <alignment horizontal="center"/>
    </xf>
    <xf numFmtId="0" fontId="12" fillId="22" borderId="0" xfId="0" applyFont="1" applyFill="1"/>
    <xf numFmtId="0" fontId="35" fillId="22" borderId="0" xfId="0" applyFont="1" applyFill="1"/>
    <xf numFmtId="0" fontId="35" fillId="29" borderId="0" xfId="0" applyFont="1" applyFill="1"/>
    <xf numFmtId="0" fontId="35" fillId="29" borderId="0" xfId="0" applyFont="1" applyFill="1" applyAlignment="1">
      <alignment horizontal="center"/>
    </xf>
    <xf numFmtId="0" fontId="36" fillId="0" borderId="0" xfId="0" applyFont="1"/>
    <xf numFmtId="0" fontId="37" fillId="6" borderId="0" xfId="0" applyFont="1" applyFill="1"/>
    <xf numFmtId="0" fontId="0" fillId="6" borderId="0" xfId="0" applyFill="1"/>
    <xf numFmtId="0" fontId="38" fillId="32" borderId="0" xfId="0" applyFont="1" applyFill="1"/>
    <xf numFmtId="0" fontId="38" fillId="32" borderId="0" xfId="0" applyFont="1" applyFill="1" applyAlignment="1">
      <alignment horizontal="center"/>
    </xf>
    <xf numFmtId="0" fontId="38" fillId="26" borderId="0" xfId="0" applyFont="1" applyFill="1" applyAlignment="1">
      <alignment horizontal="center"/>
    </xf>
    <xf numFmtId="0" fontId="38" fillId="27" borderId="0" xfId="0" applyFont="1" applyFill="1" applyAlignment="1">
      <alignment horizontal="center"/>
    </xf>
    <xf numFmtId="0" fontId="38" fillId="34" borderId="0" xfId="0" applyFont="1" applyFill="1" applyAlignment="1">
      <alignment horizontal="center"/>
    </xf>
    <xf numFmtId="0" fontId="38" fillId="2" borderId="0" xfId="0" applyFont="1" applyFill="1" applyAlignment="1">
      <alignment horizontal="center"/>
    </xf>
    <xf numFmtId="167" fontId="0" fillId="29" borderId="0" xfId="0" applyNumberFormat="1" applyFill="1" applyAlignment="1">
      <alignment horizontal="center"/>
    </xf>
    <xf numFmtId="164" fontId="0" fillId="29" borderId="0" xfId="0" applyNumberFormat="1" applyFill="1" applyAlignment="1">
      <alignment horizontal="center"/>
    </xf>
    <xf numFmtId="0" fontId="39" fillId="0" borderId="0" xfId="0" applyFont="1"/>
    <xf numFmtId="0" fontId="3" fillId="29" borderId="0" xfId="0" applyFont="1" applyFill="1" applyAlignment="1">
      <alignment horizontal="center"/>
    </xf>
    <xf numFmtId="9" fontId="0" fillId="0" borderId="0" xfId="0" applyNumberFormat="1" applyAlignment="1">
      <alignment horizontal="center"/>
    </xf>
    <xf numFmtId="0" fontId="40" fillId="0" borderId="0" xfId="0" applyFont="1" applyAlignment="1">
      <alignment horizontal="center"/>
    </xf>
    <xf numFmtId="0" fontId="41" fillId="0" borderId="0" xfId="0" applyFont="1" applyAlignment="1">
      <alignment horizontal="center"/>
    </xf>
    <xf numFmtId="0" fontId="42" fillId="0" borderId="0" xfId="0" applyFont="1" applyAlignment="1">
      <alignment horizontal="center"/>
    </xf>
    <xf numFmtId="0" fontId="0" fillId="0" borderId="0" xfId="0" applyAlignment="1">
      <alignment wrapText="1"/>
    </xf>
    <xf numFmtId="0" fontId="21" fillId="0" borderId="0" xfId="0" applyFont="1"/>
    <xf numFmtId="0" fontId="0" fillId="0" borderId="0" xfId="0"/>
    <xf numFmtId="0" fontId="20" fillId="25" borderId="0" xfId="0" applyFont="1" applyFill="1"/>
    <xf numFmtId="0" fontId="14" fillId="0" borderId="0" xfId="0" applyFont="1" applyAlignment="1">
      <alignment wrapText="1"/>
    </xf>
  </cellXfs>
  <cellStyles count="2">
    <cellStyle name="Normal" xfId="0" builtinId="0"/>
    <cellStyle name="Percent" xfId="1" builtinId="5"/>
  </cellStyles>
  <dxfs count="45">
    <dxf>
      <font>
        <color rgb="FF9C0006"/>
      </font>
      <fill>
        <patternFill patternType="solid">
          <fgColor indexed="64"/>
          <bgColor rgb="FFFFC7CE"/>
        </patternFill>
      </fill>
    </dxf>
    <dxf>
      <font>
        <color rgb="FF00338D"/>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338D"/>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338D"/>
      </font>
      <fill>
        <patternFill patternType="solid">
          <fgColor indexed="64"/>
          <bgColor rgb="FFD6E4F0"/>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338D"/>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338D"/>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338D"/>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338D"/>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3366"/>
      </font>
      <fill>
        <patternFill patternType="solid">
          <fgColor indexed="64"/>
          <bgColor rgb="FFBDD7E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00338D"/>
      </font>
      <fill>
        <patternFill patternType="solid">
          <fgColor indexed="64"/>
          <bgColor rgb="FFD6E4F0"/>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338D"/>
      </font>
      <fill>
        <patternFill patternType="solid">
          <fgColor indexed="64"/>
          <bgColor rgb="FFD6E4F0"/>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00338D"/>
      </font>
      <fill>
        <patternFill patternType="solid">
          <fgColor indexed="64"/>
          <bgColor rgb="FFD6E4F0"/>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338D"/>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338D"/>
      </font>
      <fill>
        <patternFill patternType="solid">
          <fgColor indexed="64"/>
          <bgColor rgb="FFD6E4F0"/>
        </patternFill>
      </fill>
    </dxf>
    <dxf>
      <font>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Sleep Score Recovery Arc (Avg)</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Sleep!$H$82</c:f>
              <c:strCache>
                <c:ptCount val="1"/>
                <c:pt idx="0">
                  <c:v>Average</c:v>
                </c:pt>
              </c:strCache>
            </c:strRef>
          </c:tx>
          <c:spPr>
            <a:solidFill>
              <a:schemeClr val="accent1"/>
            </a:solidFill>
            <a:ln>
              <a:noFill/>
            </a:ln>
            <a:effectLst/>
          </c:spPr>
          <c:invertIfNegative val="0"/>
          <c:cat>
            <c:strRef>
              <c:f>Sleep!$I$81:$K$81</c:f>
              <c:strCache>
                <c:ptCount val="3"/>
                <c:pt idx="0">
                  <c:v>Pre</c:v>
                </c:pt>
                <c:pt idx="1">
                  <c:v>Post</c:v>
                </c:pt>
                <c:pt idx="2">
                  <c:v>Day 2</c:v>
                </c:pt>
              </c:strCache>
            </c:strRef>
          </c:cat>
          <c:val>
            <c:numRef>
              <c:f>Sleep!$I$82:$K$82</c:f>
              <c:numCache>
                <c:formatCode>0.0</c:formatCode>
                <c:ptCount val="3"/>
                <c:pt idx="0">
                  <c:v>71.9375</c:v>
                </c:pt>
                <c:pt idx="1">
                  <c:v>56.733333333333334</c:v>
                </c:pt>
                <c:pt idx="2">
                  <c:v>68.333333333333329</c:v>
                </c:pt>
              </c:numCache>
            </c:numRef>
          </c:val>
          <c:extLst>
            <c:ext xmlns:c16="http://schemas.microsoft.com/office/drawing/2014/chart" uri="{C3380CC4-5D6E-409C-BE32-E72D297353CC}">
              <c16:uniqueId val="{00000000-2D7D-444D-A137-841D772356E1}"/>
            </c:ext>
          </c:extLst>
        </c:ser>
        <c:dLbls>
          <c:showLegendKey val="0"/>
          <c:showVal val="0"/>
          <c:showCatName val="0"/>
          <c:showSerName val="0"/>
          <c:showPercent val="0"/>
          <c:showBubbleSize val="0"/>
        </c:dLbls>
        <c:gapWidth val="219"/>
        <c:overlap val="-27"/>
        <c:axId val="744080447"/>
        <c:axId val="744082367"/>
      </c:barChart>
      <c:catAx>
        <c:axId val="74408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082367"/>
        <c:crosses val="autoZero"/>
        <c:auto val="1"/>
        <c:lblAlgn val="ctr"/>
        <c:lblOffset val="100"/>
        <c:noMultiLvlLbl val="0"/>
      </c:catAx>
      <c:valAx>
        <c:axId val="744082367"/>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08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HRV Trajectory Pre→Post→Day2 (ms)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Sleep!$H$85</c:f>
              <c:strCache>
                <c:ptCount val="1"/>
                <c:pt idx="0">
                  <c:v>Average</c:v>
                </c:pt>
              </c:strCache>
            </c:strRef>
          </c:tx>
          <c:spPr>
            <a:ln w="28575" cap="rnd">
              <a:solidFill>
                <a:srgbClr val="1F4E79"/>
              </a:solidFill>
              <a:prstDash val="solid"/>
              <a:round/>
            </a:ln>
            <a:effectLst/>
          </c:spPr>
          <c:marker>
            <c:symbol val="circle"/>
            <c:size val="10"/>
            <c:spPr>
              <a:solidFill>
                <a:schemeClr val="accent1"/>
              </a:solidFill>
              <a:ln w="9525">
                <a:solidFill>
                  <a:schemeClr val="accent1"/>
                </a:solidFill>
              </a:ln>
              <a:effectLst/>
            </c:spPr>
          </c:marker>
          <c:cat>
            <c:strRef>
              <c:f>Sleep!$I$84:$K$84</c:f>
              <c:strCache>
                <c:ptCount val="3"/>
                <c:pt idx="0">
                  <c:v>Pre</c:v>
                </c:pt>
                <c:pt idx="1">
                  <c:v>Post</c:v>
                </c:pt>
                <c:pt idx="2">
                  <c:v>Day 2</c:v>
                </c:pt>
              </c:strCache>
            </c:strRef>
          </c:cat>
          <c:val>
            <c:numRef>
              <c:f>Sleep!$I$85:$K$85</c:f>
              <c:numCache>
                <c:formatCode>0.0</c:formatCode>
                <c:ptCount val="3"/>
                <c:pt idx="0">
                  <c:v>36.5625</c:v>
                </c:pt>
                <c:pt idx="1">
                  <c:v>28.266666666666666</c:v>
                </c:pt>
                <c:pt idx="2">
                  <c:v>38.733333333333334</c:v>
                </c:pt>
              </c:numCache>
            </c:numRef>
          </c:val>
          <c:smooth val="0"/>
          <c:extLst>
            <c:ext xmlns:c16="http://schemas.microsoft.com/office/drawing/2014/chart" uri="{C3380CC4-5D6E-409C-BE32-E72D297353CC}">
              <c16:uniqueId val="{00000000-97E3-48A6-BCEA-9135649FBDED}"/>
            </c:ext>
          </c:extLst>
        </c:ser>
        <c:dLbls>
          <c:showLegendKey val="0"/>
          <c:showVal val="0"/>
          <c:showCatName val="0"/>
          <c:showSerName val="0"/>
          <c:showPercent val="0"/>
          <c:showBubbleSize val="0"/>
        </c:dLbls>
        <c:marker val="1"/>
        <c:smooth val="0"/>
        <c:axId val="710797279"/>
        <c:axId val="831038255"/>
      </c:lineChart>
      <c:catAx>
        <c:axId val="71079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38255"/>
        <c:crosses val="autoZero"/>
        <c:auto val="1"/>
        <c:lblAlgn val="ctr"/>
        <c:lblOffset val="100"/>
        <c:noMultiLvlLbl val="0"/>
      </c:catAx>
      <c:valAx>
        <c:axId val="831038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HRV (ms)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79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Sleep Architecture: Deep% vs REM% by Phase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Sleep!$H$88</c:f>
              <c:strCache>
                <c:ptCount val="1"/>
                <c:pt idx="0">
                  <c:v>Deep %</c:v>
                </c:pt>
              </c:strCache>
            </c:strRef>
          </c:tx>
          <c:spPr>
            <a:solidFill>
              <a:srgbClr val="1F4E79"/>
            </a:solidFill>
            <a:ln>
              <a:noFill/>
            </a:ln>
            <a:effectLst/>
          </c:spPr>
          <c:invertIfNegative val="0"/>
          <c:cat>
            <c:strRef>
              <c:f>Sleep!$I$87:$K$87</c:f>
              <c:strCache>
                <c:ptCount val="3"/>
                <c:pt idx="0">
                  <c:v>Pre</c:v>
                </c:pt>
                <c:pt idx="1">
                  <c:v>Post</c:v>
                </c:pt>
                <c:pt idx="2">
                  <c:v>Day 2</c:v>
                </c:pt>
              </c:strCache>
            </c:strRef>
          </c:cat>
          <c:val>
            <c:numRef>
              <c:f>Sleep!$I$88:$K$88</c:f>
              <c:numCache>
                <c:formatCode>0.0%</c:formatCode>
                <c:ptCount val="3"/>
                <c:pt idx="0">
                  <c:v>0.19167783844142822</c:v>
                </c:pt>
                <c:pt idx="1">
                  <c:v>0.2571248415190624</c:v>
                </c:pt>
                <c:pt idx="2">
                  <c:v>0.19322760370298156</c:v>
                </c:pt>
              </c:numCache>
            </c:numRef>
          </c:val>
          <c:extLst>
            <c:ext xmlns:c16="http://schemas.microsoft.com/office/drawing/2014/chart" uri="{C3380CC4-5D6E-409C-BE32-E72D297353CC}">
              <c16:uniqueId val="{00000000-385A-49F2-B78B-F9DC71847DBC}"/>
            </c:ext>
          </c:extLst>
        </c:ser>
        <c:ser>
          <c:idx val="1"/>
          <c:order val="1"/>
          <c:tx>
            <c:strRef>
              <c:f>Sleep!$H$89</c:f>
              <c:strCache>
                <c:ptCount val="1"/>
                <c:pt idx="0">
                  <c:v>REM %</c:v>
                </c:pt>
              </c:strCache>
            </c:strRef>
          </c:tx>
          <c:spPr>
            <a:solidFill>
              <a:srgbClr val="9B59B6"/>
            </a:solidFill>
            <a:ln>
              <a:noFill/>
            </a:ln>
            <a:effectLst/>
          </c:spPr>
          <c:invertIfNegative val="0"/>
          <c:cat>
            <c:strRef>
              <c:f>Sleep!$I$87:$K$87</c:f>
              <c:strCache>
                <c:ptCount val="3"/>
                <c:pt idx="0">
                  <c:v>Pre</c:v>
                </c:pt>
                <c:pt idx="1">
                  <c:v>Post</c:v>
                </c:pt>
                <c:pt idx="2">
                  <c:v>Day 2</c:v>
                </c:pt>
              </c:strCache>
            </c:strRef>
          </c:cat>
          <c:val>
            <c:numRef>
              <c:f>Sleep!$I$89:$K$89</c:f>
              <c:numCache>
                <c:formatCode>0.0%</c:formatCode>
                <c:ptCount val="3"/>
                <c:pt idx="0">
                  <c:v>0.16371035195375627</c:v>
                </c:pt>
                <c:pt idx="1">
                  <c:v>9.8974855658103031E-2</c:v>
                </c:pt>
                <c:pt idx="2">
                  <c:v>0.13958243131219106</c:v>
                </c:pt>
              </c:numCache>
            </c:numRef>
          </c:val>
          <c:extLst>
            <c:ext xmlns:c16="http://schemas.microsoft.com/office/drawing/2014/chart" uri="{C3380CC4-5D6E-409C-BE32-E72D297353CC}">
              <c16:uniqueId val="{00000001-385A-49F2-B78B-F9DC71847DBC}"/>
            </c:ext>
          </c:extLst>
        </c:ser>
        <c:dLbls>
          <c:showLegendKey val="0"/>
          <c:showVal val="0"/>
          <c:showCatName val="0"/>
          <c:showSerName val="0"/>
          <c:showPercent val="0"/>
          <c:showBubbleSize val="0"/>
        </c:dLbls>
        <c:gapWidth val="219"/>
        <c:overlap val="-27"/>
        <c:axId val="831040655"/>
        <c:axId val="825684175"/>
      </c:barChart>
      <c:catAx>
        <c:axId val="83104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684175"/>
        <c:crosses val="autoZero"/>
        <c:auto val="1"/>
        <c:lblAlgn val="ctr"/>
        <c:lblOffset val="100"/>
        <c:noMultiLvlLbl val="0"/>
      </c:catAx>
      <c:valAx>
        <c:axId val="825684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Total Sleep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040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81</xdr:row>
      <xdr:rowOff>0</xdr:rowOff>
    </xdr:from>
    <xdr:to>
      <xdr:col>6</xdr:col>
      <xdr:colOff>0</xdr:colOff>
      <xdr:row>94</xdr:row>
      <xdr:rowOff>0</xdr:rowOff>
    </xdr:to>
    <xdr:graphicFrame macro="">
      <xdr:nvGraphicFramePr>
        <xdr:cNvPr id="4" name="Chart 3">
          <a:extLst>
            <a:ext uri="{FF2B5EF4-FFF2-40B4-BE49-F238E27FC236}">
              <a16:creationId xmlns:a16="http://schemas.microsoft.com/office/drawing/2014/main" id="{FAF9F9D9-4DBF-6C88-5BDB-C452F4E6E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94</xdr:row>
      <xdr:rowOff>0</xdr:rowOff>
    </xdr:from>
    <xdr:to>
      <xdr:col>6</xdr:col>
      <xdr:colOff>0</xdr:colOff>
      <xdr:row>107</xdr:row>
      <xdr:rowOff>0</xdr:rowOff>
    </xdr:to>
    <xdr:graphicFrame macro="">
      <xdr:nvGraphicFramePr>
        <xdr:cNvPr id="5" name="Chart 4">
          <a:extLst>
            <a:ext uri="{FF2B5EF4-FFF2-40B4-BE49-F238E27FC236}">
              <a16:creationId xmlns:a16="http://schemas.microsoft.com/office/drawing/2014/main" id="{143CF1B9-1D83-1192-DF1B-EE1A95314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107</xdr:row>
      <xdr:rowOff>0</xdr:rowOff>
    </xdr:from>
    <xdr:to>
      <xdr:col>6</xdr:col>
      <xdr:colOff>0</xdr:colOff>
      <xdr:row>120</xdr:row>
      <xdr:rowOff>0</xdr:rowOff>
    </xdr:to>
    <xdr:graphicFrame macro="">
      <xdr:nvGraphicFramePr>
        <xdr:cNvPr id="6" name="Chart 5">
          <a:extLst>
            <a:ext uri="{FF2B5EF4-FFF2-40B4-BE49-F238E27FC236}">
              <a16:creationId xmlns:a16="http://schemas.microsoft.com/office/drawing/2014/main" id="{776D2F3D-61E3-2D86-9BC6-2682719D9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ichael Ye" id="{84B94FAE-4BE2-4D49-9600-38A6DC23AE2E}" userId="bd8160fc85f4c918"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2" dT="2026-03-18T00:01:15.32" personId="{84B94FAE-4BE2-4D49-9600-38A6DC23AE2E}" id="{580A920C-E1F1-4646-9657-4F32B48B26AE}">
    <text>Michael Ye:
true / false</text>
  </threadedComment>
  <threadedComment ref="C14" dT="2026-03-18T00:01:15.36" personId="{84B94FAE-4BE2-4D49-9600-38A6DC23AE2E}" id="{90999838-C132-4D37-816A-3FB09BA705BF}">
    <text>Michael Ye:
flat / mild incline / hilly</text>
  </threadedComment>
  <threadedComment ref="C45" dT="2026-03-18T00:01:15.37" personId="{84B94FAE-4BE2-4D49-9600-38A6DC23AE2E}" id="{444F1125-3C9B-46D6-BF65-3198A8D111D7}">
    <text>Michael Ye:
improved / stable / deteriorated</text>
  </threadedComment>
  <threadedComment ref="C46" dT="2026-03-18T00:01:15.37" personId="{84B94FAE-4BE2-4D49-9600-38A6DC23AE2E}" id="{B4E154F4-AE49-4339-9A7D-40E6108087FF}">
    <text>Michael Ye:
ready / not-ready</text>
  </threadedComment>
  <threadedComment ref="C48" dT="2026-03-18T00:01:15.38" personId="{84B94FAE-4BE2-4D49-9600-38A6DC23AE2E}" id="{E368930D-5CB3-4A18-A714-2CDE8D93F8A1}">
    <text>Stable / Elevated HR drift / Sluggish / Strong</text>
  </threadedComment>
  <threadedComment ref="C49" dT="2026-03-18T00:01:15.38" personId="{84B94FAE-4BE2-4D49-9600-38A6DC23AE2E}" id="{478F51F4-D169-4E51-B443-0BD2DE7C58DF}">
    <text>Improving / Stable / Declining</text>
  </threadedComment>
  <threadedComment ref="C50" dT="2026-03-18T00:01:15.40" personId="{84B94FAE-4BE2-4D49-9600-38A6DC23AE2E}" id="{2C70FC02-AEFF-4995-93DD-A737954F8AFA}">
    <text>ENGINE_STABLE / ENGINE_STRAINED / ENGINE_IMPROVING</text>
  </threadedComment>
  <threadedComment ref="C51" dT="2026-03-18T00:01:15.40" personId="{84B94FAE-4BE2-4D49-9600-38A6DC23AE2E}" id="{06429893-DE98-4857-ACB7-F3283293286D}">
    <text>Improving / Stable / Declining</text>
  </threadedComment>
</ThreadedComments>
</file>

<file path=xl/threadedComments/threadedComment2.xml><?xml version="1.0" encoding="utf-8"?>
<ThreadedComments xmlns="http://schemas.microsoft.com/office/spreadsheetml/2018/threadedcomments" xmlns:x="http://schemas.openxmlformats.org/spreadsheetml/2006/main">
  <threadedComment ref="J4" dT="2026-03-25T23:11:11.72" personId="{84B94FAE-4BE2-4D49-9600-38A6DC23AE2E}" id="{031D3DAC-034A-412F-8EC3-A1FB8388A093}">
    <text>Terrain-adjusted HR drift: Recalculated using ascent-only segments to remove the descent confound on out-and-back summit hikes. Raw drift was artificially negative due to lower HR during descent half. Values updated by user from lap-level Garmin data.</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E58A3AC-3FE9-4773-A9F4-8D6A4F66AFE5}">
  <we:reference id="wa200009404" version="1.0.0.5" store="en-US" storeType="OMEX"/>
  <we:alternateReferences>
    <we:reference id="WA200009404" version="1.0.0.5" store="" storeType="OMEX"/>
  </we:alternateReferences>
  <we:properties>
    <we:property name="claude.fileId" value="&quot;9eaa1149-cf43-4a18-be95-2ec1d907a466&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E5ED6-3156-4DD4-BF76-BD1D7FEDFCA5}">
  <dimension ref="B5:O65"/>
  <sheetViews>
    <sheetView topLeftCell="F1" workbookViewId="0">
      <selection activeCell="H28" sqref="H28"/>
    </sheetView>
  </sheetViews>
  <sheetFormatPr defaultRowHeight="15" x14ac:dyDescent="0.25"/>
  <cols>
    <col min="2" max="2" width="60" bestFit="1" customWidth="1"/>
    <col min="3" max="3" width="8.85546875" bestFit="1" customWidth="1"/>
    <col min="4" max="4" width="21.85546875" bestFit="1" customWidth="1"/>
    <col min="5" max="6" width="19.140625" customWidth="1"/>
    <col min="7" max="7" width="30.7109375" bestFit="1" customWidth="1"/>
    <col min="8" max="8" width="26.28515625" bestFit="1" customWidth="1"/>
    <col min="9" max="9" width="48" bestFit="1" customWidth="1"/>
    <col min="11" max="12" width="29.85546875" customWidth="1"/>
    <col min="14" max="14" width="17.5703125" bestFit="1" customWidth="1"/>
    <col min="15" max="15" width="63.7109375" bestFit="1" customWidth="1"/>
  </cols>
  <sheetData>
    <row r="5" spans="2:15" ht="24.75" thickBot="1" x14ac:dyDescent="0.3">
      <c r="B5" s="2" t="s">
        <v>21</v>
      </c>
      <c r="C5" s="11" t="s">
        <v>92</v>
      </c>
      <c r="D5" s="9" t="s">
        <v>0</v>
      </c>
      <c r="G5" s="24" t="s">
        <v>90</v>
      </c>
      <c r="H5" s="24" t="s">
        <v>25</v>
      </c>
      <c r="I5" s="24" t="s">
        <v>26</v>
      </c>
      <c r="K5" s="14" t="s">
        <v>113</v>
      </c>
      <c r="N5" t="s">
        <v>184</v>
      </c>
      <c r="O5" t="s">
        <v>115</v>
      </c>
    </row>
    <row r="6" spans="2:15" x14ac:dyDescent="0.25">
      <c r="C6" s="8">
        <v>1</v>
      </c>
      <c r="D6" s="9" t="s">
        <v>1</v>
      </c>
      <c r="G6" t="s">
        <v>27</v>
      </c>
      <c r="H6" t="s">
        <v>212</v>
      </c>
      <c r="I6" t="s">
        <v>369</v>
      </c>
      <c r="N6" t="s">
        <v>185</v>
      </c>
      <c r="O6" t="s">
        <v>186</v>
      </c>
    </row>
    <row r="7" spans="2:15" ht="18" x14ac:dyDescent="0.25">
      <c r="B7" s="2" t="s">
        <v>22</v>
      </c>
      <c r="C7" s="8">
        <v>2</v>
      </c>
      <c r="D7" s="9" t="s">
        <v>2</v>
      </c>
      <c r="G7" t="s">
        <v>27</v>
      </c>
      <c r="H7" t="s">
        <v>28</v>
      </c>
      <c r="I7" t="s">
        <v>29</v>
      </c>
      <c r="K7" s="5" t="s">
        <v>114</v>
      </c>
      <c r="L7" s="5" t="s">
        <v>115</v>
      </c>
      <c r="N7" t="s">
        <v>187</v>
      </c>
      <c r="O7" t="s">
        <v>188</v>
      </c>
    </row>
    <row r="8" spans="2:15" ht="30" x14ac:dyDescent="0.25">
      <c r="C8" s="8">
        <v>3</v>
      </c>
      <c r="D8" s="9" t="s">
        <v>3</v>
      </c>
      <c r="G8" t="s">
        <v>27</v>
      </c>
      <c r="H8" t="s">
        <v>30</v>
      </c>
      <c r="I8" t="s">
        <v>31</v>
      </c>
      <c r="K8" s="7" t="s">
        <v>104</v>
      </c>
      <c r="L8" s="6" t="s">
        <v>116</v>
      </c>
      <c r="N8" t="s">
        <v>189</v>
      </c>
      <c r="O8" t="s">
        <v>190</v>
      </c>
    </row>
    <row r="9" spans="2:15" ht="30" x14ac:dyDescent="0.25">
      <c r="B9" s="2" t="s">
        <v>12</v>
      </c>
      <c r="C9" s="8">
        <v>4</v>
      </c>
      <c r="D9" s="9" t="s">
        <v>4</v>
      </c>
      <c r="G9" t="s">
        <v>27</v>
      </c>
      <c r="H9" t="s">
        <v>32</v>
      </c>
      <c r="I9" t="s">
        <v>33</v>
      </c>
      <c r="K9" s="7" t="s">
        <v>100</v>
      </c>
      <c r="L9" s="6" t="s">
        <v>117</v>
      </c>
      <c r="N9" t="s">
        <v>191</v>
      </c>
      <c r="O9" t="s">
        <v>192</v>
      </c>
    </row>
    <row r="10" spans="2:15" ht="30" x14ac:dyDescent="0.25">
      <c r="C10" s="8">
        <v>5</v>
      </c>
      <c r="D10" s="9" t="s">
        <v>5</v>
      </c>
      <c r="G10" t="s">
        <v>27</v>
      </c>
      <c r="H10" t="s">
        <v>34</v>
      </c>
      <c r="I10" t="s">
        <v>35</v>
      </c>
      <c r="K10" s="7" t="s">
        <v>108</v>
      </c>
      <c r="L10" s="6" t="s">
        <v>118</v>
      </c>
      <c r="N10" t="s">
        <v>193</v>
      </c>
      <c r="O10" t="s">
        <v>194</v>
      </c>
    </row>
    <row r="11" spans="2:15" ht="30" x14ac:dyDescent="0.25">
      <c r="B11" s="2" t="s">
        <v>23</v>
      </c>
      <c r="C11" s="8">
        <v>6</v>
      </c>
      <c r="D11" s="9" t="s">
        <v>6</v>
      </c>
      <c r="G11" t="s">
        <v>36</v>
      </c>
      <c r="H11" t="s">
        <v>37</v>
      </c>
      <c r="I11" t="s">
        <v>38</v>
      </c>
      <c r="K11" s="7" t="s">
        <v>103</v>
      </c>
      <c r="L11" s="6" t="s">
        <v>119</v>
      </c>
    </row>
    <row r="12" spans="2:15" ht="30" x14ac:dyDescent="0.25">
      <c r="C12" s="8">
        <v>7</v>
      </c>
      <c r="D12" s="9" t="s">
        <v>7</v>
      </c>
      <c r="G12" t="s">
        <v>36</v>
      </c>
      <c r="H12" t="s">
        <v>39</v>
      </c>
      <c r="I12" t="s">
        <v>40</v>
      </c>
      <c r="K12" s="7" t="s">
        <v>106</v>
      </c>
      <c r="L12" s="6" t="s">
        <v>120</v>
      </c>
    </row>
    <row r="13" spans="2:15" ht="30" x14ac:dyDescent="0.25">
      <c r="B13" s="2" t="s">
        <v>24</v>
      </c>
      <c r="C13" s="8">
        <v>8</v>
      </c>
      <c r="D13" s="9" t="s">
        <v>8</v>
      </c>
      <c r="G13" t="s">
        <v>36</v>
      </c>
      <c r="H13" t="s">
        <v>41</v>
      </c>
      <c r="I13" t="s">
        <v>42</v>
      </c>
      <c r="K13" s="7" t="s">
        <v>109</v>
      </c>
      <c r="L13" s="6" t="s">
        <v>121</v>
      </c>
    </row>
    <row r="14" spans="2:15" ht="30" x14ac:dyDescent="0.25">
      <c r="C14" s="8">
        <v>9</v>
      </c>
      <c r="D14" s="9" t="s">
        <v>9</v>
      </c>
      <c r="G14" t="s">
        <v>36</v>
      </c>
      <c r="H14" t="s">
        <v>43</v>
      </c>
      <c r="I14" t="s">
        <v>44</v>
      </c>
      <c r="K14" s="7" t="s">
        <v>98</v>
      </c>
      <c r="L14" s="6" t="s">
        <v>122</v>
      </c>
    </row>
    <row r="15" spans="2:15" ht="30" x14ac:dyDescent="0.25">
      <c r="B15" s="2" t="s">
        <v>13</v>
      </c>
      <c r="C15" s="8">
        <v>10</v>
      </c>
      <c r="D15" s="9" t="s">
        <v>10</v>
      </c>
      <c r="G15" t="s">
        <v>36</v>
      </c>
      <c r="H15" t="s">
        <v>45</v>
      </c>
      <c r="I15" t="s">
        <v>46</v>
      </c>
      <c r="K15" s="7" t="s">
        <v>123</v>
      </c>
      <c r="L15" s="6" t="s">
        <v>124</v>
      </c>
    </row>
    <row r="16" spans="2:15" ht="30" x14ac:dyDescent="0.25">
      <c r="C16" s="8">
        <v>11</v>
      </c>
      <c r="D16" s="9" t="s">
        <v>11</v>
      </c>
      <c r="G16" t="s">
        <v>47</v>
      </c>
      <c r="H16" t="s">
        <v>48</v>
      </c>
      <c r="I16" t="s">
        <v>49</v>
      </c>
      <c r="K16" s="7" t="s">
        <v>125</v>
      </c>
      <c r="L16" s="6" t="s">
        <v>126</v>
      </c>
    </row>
    <row r="17" spans="3:12" x14ac:dyDescent="0.25">
      <c r="C17" s="8">
        <v>12</v>
      </c>
      <c r="D17" s="9" t="s">
        <v>15</v>
      </c>
      <c r="G17" t="s">
        <v>47</v>
      </c>
      <c r="H17" t="s">
        <v>50</v>
      </c>
      <c r="I17" t="s">
        <v>51</v>
      </c>
    </row>
    <row r="18" spans="3:12" ht="30" x14ac:dyDescent="0.25">
      <c r="C18" s="8">
        <v>13</v>
      </c>
      <c r="D18" s="9" t="s">
        <v>16</v>
      </c>
      <c r="G18" t="s">
        <v>47</v>
      </c>
      <c r="H18" t="s">
        <v>52</v>
      </c>
      <c r="I18" t="s">
        <v>53</v>
      </c>
    </row>
    <row r="19" spans="3:12" ht="24" x14ac:dyDescent="0.25">
      <c r="C19" s="8">
        <v>14</v>
      </c>
      <c r="D19" s="9" t="s">
        <v>17</v>
      </c>
      <c r="G19" t="s">
        <v>47</v>
      </c>
      <c r="H19" t="s">
        <v>54</v>
      </c>
      <c r="I19" t="s">
        <v>55</v>
      </c>
      <c r="K19" s="14" t="s">
        <v>127</v>
      </c>
    </row>
    <row r="20" spans="3:12" x14ac:dyDescent="0.25">
      <c r="C20" s="8">
        <v>15</v>
      </c>
      <c r="D20" s="9" t="s">
        <v>18</v>
      </c>
      <c r="G20" t="s">
        <v>47</v>
      </c>
      <c r="H20" t="s">
        <v>56</v>
      </c>
      <c r="I20" t="s">
        <v>57</v>
      </c>
    </row>
    <row r="21" spans="3:12" x14ac:dyDescent="0.25">
      <c r="C21" s="8">
        <v>16</v>
      </c>
      <c r="D21" s="9" t="s">
        <v>19</v>
      </c>
      <c r="G21" t="s">
        <v>58</v>
      </c>
      <c r="H21" t="s">
        <v>59</v>
      </c>
      <c r="I21" t="s">
        <v>60</v>
      </c>
      <c r="K21" s="5" t="s">
        <v>114</v>
      </c>
      <c r="L21" s="5" t="s">
        <v>115</v>
      </c>
    </row>
    <row r="22" spans="3:12" x14ac:dyDescent="0.25">
      <c r="C22" s="8">
        <v>17</v>
      </c>
      <c r="D22" s="8" t="s">
        <v>91</v>
      </c>
      <c r="G22" t="s">
        <v>58</v>
      </c>
      <c r="H22" t="s">
        <v>61</v>
      </c>
      <c r="I22" t="s">
        <v>62</v>
      </c>
      <c r="K22" s="7" t="s">
        <v>128</v>
      </c>
      <c r="L22" s="6" t="s">
        <v>129</v>
      </c>
    </row>
    <row r="23" spans="3:12" ht="30" x14ac:dyDescent="0.25">
      <c r="C23" s="8" t="s">
        <v>90</v>
      </c>
      <c r="D23" s="8" t="s">
        <v>27</v>
      </c>
      <c r="G23" t="s">
        <v>58</v>
      </c>
      <c r="H23" t="s">
        <v>63</v>
      </c>
      <c r="I23" t="s">
        <v>64</v>
      </c>
      <c r="K23" s="7" t="s">
        <v>107</v>
      </c>
      <c r="L23" s="6" t="s">
        <v>130</v>
      </c>
    </row>
    <row r="24" spans="3:12" ht="30" x14ac:dyDescent="0.25">
      <c r="C24" s="8" t="s">
        <v>90</v>
      </c>
      <c r="D24" s="8" t="s">
        <v>36</v>
      </c>
      <c r="G24" t="s">
        <v>65</v>
      </c>
      <c r="H24" t="s">
        <v>66</v>
      </c>
      <c r="I24" t="s">
        <v>67</v>
      </c>
      <c r="K24" s="7" t="s">
        <v>99</v>
      </c>
      <c r="L24" s="6" t="s">
        <v>131</v>
      </c>
    </row>
    <row r="25" spans="3:12" ht="30" x14ac:dyDescent="0.25">
      <c r="C25" s="8" t="s">
        <v>90</v>
      </c>
      <c r="D25" s="8" t="s">
        <v>47</v>
      </c>
      <c r="G25" t="s">
        <v>65</v>
      </c>
      <c r="H25" t="s">
        <v>68</v>
      </c>
      <c r="I25" t="s">
        <v>69</v>
      </c>
      <c r="K25" s="7" t="s">
        <v>132</v>
      </c>
      <c r="L25" s="6" t="s">
        <v>133</v>
      </c>
    </row>
    <row r="26" spans="3:12" ht="30" x14ac:dyDescent="0.25">
      <c r="C26" s="8" t="s">
        <v>90</v>
      </c>
      <c r="D26" s="8" t="s">
        <v>58</v>
      </c>
      <c r="G26" t="s">
        <v>65</v>
      </c>
      <c r="H26" t="s">
        <v>70</v>
      </c>
      <c r="I26" t="s">
        <v>71</v>
      </c>
      <c r="K26" s="7" t="s">
        <v>134</v>
      </c>
      <c r="L26" s="6" t="s">
        <v>135</v>
      </c>
    </row>
    <row r="27" spans="3:12" x14ac:dyDescent="0.25">
      <c r="C27" s="8" t="s">
        <v>90</v>
      </c>
      <c r="D27" s="8" t="s">
        <v>65</v>
      </c>
      <c r="G27" t="s">
        <v>65</v>
      </c>
      <c r="H27" t="s">
        <v>72</v>
      </c>
      <c r="I27" t="s">
        <v>73</v>
      </c>
    </row>
    <row r="28" spans="3:12" x14ac:dyDescent="0.25">
      <c r="C28" s="8" t="s">
        <v>90</v>
      </c>
      <c r="D28" s="8" t="s">
        <v>74</v>
      </c>
      <c r="G28" t="s">
        <v>74</v>
      </c>
      <c r="H28" t="s">
        <v>75</v>
      </c>
      <c r="I28" t="s">
        <v>76</v>
      </c>
    </row>
    <row r="29" spans="3:12" ht="24" x14ac:dyDescent="0.25">
      <c r="C29" s="8" t="s">
        <v>90</v>
      </c>
      <c r="D29" s="8" t="s">
        <v>83</v>
      </c>
      <c r="G29" t="s">
        <v>74</v>
      </c>
      <c r="H29" t="s">
        <v>77</v>
      </c>
      <c r="I29" t="s">
        <v>78</v>
      </c>
      <c r="K29" s="14" t="s">
        <v>136</v>
      </c>
    </row>
    <row r="30" spans="3:12" s="12" customFormat="1" ht="90" x14ac:dyDescent="0.25">
      <c r="C30" s="12" t="s">
        <v>93</v>
      </c>
      <c r="D30" s="12" t="s">
        <v>91</v>
      </c>
      <c r="E30" s="9" t="s">
        <v>95</v>
      </c>
      <c r="F30" s="9"/>
      <c r="G30" s="12" t="s">
        <v>74</v>
      </c>
      <c r="H30" s="12" t="s">
        <v>79</v>
      </c>
      <c r="I30" s="12" t="s">
        <v>80</v>
      </c>
      <c r="K30"/>
      <c r="L30"/>
    </row>
    <row r="31" spans="3:12" x14ac:dyDescent="0.25">
      <c r="G31" t="s">
        <v>74</v>
      </c>
      <c r="H31" t="s">
        <v>81</v>
      </c>
      <c r="I31" t="s">
        <v>82</v>
      </c>
      <c r="K31" s="5" t="s">
        <v>114</v>
      </c>
      <c r="L31" s="5" t="s">
        <v>115</v>
      </c>
    </row>
    <row r="32" spans="3:12" ht="30" x14ac:dyDescent="0.25">
      <c r="G32" t="s">
        <v>83</v>
      </c>
      <c r="H32" t="s">
        <v>84</v>
      </c>
      <c r="I32" t="s">
        <v>85</v>
      </c>
      <c r="K32" s="7" t="s">
        <v>105</v>
      </c>
      <c r="L32" s="6" t="s">
        <v>137</v>
      </c>
    </row>
    <row r="33" spans="7:12" ht="30" x14ac:dyDescent="0.25">
      <c r="G33" t="s">
        <v>83</v>
      </c>
      <c r="H33" t="s">
        <v>86</v>
      </c>
      <c r="I33" t="s">
        <v>87</v>
      </c>
      <c r="K33" s="7" t="s">
        <v>138</v>
      </c>
      <c r="L33" s="6" t="s">
        <v>139</v>
      </c>
    </row>
    <row r="34" spans="7:12" ht="30" x14ac:dyDescent="0.25">
      <c r="G34" t="s">
        <v>83</v>
      </c>
      <c r="H34" t="s">
        <v>88</v>
      </c>
      <c r="I34" t="s">
        <v>89</v>
      </c>
      <c r="K34" s="7" t="s">
        <v>140</v>
      </c>
      <c r="L34" s="6" t="s">
        <v>141</v>
      </c>
    </row>
    <row r="35" spans="7:12" x14ac:dyDescent="0.25">
      <c r="K35" s="7" t="s">
        <v>142</v>
      </c>
      <c r="L35" s="6" t="s">
        <v>143</v>
      </c>
    </row>
    <row r="36" spans="7:12" ht="30" x14ac:dyDescent="0.25">
      <c r="K36" s="7" t="s">
        <v>144</v>
      </c>
      <c r="L36" s="6" t="s">
        <v>145</v>
      </c>
    </row>
    <row r="37" spans="7:12" ht="30.75" thickBot="1" x14ac:dyDescent="0.3">
      <c r="G37" s="43" t="s">
        <v>326</v>
      </c>
      <c r="H37" s="43" t="s">
        <v>328</v>
      </c>
      <c r="I37" s="3" t="s">
        <v>329</v>
      </c>
      <c r="K37" s="7" t="s">
        <v>146</v>
      </c>
      <c r="L37" s="6" t="s">
        <v>147</v>
      </c>
    </row>
    <row r="38" spans="7:12" x14ac:dyDescent="0.25">
      <c r="G38" s="3" t="s">
        <v>327</v>
      </c>
      <c r="H38" s="3">
        <v>10</v>
      </c>
      <c r="I38" s="3">
        <v>3</v>
      </c>
    </row>
    <row r="39" spans="7:12" x14ac:dyDescent="0.25">
      <c r="G39" s="3" t="s">
        <v>335</v>
      </c>
      <c r="H39" s="3">
        <v>6</v>
      </c>
      <c r="I39" s="3"/>
    </row>
    <row r="40" spans="7:12" ht="24" x14ac:dyDescent="0.25">
      <c r="G40" s="3" t="s">
        <v>331</v>
      </c>
      <c r="H40" s="3">
        <v>6</v>
      </c>
      <c r="I40" s="3"/>
      <c r="K40" s="14" t="s">
        <v>148</v>
      </c>
    </row>
    <row r="41" spans="7:12" x14ac:dyDescent="0.25">
      <c r="G41" s="3" t="s">
        <v>336</v>
      </c>
      <c r="H41" s="3">
        <v>8</v>
      </c>
      <c r="I41" s="3"/>
    </row>
    <row r="42" spans="7:12" x14ac:dyDescent="0.25">
      <c r="G42" s="3" t="s">
        <v>334</v>
      </c>
      <c r="H42" s="3">
        <v>10</v>
      </c>
      <c r="I42" s="3"/>
      <c r="K42" s="5" t="s">
        <v>114</v>
      </c>
      <c r="L42" s="5" t="s">
        <v>115</v>
      </c>
    </row>
    <row r="43" spans="7:12" x14ac:dyDescent="0.25">
      <c r="G43" s="3" t="s">
        <v>337</v>
      </c>
      <c r="H43" s="3">
        <v>8</v>
      </c>
      <c r="I43" s="3"/>
      <c r="K43" s="7" t="s">
        <v>101</v>
      </c>
      <c r="L43" s="6" t="s">
        <v>149</v>
      </c>
    </row>
    <row r="44" spans="7:12" x14ac:dyDescent="0.25">
      <c r="G44" s="3" t="s">
        <v>338</v>
      </c>
      <c r="H44" s="3">
        <v>4</v>
      </c>
      <c r="I44" s="3"/>
      <c r="K44" s="7" t="s">
        <v>102</v>
      </c>
      <c r="L44" s="6" t="s">
        <v>150</v>
      </c>
    </row>
    <row r="45" spans="7:12" x14ac:dyDescent="0.25">
      <c r="G45" s="3" t="s">
        <v>332</v>
      </c>
      <c r="H45" s="3">
        <v>2</v>
      </c>
      <c r="I45" s="3"/>
      <c r="K45" s="7" t="s">
        <v>151</v>
      </c>
      <c r="L45" s="6" t="s">
        <v>152</v>
      </c>
    </row>
    <row r="46" spans="7:12" x14ac:dyDescent="0.25">
      <c r="G46" s="3" t="s">
        <v>333</v>
      </c>
      <c r="H46" s="3">
        <v>2</v>
      </c>
      <c r="I46" s="3"/>
    </row>
    <row r="47" spans="7:12" x14ac:dyDescent="0.25">
      <c r="G47" s="3" t="s">
        <v>341</v>
      </c>
      <c r="H47" s="3">
        <v>6</v>
      </c>
    </row>
    <row r="48" spans="7:12" ht="15.75" thickBot="1" x14ac:dyDescent="0.3">
      <c r="G48" s="44"/>
      <c r="H48" s="42">
        <f>SUM(H38:H47)</f>
        <v>62</v>
      </c>
    </row>
    <row r="50" spans="7:8" x14ac:dyDescent="0.25">
      <c r="G50" t="s">
        <v>350</v>
      </c>
    </row>
    <row r="51" spans="7:8" ht="15.75" thickBot="1" x14ac:dyDescent="0.3">
      <c r="G51" s="43" t="s">
        <v>342</v>
      </c>
      <c r="H51" s="43" t="s">
        <v>343</v>
      </c>
    </row>
    <row r="52" spans="7:8" x14ac:dyDescent="0.25">
      <c r="G52" s="3" t="s">
        <v>344</v>
      </c>
      <c r="H52" s="3">
        <v>7</v>
      </c>
    </row>
    <row r="53" spans="7:8" x14ac:dyDescent="0.25">
      <c r="G53" s="3" t="s">
        <v>345</v>
      </c>
      <c r="H53" s="3">
        <v>4</v>
      </c>
    </row>
    <row r="54" spans="7:8" x14ac:dyDescent="0.25">
      <c r="G54" s="3" t="s">
        <v>346</v>
      </c>
      <c r="H54" s="3">
        <v>4</v>
      </c>
    </row>
    <row r="55" spans="7:8" x14ac:dyDescent="0.25">
      <c r="G55" s="3" t="s">
        <v>347</v>
      </c>
      <c r="H55" s="3">
        <v>3</v>
      </c>
    </row>
    <row r="56" spans="7:8" x14ac:dyDescent="0.25">
      <c r="G56" s="3" t="s">
        <v>348</v>
      </c>
      <c r="H56" s="3">
        <v>1</v>
      </c>
    </row>
    <row r="57" spans="7:8" x14ac:dyDescent="0.25">
      <c r="G57" s="3" t="s">
        <v>349</v>
      </c>
      <c r="H57" s="3">
        <v>1</v>
      </c>
    </row>
    <row r="58" spans="7:8" ht="15.75" thickBot="1" x14ac:dyDescent="0.3">
      <c r="G58" s="42" t="s">
        <v>328</v>
      </c>
      <c r="H58" s="42">
        <v>20</v>
      </c>
    </row>
    <row r="60" spans="7:8" x14ac:dyDescent="0.25">
      <c r="G60" s="30" t="s">
        <v>339</v>
      </c>
    </row>
    <row r="61" spans="7:8" x14ac:dyDescent="0.25">
      <c r="G61" s="30" t="s">
        <v>340</v>
      </c>
    </row>
    <row r="63" spans="7:8" x14ac:dyDescent="0.25">
      <c r="G63" s="15" t="s">
        <v>351</v>
      </c>
    </row>
    <row r="65" spans="7:7" x14ac:dyDescent="0.25">
      <c r="G65" t="s">
        <v>352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3FE29-F697-4B4D-AF65-EE9B96310C07}">
  <sheetPr>
    <tabColor theme="5" tint="0.79998168889431442"/>
  </sheetPr>
  <dimension ref="A1:X124"/>
  <sheetViews>
    <sheetView tabSelected="1" zoomScale="80" zoomScaleNormal="80" workbookViewId="0">
      <pane xSplit="7" ySplit="3" topLeftCell="U97" activePane="bottomRight" state="frozen"/>
      <selection pane="topRight" activeCell="H1" sqref="H1"/>
      <selection pane="bottomLeft" activeCell="A4" sqref="A4"/>
      <selection pane="bottomRight" activeCell="X108" sqref="X108"/>
    </sheetView>
  </sheetViews>
  <sheetFormatPr defaultRowHeight="15" outlineLevelCol="1" x14ac:dyDescent="0.25"/>
  <cols>
    <col min="1" max="1" width="5.28515625" bestFit="1" customWidth="1"/>
    <col min="2" max="2" width="4.28515625" bestFit="1" customWidth="1"/>
    <col min="3" max="3" width="9.42578125" style="3" customWidth="1"/>
    <col min="4" max="4" width="25.85546875" customWidth="1"/>
    <col min="5" max="5" width="22.42578125" customWidth="1"/>
    <col min="6" max="6" width="22.85546875" style="8" customWidth="1"/>
    <col min="7" max="7" width="27.28515625" style="8" customWidth="1"/>
    <col min="8" max="8" width="30.7109375" style="8" customWidth="1"/>
    <col min="9" max="9" width="28.7109375" customWidth="1" outlineLevel="1"/>
    <col min="10" max="10" width="24.42578125" customWidth="1" outlineLevel="1"/>
    <col min="11" max="12" width="28.7109375" customWidth="1" outlineLevel="1"/>
    <col min="13" max="13" width="24.28515625" style="8" customWidth="1"/>
    <col min="14" max="14" width="24.28515625" style="8" customWidth="1" outlineLevel="1"/>
    <col min="15" max="16" width="24.28515625" style="8" customWidth="1" outlineLevel="1" collapsed="1"/>
    <col min="17" max="17" width="24.28515625" style="8" customWidth="1" outlineLevel="1"/>
    <col min="18" max="19" width="24.28515625" style="8" customWidth="1" outlineLevel="1" collapsed="1"/>
    <col min="20" max="23" width="30.7109375" style="8" customWidth="1"/>
    <col min="24" max="24" width="51.7109375" style="8" customWidth="1"/>
  </cols>
  <sheetData>
    <row r="1" spans="3:24" x14ac:dyDescent="0.25">
      <c r="F1" s="10" t="str">
        <f>+H10</f>
        <v>Skinsuit to Pleasant's Peak</v>
      </c>
    </row>
    <row r="2" spans="3:24" x14ac:dyDescent="0.25">
      <c r="H2" s="45" t="s">
        <v>330</v>
      </c>
      <c r="I2" s="30" t="s">
        <v>327</v>
      </c>
      <c r="J2" s="30" t="s">
        <v>327</v>
      </c>
      <c r="K2" s="30" t="s">
        <v>327</v>
      </c>
      <c r="L2" s="30" t="s">
        <v>327</v>
      </c>
      <c r="M2" s="45" t="s">
        <v>330</v>
      </c>
      <c r="N2" s="45" t="s">
        <v>327</v>
      </c>
      <c r="O2" s="45" t="s">
        <v>327</v>
      </c>
      <c r="P2" s="45" t="s">
        <v>327</v>
      </c>
      <c r="Q2" s="45" t="s">
        <v>327</v>
      </c>
      <c r="R2" s="45" t="s">
        <v>692</v>
      </c>
      <c r="S2" s="45" t="s">
        <v>692</v>
      </c>
      <c r="T2" s="45" t="s">
        <v>330</v>
      </c>
      <c r="U2" s="45" t="s">
        <v>692</v>
      </c>
      <c r="V2" s="45" t="s">
        <v>327</v>
      </c>
      <c r="W2" s="45" t="s">
        <v>327</v>
      </c>
      <c r="X2" s="45" t="s">
        <v>331</v>
      </c>
    </row>
    <row r="3" spans="3:24" ht="15.75" thickBot="1" x14ac:dyDescent="0.3">
      <c r="D3" s="24" t="s">
        <v>204</v>
      </c>
      <c r="E3" s="24" t="s">
        <v>226</v>
      </c>
      <c r="F3" s="13" t="s">
        <v>14</v>
      </c>
      <c r="G3" s="13" t="s">
        <v>20</v>
      </c>
      <c r="H3" s="13" t="s">
        <v>228</v>
      </c>
      <c r="I3" s="13" t="s">
        <v>229</v>
      </c>
      <c r="J3" s="13" t="s">
        <v>243</v>
      </c>
      <c r="K3" s="13" t="s">
        <v>301</v>
      </c>
      <c r="L3" s="13" t="s">
        <v>364</v>
      </c>
      <c r="M3" s="13" t="s">
        <v>388</v>
      </c>
      <c r="N3" s="13" t="s">
        <v>403</v>
      </c>
      <c r="O3" s="13" t="s">
        <v>407</v>
      </c>
      <c r="P3" s="13" t="s">
        <v>427</v>
      </c>
      <c r="Q3" s="13" t="s">
        <v>447</v>
      </c>
      <c r="R3" s="13" t="s">
        <v>693</v>
      </c>
      <c r="S3" s="13" t="s">
        <v>717</v>
      </c>
      <c r="T3" s="13" t="s">
        <v>738</v>
      </c>
      <c r="U3" s="13" t="s">
        <v>1344</v>
      </c>
      <c r="V3" s="13" t="s">
        <v>1470</v>
      </c>
      <c r="W3" s="13" t="s">
        <v>1657</v>
      </c>
      <c r="X3" s="13" t="s">
        <v>1851</v>
      </c>
    </row>
    <row r="4" spans="3:24" x14ac:dyDescent="0.25">
      <c r="D4" t="s">
        <v>232</v>
      </c>
      <c r="E4" t="s">
        <v>166</v>
      </c>
      <c r="F4" s="9" t="s">
        <v>233</v>
      </c>
      <c r="G4" s="9" t="s">
        <v>233</v>
      </c>
      <c r="H4" s="9">
        <v>52</v>
      </c>
      <c r="I4" s="9">
        <v>52</v>
      </c>
      <c r="J4" s="9">
        <v>52</v>
      </c>
      <c r="K4" s="9">
        <v>52</v>
      </c>
      <c r="L4" s="9">
        <v>52</v>
      </c>
      <c r="M4" s="9">
        <v>52</v>
      </c>
      <c r="N4" s="9">
        <v>52</v>
      </c>
      <c r="O4" s="9">
        <v>52</v>
      </c>
      <c r="P4" s="9">
        <v>52</v>
      </c>
      <c r="Q4" s="9">
        <v>52</v>
      </c>
      <c r="R4" s="9">
        <v>52</v>
      </c>
      <c r="S4" s="9">
        <v>52</v>
      </c>
      <c r="T4" s="9">
        <v>52</v>
      </c>
      <c r="U4" s="9">
        <v>52</v>
      </c>
      <c r="V4" s="9">
        <v>52</v>
      </c>
      <c r="W4" s="9">
        <v>52</v>
      </c>
      <c r="X4" s="9">
        <v>52</v>
      </c>
    </row>
    <row r="5" spans="3:24" x14ac:dyDescent="0.25">
      <c r="D5" t="s">
        <v>232</v>
      </c>
      <c r="E5" t="s">
        <v>166</v>
      </c>
      <c r="F5" s="9" t="s">
        <v>234</v>
      </c>
      <c r="G5" s="9" t="s">
        <v>236</v>
      </c>
      <c r="H5" s="9">
        <v>69</v>
      </c>
      <c r="I5" s="9">
        <v>69</v>
      </c>
      <c r="J5" s="9">
        <v>69</v>
      </c>
      <c r="K5" s="9">
        <v>69</v>
      </c>
      <c r="L5" s="9">
        <v>69</v>
      </c>
      <c r="M5" s="9">
        <v>69</v>
      </c>
      <c r="N5" s="9">
        <v>69</v>
      </c>
      <c r="O5" s="9">
        <v>69</v>
      </c>
      <c r="P5" s="9">
        <v>69</v>
      </c>
      <c r="Q5" s="9">
        <v>69</v>
      </c>
      <c r="R5" s="9">
        <v>69</v>
      </c>
      <c r="S5" s="9">
        <v>69</v>
      </c>
      <c r="T5" s="9">
        <v>69</v>
      </c>
      <c r="U5" s="9">
        <v>69</v>
      </c>
      <c r="V5" s="9">
        <v>69</v>
      </c>
      <c r="W5" s="9">
        <v>69</v>
      </c>
      <c r="X5" s="9">
        <v>69</v>
      </c>
    </row>
    <row r="6" spans="3:24" x14ac:dyDescent="0.25">
      <c r="D6" t="s">
        <v>232</v>
      </c>
      <c r="E6" t="s">
        <v>166</v>
      </c>
      <c r="F6" s="9" t="s">
        <v>235</v>
      </c>
      <c r="G6" s="9" t="s">
        <v>237</v>
      </c>
      <c r="H6" s="9">
        <v>145</v>
      </c>
      <c r="I6" s="9">
        <v>145</v>
      </c>
      <c r="J6" s="9">
        <v>145</v>
      </c>
      <c r="K6" s="9">
        <v>145</v>
      </c>
      <c r="L6" s="9">
        <v>145</v>
      </c>
      <c r="M6" s="9">
        <v>145</v>
      </c>
      <c r="N6" s="9">
        <v>146</v>
      </c>
      <c r="O6" s="9">
        <v>146</v>
      </c>
      <c r="P6" s="9">
        <v>146</v>
      </c>
      <c r="Q6" s="9">
        <v>146</v>
      </c>
      <c r="R6" s="9">
        <v>146</v>
      </c>
      <c r="S6" s="9">
        <v>145</v>
      </c>
      <c r="T6" s="9">
        <v>145</v>
      </c>
      <c r="U6" s="9">
        <v>145</v>
      </c>
      <c r="V6" s="9">
        <v>145</v>
      </c>
      <c r="W6" s="9">
        <v>145</v>
      </c>
      <c r="X6" s="9">
        <v>145</v>
      </c>
    </row>
    <row r="7" spans="3:24" s="1" customFormat="1" ht="60" x14ac:dyDescent="0.25">
      <c r="C7" s="36"/>
      <c r="D7" s="1" t="s">
        <v>232</v>
      </c>
      <c r="E7" s="1" t="s">
        <v>170</v>
      </c>
      <c r="F7" s="9" t="s">
        <v>240</v>
      </c>
      <c r="G7" s="9" t="s">
        <v>240</v>
      </c>
      <c r="H7" s="9" t="s">
        <v>242</v>
      </c>
      <c r="I7" s="9" t="s">
        <v>241</v>
      </c>
      <c r="J7" s="9" t="s">
        <v>249</v>
      </c>
      <c r="K7" s="9" t="s">
        <v>302</v>
      </c>
      <c r="L7" s="9" t="s">
        <v>302</v>
      </c>
      <c r="M7" s="9" t="s">
        <v>242</v>
      </c>
      <c r="N7" s="9" t="s">
        <v>242</v>
      </c>
      <c r="O7" s="9" t="s">
        <v>408</v>
      </c>
      <c r="P7" s="9" t="s">
        <v>302</v>
      </c>
      <c r="Q7" s="9" t="s">
        <v>448</v>
      </c>
      <c r="R7" s="9" t="s">
        <v>694</v>
      </c>
      <c r="S7" s="9" t="s">
        <v>709</v>
      </c>
      <c r="T7" s="9" t="s">
        <v>739</v>
      </c>
      <c r="U7" s="9" t="s">
        <v>739</v>
      </c>
      <c r="V7" s="9" t="s">
        <v>739</v>
      </c>
      <c r="W7" s="9" t="s">
        <v>739</v>
      </c>
      <c r="X7" s="9" t="s">
        <v>1850</v>
      </c>
    </row>
    <row r="8" spans="3:24" s="1" customFormat="1" ht="30" x14ac:dyDescent="0.25">
      <c r="C8" s="36"/>
      <c r="D8" s="1" t="s">
        <v>232</v>
      </c>
      <c r="E8" s="1" t="s">
        <v>170</v>
      </c>
      <c r="F8" s="9" t="s">
        <v>305</v>
      </c>
      <c r="G8" s="9" t="s">
        <v>304</v>
      </c>
      <c r="H8" s="9" t="s">
        <v>306</v>
      </c>
      <c r="I8" s="9" t="s">
        <v>307</v>
      </c>
      <c r="J8" s="9" t="s">
        <v>307</v>
      </c>
      <c r="K8" s="9" t="s">
        <v>306</v>
      </c>
      <c r="L8" s="9" t="s">
        <v>306</v>
      </c>
      <c r="M8" s="9" t="s">
        <v>306</v>
      </c>
      <c r="N8" s="9" t="s">
        <v>307</v>
      </c>
      <c r="O8" s="9" t="s">
        <v>307</v>
      </c>
      <c r="P8" s="9" t="s">
        <v>306</v>
      </c>
      <c r="Q8" s="9" t="s">
        <v>306</v>
      </c>
      <c r="R8" s="9" t="s">
        <v>306</v>
      </c>
      <c r="S8" s="9" t="s">
        <v>306</v>
      </c>
      <c r="T8" s="9" t="s">
        <v>306</v>
      </c>
      <c r="U8" s="9" t="s">
        <v>306</v>
      </c>
      <c r="V8" s="9" t="s">
        <v>306</v>
      </c>
      <c r="W8" s="9" t="s">
        <v>306</v>
      </c>
      <c r="X8" s="9" t="s">
        <v>306</v>
      </c>
    </row>
    <row r="9" spans="3:24" x14ac:dyDescent="0.25">
      <c r="D9" s="21" t="s">
        <v>225</v>
      </c>
      <c r="E9" s="21" t="s">
        <v>197</v>
      </c>
      <c r="F9" s="28" t="s">
        <v>170</v>
      </c>
      <c r="G9" s="28" t="s">
        <v>0</v>
      </c>
      <c r="H9" s="29">
        <v>45989</v>
      </c>
      <c r="I9" s="29">
        <v>45991</v>
      </c>
      <c r="J9" s="29">
        <v>45997</v>
      </c>
      <c r="K9" s="29">
        <v>46004</v>
      </c>
      <c r="L9" s="29">
        <v>46011</v>
      </c>
      <c r="M9" s="29">
        <v>46018</v>
      </c>
      <c r="N9" s="29">
        <v>46039</v>
      </c>
      <c r="O9" s="29">
        <v>46047</v>
      </c>
      <c r="P9" s="29">
        <v>46053</v>
      </c>
      <c r="Q9" s="29">
        <v>46060</v>
      </c>
      <c r="R9" s="29">
        <v>46068</v>
      </c>
      <c r="S9" s="29">
        <v>46075</v>
      </c>
      <c r="T9" s="29">
        <v>46082</v>
      </c>
      <c r="U9" s="29">
        <v>46095</v>
      </c>
      <c r="V9" s="29">
        <v>46102</v>
      </c>
      <c r="W9" s="29">
        <v>46110</v>
      </c>
      <c r="X9" s="29">
        <v>46123</v>
      </c>
    </row>
    <row r="10" spans="3:24" ht="45" x14ac:dyDescent="0.25">
      <c r="D10" s="21" t="s">
        <v>225</v>
      </c>
      <c r="E10" s="21" t="s">
        <v>197</v>
      </c>
      <c r="F10" s="28" t="s">
        <v>170</v>
      </c>
      <c r="G10" s="28" t="s">
        <v>1</v>
      </c>
      <c r="H10" s="28" t="s">
        <v>246</v>
      </c>
      <c r="I10" s="28" t="s">
        <v>245</v>
      </c>
      <c r="J10" s="28" t="s">
        <v>244</v>
      </c>
      <c r="K10" s="28" t="s">
        <v>244</v>
      </c>
      <c r="L10" s="28" t="s">
        <v>244</v>
      </c>
      <c r="M10" s="28" t="s">
        <v>382</v>
      </c>
      <c r="N10" s="28" t="s">
        <v>245</v>
      </c>
      <c r="O10" s="28" t="s">
        <v>245</v>
      </c>
      <c r="P10" s="28" t="s">
        <v>245</v>
      </c>
      <c r="Q10" s="28" t="s">
        <v>245</v>
      </c>
      <c r="R10" s="28" t="s">
        <v>695</v>
      </c>
      <c r="S10" s="28" t="s">
        <v>695</v>
      </c>
      <c r="T10" s="28" t="s">
        <v>737</v>
      </c>
      <c r="U10" s="28" t="s">
        <v>1345</v>
      </c>
      <c r="V10" s="28" t="s">
        <v>245</v>
      </c>
      <c r="W10" s="28" t="s">
        <v>244</v>
      </c>
      <c r="X10" s="28" t="s">
        <v>1852</v>
      </c>
    </row>
    <row r="11" spans="3:24" x14ac:dyDescent="0.25">
      <c r="D11" s="21" t="s">
        <v>225</v>
      </c>
      <c r="E11" s="21" t="s">
        <v>197</v>
      </c>
      <c r="F11" s="28" t="s">
        <v>170</v>
      </c>
      <c r="G11" s="28" t="s">
        <v>2</v>
      </c>
      <c r="H11" s="28">
        <v>11.65</v>
      </c>
      <c r="I11" s="28">
        <v>8.6199999999999992</v>
      </c>
      <c r="J11" s="28">
        <v>10.74</v>
      </c>
      <c r="K11" s="28">
        <v>11.05</v>
      </c>
      <c r="L11" s="28">
        <v>10.67</v>
      </c>
      <c r="M11" s="28">
        <v>10.1</v>
      </c>
      <c r="N11" s="28">
        <v>8.76</v>
      </c>
      <c r="O11" s="28">
        <v>8.3000000000000007</v>
      </c>
      <c r="P11" s="28">
        <v>8.65</v>
      </c>
      <c r="Q11" s="28">
        <v>8.83</v>
      </c>
      <c r="R11" s="28">
        <v>15</v>
      </c>
      <c r="S11" s="28">
        <v>13.6</v>
      </c>
      <c r="T11" s="28">
        <v>9.5</v>
      </c>
      <c r="U11" s="28">
        <v>14.8</v>
      </c>
      <c r="V11" s="28">
        <v>8.9</v>
      </c>
      <c r="W11" s="28">
        <v>9.8000000000000007</v>
      </c>
      <c r="X11" s="28">
        <v>12.75</v>
      </c>
    </row>
    <row r="12" spans="3:24" x14ac:dyDescent="0.25">
      <c r="D12" s="21" t="s">
        <v>225</v>
      </c>
      <c r="E12" s="21" t="s">
        <v>197</v>
      </c>
      <c r="F12" s="28" t="s">
        <v>170</v>
      </c>
      <c r="G12" s="28" t="s">
        <v>3</v>
      </c>
      <c r="H12" s="28">
        <v>3911</v>
      </c>
      <c r="I12" s="28">
        <v>4058</v>
      </c>
      <c r="J12" s="28">
        <v>4249</v>
      </c>
      <c r="K12" s="28">
        <v>4081</v>
      </c>
      <c r="L12" s="28">
        <v>4098</v>
      </c>
      <c r="M12" s="28">
        <v>3474</v>
      </c>
      <c r="N12" s="28">
        <v>4078</v>
      </c>
      <c r="O12" s="28">
        <v>3996</v>
      </c>
      <c r="P12" s="28">
        <v>4042</v>
      </c>
      <c r="Q12" s="28">
        <v>4121</v>
      </c>
      <c r="R12" s="28">
        <v>4770</v>
      </c>
      <c r="S12" s="28">
        <v>4501</v>
      </c>
      <c r="T12" s="28">
        <v>3235</v>
      </c>
      <c r="U12" s="28">
        <v>5049</v>
      </c>
      <c r="V12" s="28">
        <v>4121</v>
      </c>
      <c r="W12" s="28">
        <v>3907</v>
      </c>
      <c r="X12" s="28">
        <v>4629</v>
      </c>
    </row>
    <row r="13" spans="3:24" x14ac:dyDescent="0.25">
      <c r="D13" s="21" t="s">
        <v>225</v>
      </c>
      <c r="E13" s="21" t="s">
        <v>197</v>
      </c>
      <c r="F13" s="28" t="s">
        <v>170</v>
      </c>
      <c r="G13" s="28" t="s">
        <v>18</v>
      </c>
      <c r="H13" s="28">
        <v>3888</v>
      </c>
      <c r="I13" s="28">
        <v>4078</v>
      </c>
      <c r="J13" s="28">
        <v>4190</v>
      </c>
      <c r="K13" s="28">
        <v>4101</v>
      </c>
      <c r="L13" s="28">
        <v>4134</v>
      </c>
      <c r="M13" s="28">
        <v>3484</v>
      </c>
      <c r="N13" s="28">
        <v>4088</v>
      </c>
      <c r="O13" s="28">
        <v>4242</v>
      </c>
      <c r="P13" s="28">
        <v>4035</v>
      </c>
      <c r="Q13" s="28">
        <v>4117</v>
      </c>
      <c r="R13" s="28">
        <v>4738</v>
      </c>
      <c r="S13" s="28">
        <v>4465</v>
      </c>
      <c r="T13" s="28">
        <v>3248</v>
      </c>
      <c r="U13" s="28">
        <v>5052</v>
      </c>
      <c r="V13" s="28">
        <v>4098</v>
      </c>
      <c r="W13" s="28">
        <v>3586</v>
      </c>
      <c r="X13" s="28">
        <v>4610</v>
      </c>
    </row>
    <row r="14" spans="3:24" s="1" customFormat="1" x14ac:dyDescent="0.25">
      <c r="C14" s="36"/>
      <c r="D14" s="1" t="s">
        <v>232</v>
      </c>
      <c r="E14" s="1" t="s">
        <v>170</v>
      </c>
      <c r="F14" s="9" t="s">
        <v>170</v>
      </c>
      <c r="G14" s="9" t="s">
        <v>310</v>
      </c>
      <c r="H14" s="40">
        <v>0.41666666666666669</v>
      </c>
      <c r="I14" s="40">
        <v>0.4236111111111111</v>
      </c>
      <c r="J14" s="40">
        <v>0.44791666666666669</v>
      </c>
      <c r="K14" s="40">
        <v>0.35416666666666669</v>
      </c>
      <c r="L14" s="40">
        <v>0.38541666666666669</v>
      </c>
      <c r="M14" s="40">
        <v>0.47916666666666669</v>
      </c>
      <c r="N14" s="40">
        <v>0.35416666666666669</v>
      </c>
      <c r="O14" s="40">
        <v>0.39583333333333331</v>
      </c>
      <c r="P14" s="40">
        <v>0.375</v>
      </c>
      <c r="Q14" s="40">
        <v>0.35416666666666669</v>
      </c>
      <c r="R14" s="40">
        <v>0.27083333333333331</v>
      </c>
      <c r="S14" s="40">
        <v>0.2638888888888889</v>
      </c>
      <c r="T14" s="40">
        <v>0.45833333333333331</v>
      </c>
      <c r="U14" s="40">
        <v>0.28125</v>
      </c>
      <c r="V14" s="40">
        <v>0.32291666666666669</v>
      </c>
      <c r="W14" s="40">
        <v>0.32291666666666669</v>
      </c>
      <c r="X14" s="40">
        <v>0.32291666666666669</v>
      </c>
    </row>
    <row r="15" spans="3:24" s="1" customFormat="1" x14ac:dyDescent="0.25">
      <c r="C15" s="36"/>
      <c r="D15" s="1" t="s">
        <v>232</v>
      </c>
      <c r="E15" s="1" t="s">
        <v>170</v>
      </c>
      <c r="F15" s="9" t="s">
        <v>170</v>
      </c>
      <c r="G15" s="9" t="s">
        <v>311</v>
      </c>
      <c r="H15" s="40">
        <f>(H14)+(H16/1440)</f>
        <v>0.63749999999999996</v>
      </c>
      <c r="I15" s="40">
        <f>(I14)+(I16/1440)</f>
        <v>0.67083333333333339</v>
      </c>
      <c r="J15" s="40">
        <f t="shared" ref="J15:K15" si="0">(J14)+(J16/1440)</f>
        <v>0.7236111111111112</v>
      </c>
      <c r="K15" s="40">
        <f t="shared" si="0"/>
        <v>0.61041666666666661</v>
      </c>
      <c r="L15" s="40">
        <f t="shared" ref="L15:O15" si="1">(L14)+(L16/1440)</f>
        <v>0.60555555555555562</v>
      </c>
      <c r="M15" s="40">
        <f t="shared" si="1"/>
        <v>0.66249999999999998</v>
      </c>
      <c r="N15" s="40">
        <f t="shared" si="1"/>
        <v>0.59375</v>
      </c>
      <c r="O15" s="40">
        <f t="shared" si="1"/>
        <v>0.63263888888888886</v>
      </c>
      <c r="P15" s="40">
        <f t="shared" ref="P15:R15" si="2">(P14)+(P16/1440)</f>
        <v>0.6</v>
      </c>
      <c r="Q15" s="40">
        <f t="shared" si="2"/>
        <v>0.58125000000000004</v>
      </c>
      <c r="R15" s="40">
        <f t="shared" si="2"/>
        <v>0.50624999999999998</v>
      </c>
      <c r="S15" s="40">
        <f t="shared" ref="S15:T15" si="3">(S14)+(S16/1440)</f>
        <v>0.49652777777777779</v>
      </c>
      <c r="T15" s="40">
        <f t="shared" si="3"/>
        <v>0.65625</v>
      </c>
      <c r="U15" s="40">
        <f t="shared" ref="U15:V15" si="4">(U14)+(U16/1440)</f>
        <v>0.55625000000000002</v>
      </c>
      <c r="V15" s="40">
        <f t="shared" si="4"/>
        <v>0.55069444444444449</v>
      </c>
      <c r="W15" s="40">
        <f t="shared" ref="W15:X15" si="5">(W14)+(W16/1440)</f>
        <v>0.53819444444444442</v>
      </c>
      <c r="X15" s="40">
        <f t="shared" ref="X15" si="6">(X14)+(X16/1440)</f>
        <v>0.62430555555555556</v>
      </c>
    </row>
    <row r="16" spans="3:24" x14ac:dyDescent="0.25">
      <c r="D16" s="21" t="s">
        <v>225</v>
      </c>
      <c r="E16" s="21" t="s">
        <v>197</v>
      </c>
      <c r="F16" s="28" t="s">
        <v>170</v>
      </c>
      <c r="G16" s="28" t="s">
        <v>4</v>
      </c>
      <c r="H16" s="28">
        <v>318</v>
      </c>
      <c r="I16" s="41">
        <v>356</v>
      </c>
      <c r="J16" s="41">
        <v>397</v>
      </c>
      <c r="K16" s="41">
        <v>369</v>
      </c>
      <c r="L16" s="41">
        <v>317</v>
      </c>
      <c r="M16" s="28">
        <f>240+24</f>
        <v>264</v>
      </c>
      <c r="N16" s="28">
        <f>345</f>
        <v>345</v>
      </c>
      <c r="O16" s="28">
        <f>341</f>
        <v>341</v>
      </c>
      <c r="P16" s="28">
        <f>324</f>
        <v>324</v>
      </c>
      <c r="Q16" s="28">
        <f>327</f>
        <v>327</v>
      </c>
      <c r="R16" s="28">
        <v>339</v>
      </c>
      <c r="S16" s="28">
        <v>335</v>
      </c>
      <c r="T16" s="28">
        <v>285</v>
      </c>
      <c r="U16" s="28">
        <f>360+36</f>
        <v>396</v>
      </c>
      <c r="V16" s="28">
        <f>300+28</f>
        <v>328</v>
      </c>
      <c r="W16" s="28">
        <v>310</v>
      </c>
      <c r="X16" s="28">
        <v>434</v>
      </c>
    </row>
    <row r="17" spans="3:24" x14ac:dyDescent="0.25">
      <c r="D17" s="21" t="s">
        <v>225</v>
      </c>
      <c r="E17" s="21" t="s">
        <v>197</v>
      </c>
      <c r="F17" s="28" t="s">
        <v>170</v>
      </c>
      <c r="G17" s="28" t="s">
        <v>7</v>
      </c>
      <c r="H17" s="28">
        <v>131</v>
      </c>
      <c r="I17" s="28">
        <v>132</v>
      </c>
      <c r="J17" s="28">
        <v>124</v>
      </c>
      <c r="K17" s="28">
        <v>123</v>
      </c>
      <c r="L17" s="28">
        <v>130</v>
      </c>
      <c r="M17" s="28">
        <v>128</v>
      </c>
      <c r="N17" s="28">
        <v>128</v>
      </c>
      <c r="O17" s="28">
        <v>128</v>
      </c>
      <c r="P17" s="28">
        <v>128</v>
      </c>
      <c r="Q17" s="28">
        <v>128</v>
      </c>
      <c r="R17" s="28">
        <v>128</v>
      </c>
      <c r="S17" s="28">
        <v>126</v>
      </c>
      <c r="T17" s="28">
        <v>130</v>
      </c>
      <c r="U17" s="28">
        <v>130</v>
      </c>
      <c r="V17" s="28">
        <v>126</v>
      </c>
      <c r="W17" s="28">
        <v>129</v>
      </c>
      <c r="X17" s="28">
        <v>125</v>
      </c>
    </row>
    <row r="18" spans="3:24" x14ac:dyDescent="0.25">
      <c r="D18" s="21" t="s">
        <v>225</v>
      </c>
      <c r="E18" s="21" t="s">
        <v>197</v>
      </c>
      <c r="F18" s="28" t="s">
        <v>170</v>
      </c>
      <c r="G18" s="28" t="s">
        <v>8</v>
      </c>
      <c r="H18" s="28">
        <v>164</v>
      </c>
      <c r="I18" s="28">
        <v>161</v>
      </c>
      <c r="J18" s="28">
        <v>155</v>
      </c>
      <c r="K18" s="28">
        <v>156</v>
      </c>
      <c r="L18" s="28">
        <v>157</v>
      </c>
      <c r="M18" s="28">
        <v>157</v>
      </c>
      <c r="N18" s="28">
        <v>155</v>
      </c>
      <c r="O18" s="28">
        <v>151</v>
      </c>
      <c r="P18" s="28">
        <v>150</v>
      </c>
      <c r="Q18" s="28">
        <v>150</v>
      </c>
      <c r="R18" s="28">
        <v>165</v>
      </c>
      <c r="S18" s="28">
        <v>153</v>
      </c>
      <c r="T18" s="28">
        <v>159</v>
      </c>
      <c r="U18" s="28">
        <v>158</v>
      </c>
      <c r="V18" s="28">
        <v>157</v>
      </c>
      <c r="W18" s="28">
        <v>155</v>
      </c>
      <c r="X18" s="28">
        <v>159</v>
      </c>
    </row>
    <row r="19" spans="3:24" x14ac:dyDescent="0.25">
      <c r="D19" s="18" t="s">
        <v>225</v>
      </c>
      <c r="E19" s="18" t="s">
        <v>197</v>
      </c>
      <c r="F19" s="16" t="s">
        <v>170</v>
      </c>
      <c r="G19" s="16" t="s">
        <v>9</v>
      </c>
      <c r="H19" s="179">
        <v>-1.24E-2</v>
      </c>
      <c r="I19" s="179">
        <v>-1.9699999999999999E-2</v>
      </c>
      <c r="J19" s="180">
        <v>-5.4999999999999997E-3</v>
      </c>
      <c r="K19" s="180">
        <v>2.7000000000000001E-3</v>
      </c>
      <c r="L19" s="180">
        <v>-6.7000000000000002E-3</v>
      </c>
      <c r="M19" s="179">
        <v>-1.5900000000000001E-2</v>
      </c>
      <c r="N19" s="179">
        <v>-1.0500000000000001E-2</v>
      </c>
      <c r="O19" s="179">
        <v>-2.0000000000000001E-4</v>
      </c>
      <c r="P19" s="179">
        <v>-1.52E-2</v>
      </c>
      <c r="Q19" s="179">
        <v>-1.7000000000000001E-2</v>
      </c>
      <c r="R19" s="179">
        <v>-9.1999999999999998E-3</v>
      </c>
      <c r="S19" s="179">
        <v>0.01</v>
      </c>
      <c r="T19" s="179">
        <v>-2.8299999999999999E-2</v>
      </c>
      <c r="U19" s="179">
        <v>-6.7000000000000002E-3</v>
      </c>
      <c r="V19" s="179">
        <v>-5.0000000000000001E-4</v>
      </c>
      <c r="W19" s="179">
        <v>-5.0000000000000001E-3</v>
      </c>
      <c r="X19" s="179">
        <v>-8.0000000000000002E-3</v>
      </c>
    </row>
    <row r="20" spans="3:24" x14ac:dyDescent="0.25">
      <c r="D20" s="21" t="s">
        <v>225</v>
      </c>
      <c r="E20" s="21" t="s">
        <v>197</v>
      </c>
      <c r="F20" s="28" t="s">
        <v>170</v>
      </c>
      <c r="G20" s="28" t="s">
        <v>1346</v>
      </c>
      <c r="H20" s="28">
        <v>1087</v>
      </c>
      <c r="I20" s="28">
        <v>6115</v>
      </c>
      <c r="J20" s="28">
        <v>6115</v>
      </c>
      <c r="K20" s="28">
        <v>6107</v>
      </c>
      <c r="L20" s="28">
        <v>6113</v>
      </c>
      <c r="M20" s="28">
        <v>1070</v>
      </c>
      <c r="N20" s="28">
        <v>6123</v>
      </c>
      <c r="O20" s="28">
        <v>5909</v>
      </c>
      <c r="P20" s="28">
        <v>6129</v>
      </c>
      <c r="Q20" s="28">
        <v>6114</v>
      </c>
      <c r="R20" s="28">
        <v>1806</v>
      </c>
      <c r="S20" s="28">
        <v>1806</v>
      </c>
      <c r="T20" s="28">
        <v>1089</v>
      </c>
      <c r="U20" s="28">
        <v>991</v>
      </c>
      <c r="V20" s="28">
        <v>6136</v>
      </c>
      <c r="W20" s="28">
        <v>6133</v>
      </c>
      <c r="X20" s="28">
        <v>6334</v>
      </c>
    </row>
    <row r="21" spans="3:24" x14ac:dyDescent="0.25">
      <c r="D21" s="21" t="s">
        <v>225</v>
      </c>
      <c r="E21" s="21" t="s">
        <v>197</v>
      </c>
      <c r="F21" s="28" t="s">
        <v>170</v>
      </c>
      <c r="G21" s="28" t="s">
        <v>11</v>
      </c>
      <c r="H21" s="28">
        <v>4013</v>
      </c>
      <c r="I21" s="28">
        <v>10075</v>
      </c>
      <c r="J21" s="28">
        <v>10075</v>
      </c>
      <c r="K21" s="28">
        <v>10085</v>
      </c>
      <c r="L21" s="28">
        <v>10105</v>
      </c>
      <c r="M21" s="28">
        <v>3893</v>
      </c>
      <c r="N21" s="28">
        <v>10078</v>
      </c>
      <c r="O21" s="28">
        <v>10072</v>
      </c>
      <c r="P21" s="28">
        <v>10111</v>
      </c>
      <c r="Q21" s="28">
        <v>10089</v>
      </c>
      <c r="R21" s="28">
        <v>5762</v>
      </c>
      <c r="S21" s="28">
        <v>5693</v>
      </c>
      <c r="T21" s="28">
        <v>3898</v>
      </c>
      <c r="U21" s="28">
        <v>5694</v>
      </c>
      <c r="V21" s="28">
        <v>10112</v>
      </c>
      <c r="W21" s="28">
        <v>10080</v>
      </c>
      <c r="X21" s="28">
        <v>10849</v>
      </c>
    </row>
    <row r="22" spans="3:24" x14ac:dyDescent="0.25">
      <c r="D22" s="21" t="s">
        <v>225</v>
      </c>
      <c r="E22" s="21" t="s">
        <v>197</v>
      </c>
      <c r="F22" s="28" t="s">
        <v>170</v>
      </c>
      <c r="G22" s="28" t="s">
        <v>15</v>
      </c>
      <c r="H22" s="28">
        <v>5</v>
      </c>
      <c r="I22" s="28">
        <v>5</v>
      </c>
      <c r="J22" s="28">
        <v>3.1</v>
      </c>
      <c r="K22" s="28">
        <v>3.3</v>
      </c>
      <c r="L22" s="28">
        <v>3.6</v>
      </c>
      <c r="M22" s="28">
        <v>4</v>
      </c>
      <c r="N22" s="28">
        <v>3.2</v>
      </c>
      <c r="O22" s="28">
        <v>3.3</v>
      </c>
      <c r="P22" s="28">
        <v>3.2</v>
      </c>
      <c r="Q22" s="28">
        <v>3</v>
      </c>
      <c r="R22" s="28">
        <v>3.7</v>
      </c>
      <c r="S22" s="28">
        <v>3.2</v>
      </c>
      <c r="T22" s="28">
        <v>3.7</v>
      </c>
      <c r="U22" s="28">
        <v>3.4</v>
      </c>
      <c r="V22" s="149">
        <v>3</v>
      </c>
      <c r="W22" s="149">
        <v>3.2</v>
      </c>
      <c r="X22" s="149">
        <v>3.1</v>
      </c>
    </row>
    <row r="23" spans="3:24" x14ac:dyDescent="0.25">
      <c r="D23" s="21" t="s">
        <v>225</v>
      </c>
      <c r="E23" s="21" t="s">
        <v>197</v>
      </c>
      <c r="F23" s="28" t="s">
        <v>170</v>
      </c>
      <c r="G23" s="28" t="s">
        <v>16</v>
      </c>
      <c r="H23" s="28">
        <v>2.4</v>
      </c>
      <c r="I23" s="28">
        <v>2.5</v>
      </c>
      <c r="J23" s="28">
        <v>0.3</v>
      </c>
      <c r="K23" s="28">
        <v>0</v>
      </c>
      <c r="L23" s="28">
        <v>0</v>
      </c>
      <c r="M23" s="28">
        <v>0</v>
      </c>
      <c r="N23" s="28">
        <v>0</v>
      </c>
      <c r="O23" s="28">
        <v>0.1</v>
      </c>
      <c r="P23" s="28">
        <v>0</v>
      </c>
      <c r="Q23" s="28">
        <v>0</v>
      </c>
      <c r="R23" s="28">
        <v>0.1</v>
      </c>
      <c r="S23" s="28">
        <v>0</v>
      </c>
      <c r="T23" s="28">
        <v>0</v>
      </c>
      <c r="U23" s="28">
        <v>0</v>
      </c>
      <c r="V23" s="28">
        <v>0</v>
      </c>
      <c r="W23" s="28">
        <v>0</v>
      </c>
      <c r="X23" s="28">
        <v>0.1</v>
      </c>
    </row>
    <row r="24" spans="3:24" x14ac:dyDescent="0.25">
      <c r="D24" s="21" t="s">
        <v>225</v>
      </c>
      <c r="E24" s="21" t="s">
        <v>197</v>
      </c>
      <c r="F24" s="28" t="s">
        <v>170</v>
      </c>
      <c r="G24" s="28" t="s">
        <v>17</v>
      </c>
      <c r="H24" s="28">
        <v>336</v>
      </c>
      <c r="I24" s="28">
        <v>438</v>
      </c>
      <c r="J24" s="28">
        <v>103</v>
      </c>
      <c r="K24" s="28">
        <v>102</v>
      </c>
      <c r="L24" s="28">
        <v>123</v>
      </c>
      <c r="M24" s="28">
        <v>139</v>
      </c>
      <c r="N24" s="28">
        <v>81</v>
      </c>
      <c r="O24" s="28">
        <v>85</v>
      </c>
      <c r="P24" s="28">
        <v>76</v>
      </c>
      <c r="Q24" s="28">
        <v>63</v>
      </c>
      <c r="R24" s="28">
        <v>121</v>
      </c>
      <c r="S24" s="28">
        <v>79</v>
      </c>
      <c r="T24" s="28">
        <v>115</v>
      </c>
      <c r="U24" s="28">
        <v>94</v>
      </c>
      <c r="V24" s="28">
        <v>62</v>
      </c>
      <c r="W24" s="28">
        <v>79</v>
      </c>
      <c r="X24" s="28">
        <v>71</v>
      </c>
    </row>
    <row r="25" spans="3:24" x14ac:dyDescent="0.25">
      <c r="D25" s="21" t="s">
        <v>225</v>
      </c>
      <c r="E25" s="21" t="s">
        <v>197</v>
      </c>
      <c r="F25" s="28" t="s">
        <v>170</v>
      </c>
      <c r="G25" s="28" t="s">
        <v>248</v>
      </c>
      <c r="H25" s="28">
        <v>70</v>
      </c>
      <c r="I25" s="28">
        <v>41</v>
      </c>
      <c r="J25" s="28">
        <v>48</v>
      </c>
      <c r="K25" s="28">
        <v>59</v>
      </c>
      <c r="L25" s="28">
        <v>54</v>
      </c>
      <c r="M25" s="28">
        <v>54</v>
      </c>
      <c r="N25" s="28">
        <v>63</v>
      </c>
      <c r="O25" s="28">
        <v>50</v>
      </c>
      <c r="P25" s="28">
        <v>61</v>
      </c>
      <c r="Q25" s="28">
        <v>45</v>
      </c>
      <c r="R25" s="28">
        <v>54</v>
      </c>
      <c r="S25" s="28">
        <v>48</v>
      </c>
      <c r="T25" s="28">
        <v>79</v>
      </c>
      <c r="U25" s="28">
        <v>61</v>
      </c>
      <c r="V25" s="28">
        <v>59</v>
      </c>
      <c r="W25" s="28">
        <v>57</v>
      </c>
      <c r="X25" s="28">
        <v>46</v>
      </c>
    </row>
    <row r="26" spans="3:24" x14ac:dyDescent="0.25">
      <c r="D26" s="21" t="s">
        <v>225</v>
      </c>
      <c r="E26" s="21" t="s">
        <v>197</v>
      </c>
      <c r="F26" s="28" t="s">
        <v>170</v>
      </c>
      <c r="G26" s="28" t="s">
        <v>247</v>
      </c>
      <c r="H26" s="28">
        <v>91</v>
      </c>
      <c r="I26" s="28">
        <v>81</v>
      </c>
      <c r="J26" s="28">
        <v>82</v>
      </c>
      <c r="K26" s="28">
        <v>82</v>
      </c>
      <c r="L26" s="28">
        <v>79</v>
      </c>
      <c r="M26" s="28">
        <v>88</v>
      </c>
      <c r="N26" s="28">
        <v>82</v>
      </c>
      <c r="O26" s="28">
        <v>75</v>
      </c>
      <c r="P26" s="28">
        <v>84</v>
      </c>
      <c r="Q26" s="28">
        <v>77</v>
      </c>
      <c r="R26" s="28">
        <v>77</v>
      </c>
      <c r="S26" s="28">
        <v>84</v>
      </c>
      <c r="T26" s="28">
        <v>97</v>
      </c>
      <c r="U26" s="28">
        <v>91</v>
      </c>
      <c r="V26" s="28">
        <v>86</v>
      </c>
      <c r="W26" s="28">
        <v>86</v>
      </c>
      <c r="X26" s="28">
        <v>75</v>
      </c>
    </row>
    <row r="27" spans="3:24" x14ac:dyDescent="0.25">
      <c r="D27" s="21" t="s">
        <v>225</v>
      </c>
      <c r="E27" s="21" t="s">
        <v>197</v>
      </c>
      <c r="F27" s="28" t="s">
        <v>170</v>
      </c>
      <c r="G27" s="28" t="s">
        <v>19</v>
      </c>
      <c r="H27" s="28">
        <v>81</v>
      </c>
      <c r="I27" s="28">
        <v>60</v>
      </c>
      <c r="J27" s="28">
        <v>67</v>
      </c>
      <c r="K27" s="28">
        <v>72</v>
      </c>
      <c r="L27" s="28">
        <v>68</v>
      </c>
      <c r="M27" s="28">
        <v>67</v>
      </c>
      <c r="N27" s="28">
        <v>72</v>
      </c>
      <c r="O27" s="28">
        <v>59</v>
      </c>
      <c r="P27" s="28">
        <v>71</v>
      </c>
      <c r="Q27" s="28">
        <v>60</v>
      </c>
      <c r="R27" s="28">
        <v>60</v>
      </c>
      <c r="S27" s="28">
        <v>64</v>
      </c>
      <c r="T27" s="28">
        <v>87</v>
      </c>
      <c r="U27" s="28">
        <v>75</v>
      </c>
      <c r="V27" s="28">
        <v>71</v>
      </c>
      <c r="W27" s="28">
        <v>70</v>
      </c>
      <c r="X27" s="28">
        <v>59</v>
      </c>
    </row>
    <row r="28" spans="3:24" ht="45" x14ac:dyDescent="0.25">
      <c r="D28" s="21" t="s">
        <v>225</v>
      </c>
      <c r="E28" s="21" t="s">
        <v>197</v>
      </c>
      <c r="F28" s="28" t="s">
        <v>170</v>
      </c>
      <c r="G28" s="28" t="s">
        <v>97</v>
      </c>
      <c r="H28" s="28" t="s">
        <v>111</v>
      </c>
      <c r="I28" s="28" t="s">
        <v>211</v>
      </c>
      <c r="J28" s="28" t="s">
        <v>211</v>
      </c>
      <c r="K28" s="28" t="s">
        <v>211</v>
      </c>
      <c r="L28" s="28" t="s">
        <v>211</v>
      </c>
      <c r="M28" s="28" t="s">
        <v>111</v>
      </c>
      <c r="N28" s="28" t="s">
        <v>211</v>
      </c>
      <c r="O28" s="28" t="s">
        <v>211</v>
      </c>
      <c r="P28" s="28" t="s">
        <v>211</v>
      </c>
      <c r="Q28" s="28" t="s">
        <v>211</v>
      </c>
      <c r="R28" s="28" t="s">
        <v>696</v>
      </c>
      <c r="S28" s="28" t="s">
        <v>696</v>
      </c>
      <c r="T28" s="28" t="s">
        <v>111</v>
      </c>
      <c r="U28" s="28" t="s">
        <v>1347</v>
      </c>
      <c r="V28" s="28" t="s">
        <v>211</v>
      </c>
      <c r="W28" s="28" t="s">
        <v>211</v>
      </c>
      <c r="X28" s="28" t="s">
        <v>1853</v>
      </c>
    </row>
    <row r="29" spans="3:24" x14ac:dyDescent="0.25">
      <c r="D29" s="34" t="s">
        <v>225</v>
      </c>
      <c r="E29" s="34" t="s">
        <v>197</v>
      </c>
      <c r="F29" s="35" t="s">
        <v>203</v>
      </c>
      <c r="G29" s="35" t="s">
        <v>112</v>
      </c>
      <c r="H29" s="35">
        <v>46</v>
      </c>
      <c r="I29" s="35">
        <v>46</v>
      </c>
      <c r="J29" s="35">
        <v>46</v>
      </c>
      <c r="K29" s="35">
        <v>46</v>
      </c>
      <c r="L29" s="35">
        <v>46</v>
      </c>
      <c r="M29" s="35">
        <v>46</v>
      </c>
      <c r="N29" s="35">
        <v>46</v>
      </c>
      <c r="O29" s="35">
        <v>46</v>
      </c>
      <c r="P29" s="35">
        <v>46</v>
      </c>
      <c r="Q29" s="35">
        <v>46</v>
      </c>
      <c r="R29" s="35">
        <v>46</v>
      </c>
      <c r="S29" s="35">
        <v>46</v>
      </c>
      <c r="T29" s="35">
        <v>46</v>
      </c>
      <c r="U29" s="35">
        <v>46</v>
      </c>
      <c r="V29" s="35">
        <v>46</v>
      </c>
      <c r="W29" s="35">
        <v>46</v>
      </c>
      <c r="X29" s="35">
        <v>46</v>
      </c>
    </row>
    <row r="30" spans="3:24" x14ac:dyDescent="0.25">
      <c r="D30" s="34" t="s">
        <v>261</v>
      </c>
      <c r="E30" s="34" t="s">
        <v>197</v>
      </c>
      <c r="F30" s="35" t="s">
        <v>203</v>
      </c>
      <c r="G30" s="35" t="s">
        <v>112</v>
      </c>
      <c r="H30" s="35" t="s">
        <v>1646</v>
      </c>
      <c r="I30" s="35" t="s">
        <v>1646</v>
      </c>
      <c r="J30" s="35" t="s">
        <v>1646</v>
      </c>
      <c r="K30" s="35" t="s">
        <v>1646</v>
      </c>
      <c r="L30" s="35" t="s">
        <v>1646</v>
      </c>
      <c r="M30" s="35" t="s">
        <v>1646</v>
      </c>
      <c r="N30" s="35" t="s">
        <v>1646</v>
      </c>
      <c r="O30" s="35" t="s">
        <v>1646</v>
      </c>
      <c r="P30" s="35" t="s">
        <v>1646</v>
      </c>
      <c r="Q30" s="35" t="s">
        <v>1646</v>
      </c>
      <c r="R30" s="35" t="s">
        <v>1646</v>
      </c>
      <c r="S30" s="35" t="s">
        <v>1646</v>
      </c>
      <c r="T30" s="35" t="s">
        <v>1646</v>
      </c>
      <c r="U30" s="35" t="s">
        <v>1646</v>
      </c>
      <c r="V30" s="35" t="s">
        <v>1646</v>
      </c>
      <c r="W30" s="35" t="s">
        <v>1646</v>
      </c>
      <c r="X30" s="35" t="s">
        <v>1646</v>
      </c>
    </row>
    <row r="31" spans="3:24" ht="30" x14ac:dyDescent="0.25">
      <c r="C31" s="4"/>
      <c r="D31" s="9" t="s">
        <v>224</v>
      </c>
      <c r="E31" t="s">
        <v>197</v>
      </c>
      <c r="F31" s="9" t="s">
        <v>160</v>
      </c>
      <c r="G31" s="9" t="s">
        <v>153</v>
      </c>
      <c r="H31" s="9" t="s">
        <v>157</v>
      </c>
      <c r="I31" s="9" t="s">
        <v>210</v>
      </c>
      <c r="J31" s="9" t="s">
        <v>250</v>
      </c>
      <c r="K31" s="9" t="s">
        <v>210</v>
      </c>
      <c r="L31" s="9" t="s">
        <v>365</v>
      </c>
      <c r="M31" s="9" t="s">
        <v>383</v>
      </c>
      <c r="N31" s="9" t="s">
        <v>210</v>
      </c>
      <c r="O31" s="9" t="s">
        <v>210</v>
      </c>
      <c r="P31" s="9" t="s">
        <v>428</v>
      </c>
      <c r="Q31" s="9" t="s">
        <v>449</v>
      </c>
      <c r="R31" s="9" t="s">
        <v>697</v>
      </c>
      <c r="S31" s="9" t="s">
        <v>710</v>
      </c>
      <c r="T31" s="9" t="s">
        <v>740</v>
      </c>
      <c r="U31" s="9" t="s">
        <v>157</v>
      </c>
      <c r="V31" s="9" t="s">
        <v>365</v>
      </c>
      <c r="W31" s="9" t="s">
        <v>365</v>
      </c>
      <c r="X31" s="9" t="s">
        <v>341</v>
      </c>
    </row>
    <row r="32" spans="3:24" x14ac:dyDescent="0.25">
      <c r="C32" s="4"/>
      <c r="D32" s="9" t="s">
        <v>224</v>
      </c>
      <c r="E32" t="s">
        <v>197</v>
      </c>
      <c r="F32" s="9" t="s">
        <v>160</v>
      </c>
      <c r="G32" s="9" t="s">
        <v>154</v>
      </c>
      <c r="H32" s="9" t="s">
        <v>132</v>
      </c>
      <c r="I32" s="9" t="s">
        <v>110</v>
      </c>
      <c r="J32" s="9" t="s">
        <v>110</v>
      </c>
      <c r="K32" s="9" t="s">
        <v>110</v>
      </c>
      <c r="L32" s="9" t="s">
        <v>110</v>
      </c>
      <c r="M32" s="9" t="s">
        <v>132</v>
      </c>
      <c r="N32" s="9" t="s">
        <v>110</v>
      </c>
      <c r="O32" s="9" t="s">
        <v>110</v>
      </c>
      <c r="P32" s="9" t="s">
        <v>110</v>
      </c>
      <c r="Q32" s="9" t="s">
        <v>110</v>
      </c>
      <c r="R32" s="9" t="s">
        <v>110</v>
      </c>
      <c r="S32" s="9" t="s">
        <v>110</v>
      </c>
      <c r="T32" s="9" t="s">
        <v>132</v>
      </c>
      <c r="U32" s="9" t="s">
        <v>132</v>
      </c>
      <c r="V32" s="9" t="s">
        <v>110</v>
      </c>
      <c r="W32" s="9" t="s">
        <v>110</v>
      </c>
      <c r="X32" s="9" t="s">
        <v>110</v>
      </c>
    </row>
    <row r="33" spans="3:24" ht="45" x14ac:dyDescent="0.25">
      <c r="C33" s="4"/>
      <c r="D33" s="9" t="s">
        <v>224</v>
      </c>
      <c r="E33" t="s">
        <v>197</v>
      </c>
      <c r="F33" s="9" t="s">
        <v>160</v>
      </c>
      <c r="G33" s="9" t="s">
        <v>155</v>
      </c>
      <c r="H33" s="9" t="s">
        <v>159</v>
      </c>
      <c r="I33" s="9" t="s">
        <v>159</v>
      </c>
      <c r="J33" s="9" t="s">
        <v>251</v>
      </c>
      <c r="K33" s="9" t="s">
        <v>251</v>
      </c>
      <c r="L33" s="9" t="s">
        <v>251</v>
      </c>
      <c r="M33" s="9" t="s">
        <v>159</v>
      </c>
      <c r="N33" s="9" t="s">
        <v>404</v>
      </c>
      <c r="O33" s="9" t="s">
        <v>404</v>
      </c>
      <c r="P33" s="9" t="s">
        <v>404</v>
      </c>
      <c r="Q33" s="9" t="s">
        <v>450</v>
      </c>
      <c r="R33" s="9" t="s">
        <v>159</v>
      </c>
      <c r="S33" s="9" t="s">
        <v>159</v>
      </c>
      <c r="T33" s="9" t="s">
        <v>159</v>
      </c>
      <c r="U33" s="9" t="s">
        <v>159</v>
      </c>
      <c r="V33" s="9" t="s">
        <v>159</v>
      </c>
      <c r="W33" s="9" t="s">
        <v>159</v>
      </c>
      <c r="X33" s="9" t="s">
        <v>1854</v>
      </c>
    </row>
    <row r="34" spans="3:24" x14ac:dyDescent="0.25">
      <c r="C34" s="4"/>
      <c r="D34" s="9" t="s">
        <v>224</v>
      </c>
      <c r="E34" t="s">
        <v>197</v>
      </c>
      <c r="F34" s="9" t="s">
        <v>160</v>
      </c>
      <c r="G34" s="9" t="s">
        <v>156</v>
      </c>
      <c r="H34" s="9" t="s">
        <v>158</v>
      </c>
      <c r="I34" s="9" t="s">
        <v>158</v>
      </c>
      <c r="J34" s="9" t="s">
        <v>158</v>
      </c>
      <c r="K34" s="9" t="s">
        <v>158</v>
      </c>
      <c r="L34" s="9" t="s">
        <v>158</v>
      </c>
      <c r="M34" s="9" t="s">
        <v>158</v>
      </c>
      <c r="N34" s="9" t="s">
        <v>158</v>
      </c>
      <c r="O34" s="9" t="s">
        <v>158</v>
      </c>
      <c r="P34" s="9" t="s">
        <v>158</v>
      </c>
      <c r="Q34" s="9" t="s">
        <v>158</v>
      </c>
      <c r="R34" s="9" t="s">
        <v>158</v>
      </c>
      <c r="S34" s="9" t="s">
        <v>158</v>
      </c>
      <c r="T34" s="9" t="s">
        <v>158</v>
      </c>
      <c r="U34" s="9" t="s">
        <v>158</v>
      </c>
      <c r="V34" s="9" t="s">
        <v>158</v>
      </c>
      <c r="W34" s="9" t="s">
        <v>158</v>
      </c>
      <c r="X34" s="9" t="s">
        <v>158</v>
      </c>
    </row>
    <row r="35" spans="3:24" x14ac:dyDescent="0.25">
      <c r="C35" s="4"/>
      <c r="D35" s="9" t="s">
        <v>224</v>
      </c>
      <c r="E35" t="s">
        <v>197</v>
      </c>
      <c r="F35" s="9" t="s">
        <v>312</v>
      </c>
      <c r="G35" s="9" t="s">
        <v>313</v>
      </c>
      <c r="H35" s="9" t="s">
        <v>314</v>
      </c>
      <c r="I35" s="9" t="s">
        <v>315</v>
      </c>
      <c r="J35" s="9" t="s">
        <v>315</v>
      </c>
      <c r="K35" s="9" t="s">
        <v>316</v>
      </c>
      <c r="L35" s="9" t="s">
        <v>366</v>
      </c>
      <c r="M35" s="9" t="s">
        <v>316</v>
      </c>
      <c r="N35" s="9" t="s">
        <v>315</v>
      </c>
      <c r="O35" s="9" t="s">
        <v>419</v>
      </c>
      <c r="P35" s="9" t="s">
        <v>366</v>
      </c>
      <c r="Q35" s="9" t="s">
        <v>315</v>
      </c>
      <c r="R35" s="9" t="s">
        <v>315</v>
      </c>
      <c r="S35" s="9" t="s">
        <v>711</v>
      </c>
      <c r="T35" s="9" t="s">
        <v>741</v>
      </c>
      <c r="U35" s="9" t="s">
        <v>1348</v>
      </c>
      <c r="V35" s="9" t="s">
        <v>1471</v>
      </c>
      <c r="W35" s="9" t="s">
        <v>1658</v>
      </c>
      <c r="X35" s="9" t="s">
        <v>1855</v>
      </c>
    </row>
    <row r="36" spans="3:24" x14ac:dyDescent="0.25">
      <c r="C36" s="4"/>
      <c r="D36" s="9" t="s">
        <v>224</v>
      </c>
      <c r="E36" t="s">
        <v>197</v>
      </c>
      <c r="F36" s="9" t="s">
        <v>312</v>
      </c>
      <c r="G36" s="9" t="s">
        <v>317</v>
      </c>
      <c r="H36" s="9" t="s">
        <v>319</v>
      </c>
      <c r="I36" s="9" t="s">
        <v>322</v>
      </c>
      <c r="J36" s="9" t="s">
        <v>321</v>
      </c>
      <c r="K36" s="9" t="s">
        <v>320</v>
      </c>
      <c r="L36" s="9" t="s">
        <v>321</v>
      </c>
      <c r="M36" s="9" t="s">
        <v>319</v>
      </c>
      <c r="N36" s="9" t="s">
        <v>322</v>
      </c>
      <c r="O36" s="9" t="s">
        <v>322</v>
      </c>
      <c r="P36" s="9" t="s">
        <v>320</v>
      </c>
      <c r="Q36" s="9" t="s">
        <v>321</v>
      </c>
      <c r="R36" s="9" t="s">
        <v>321</v>
      </c>
      <c r="S36" s="9" t="s">
        <v>320</v>
      </c>
      <c r="T36" s="9" t="s">
        <v>319</v>
      </c>
      <c r="U36" s="9" t="s">
        <v>319</v>
      </c>
      <c r="V36" s="9" t="s">
        <v>319</v>
      </c>
      <c r="W36" s="9" t="s">
        <v>321</v>
      </c>
      <c r="X36" s="9" t="s">
        <v>321</v>
      </c>
    </row>
    <row r="37" spans="3:24" x14ac:dyDescent="0.25">
      <c r="C37" s="4"/>
      <c r="D37" s="9" t="s">
        <v>224</v>
      </c>
      <c r="E37" t="s">
        <v>197</v>
      </c>
      <c r="F37" s="9" t="s">
        <v>312</v>
      </c>
      <c r="G37" s="9" t="s">
        <v>318</v>
      </c>
      <c r="H37" s="9" t="s">
        <v>319</v>
      </c>
      <c r="I37" s="9" t="s">
        <v>322</v>
      </c>
      <c r="J37" s="9" t="s">
        <v>321</v>
      </c>
      <c r="K37" s="9" t="s">
        <v>321</v>
      </c>
      <c r="L37" s="9" t="s">
        <v>322</v>
      </c>
      <c r="M37" s="9" t="s">
        <v>319</v>
      </c>
      <c r="N37" s="9" t="s">
        <v>321</v>
      </c>
      <c r="O37" s="9" t="s">
        <v>321</v>
      </c>
      <c r="P37" s="9" t="s">
        <v>321</v>
      </c>
      <c r="Q37" s="9" t="s">
        <v>322</v>
      </c>
      <c r="R37" s="9" t="s">
        <v>698</v>
      </c>
      <c r="S37" s="9" t="s">
        <v>322</v>
      </c>
      <c r="T37" s="9" t="s">
        <v>321</v>
      </c>
      <c r="U37" s="9" t="s">
        <v>322</v>
      </c>
      <c r="V37" s="9" t="s">
        <v>321</v>
      </c>
      <c r="W37" s="9" t="s">
        <v>321</v>
      </c>
      <c r="X37" s="9" t="s">
        <v>322</v>
      </c>
    </row>
    <row r="38" spans="3:24" x14ac:dyDescent="0.25">
      <c r="C38" s="4"/>
      <c r="D38" s="9" t="s">
        <v>224</v>
      </c>
      <c r="E38" t="s">
        <v>197</v>
      </c>
      <c r="F38" s="9" t="s">
        <v>230</v>
      </c>
      <c r="G38" s="9" t="s">
        <v>231</v>
      </c>
      <c r="H38" s="9">
        <v>1</v>
      </c>
      <c r="I38" s="9">
        <v>2</v>
      </c>
      <c r="J38" s="9">
        <v>2</v>
      </c>
      <c r="K38" s="9">
        <v>2</v>
      </c>
      <c r="L38" s="9">
        <v>1.5</v>
      </c>
      <c r="M38" s="9">
        <v>2</v>
      </c>
      <c r="N38" s="9">
        <v>1.5</v>
      </c>
      <c r="O38" s="9">
        <v>2</v>
      </c>
      <c r="P38" s="9">
        <v>2</v>
      </c>
      <c r="Q38" s="9">
        <v>2</v>
      </c>
      <c r="R38" s="9">
        <v>2</v>
      </c>
      <c r="S38" s="9">
        <v>2</v>
      </c>
      <c r="T38" s="9">
        <v>2</v>
      </c>
      <c r="U38" s="9">
        <v>2</v>
      </c>
      <c r="V38" s="9">
        <v>2</v>
      </c>
      <c r="W38" s="9">
        <v>2</v>
      </c>
      <c r="X38" s="9">
        <v>2</v>
      </c>
    </row>
    <row r="39" spans="3:24" x14ac:dyDescent="0.25">
      <c r="C39" s="4"/>
      <c r="D39" s="9" t="s">
        <v>224</v>
      </c>
      <c r="E39" t="s">
        <v>197</v>
      </c>
      <c r="F39" s="9" t="s">
        <v>230</v>
      </c>
      <c r="G39" s="9" t="s">
        <v>303</v>
      </c>
      <c r="H39" s="9" t="s">
        <v>323</v>
      </c>
      <c r="I39" s="9" t="s">
        <v>322</v>
      </c>
      <c r="J39" s="9" t="s">
        <v>324</v>
      </c>
      <c r="K39" s="9" t="s">
        <v>325</v>
      </c>
      <c r="L39" s="9" t="s">
        <v>322</v>
      </c>
      <c r="M39" s="9" t="s">
        <v>323</v>
      </c>
      <c r="N39" s="9" t="s">
        <v>325</v>
      </c>
      <c r="O39" s="9" t="s">
        <v>322</v>
      </c>
      <c r="P39" s="9" t="s">
        <v>322</v>
      </c>
      <c r="Q39" s="9" t="s">
        <v>322</v>
      </c>
      <c r="R39" s="9" t="s">
        <v>322</v>
      </c>
      <c r="S39" s="9" t="s">
        <v>322</v>
      </c>
      <c r="T39" s="9" t="s">
        <v>322</v>
      </c>
      <c r="U39" s="9" t="s">
        <v>325</v>
      </c>
      <c r="V39" s="9" t="s">
        <v>325</v>
      </c>
      <c r="W39" s="9" t="s">
        <v>325</v>
      </c>
      <c r="X39" s="9" t="s">
        <v>325</v>
      </c>
    </row>
    <row r="40" spans="3:24" x14ac:dyDescent="0.25">
      <c r="C40" s="4"/>
      <c r="D40" s="9" t="s">
        <v>224</v>
      </c>
      <c r="E40" t="s">
        <v>166</v>
      </c>
      <c r="F40" s="9" t="s">
        <v>384</v>
      </c>
      <c r="G40" s="9" t="s">
        <v>384</v>
      </c>
      <c r="H40" s="9" t="s">
        <v>385</v>
      </c>
      <c r="I40" s="9" t="s">
        <v>386</v>
      </c>
      <c r="J40" s="9" t="s">
        <v>386</v>
      </c>
      <c r="K40" s="9" t="s">
        <v>386</v>
      </c>
      <c r="L40" s="9" t="s">
        <v>386</v>
      </c>
      <c r="M40" s="9" t="s">
        <v>385</v>
      </c>
      <c r="N40" s="9" t="s">
        <v>385</v>
      </c>
      <c r="O40" s="9" t="s">
        <v>386</v>
      </c>
      <c r="P40" s="9" t="s">
        <v>386</v>
      </c>
      <c r="Q40" s="9" t="s">
        <v>386</v>
      </c>
      <c r="R40" s="9" t="s">
        <v>386</v>
      </c>
      <c r="S40" s="9" t="s">
        <v>386</v>
      </c>
      <c r="T40" s="9" t="s">
        <v>306</v>
      </c>
      <c r="U40" s="9" t="s">
        <v>306</v>
      </c>
      <c r="V40" s="9" t="s">
        <v>386</v>
      </c>
      <c r="W40" s="9" t="s">
        <v>386</v>
      </c>
      <c r="X40" s="9" t="s">
        <v>386</v>
      </c>
    </row>
    <row r="41" spans="3:24" x14ac:dyDescent="0.25">
      <c r="D41" s="26" t="s">
        <v>223</v>
      </c>
      <c r="E41" s="26" t="s">
        <v>166</v>
      </c>
      <c r="F41" s="27" t="s">
        <v>170</v>
      </c>
      <c r="G41" s="27" t="s">
        <v>196</v>
      </c>
      <c r="H41" s="27">
        <v>1.1000000000000001</v>
      </c>
      <c r="I41" s="27">
        <v>1.3</v>
      </c>
      <c r="J41" s="27">
        <v>1.8</v>
      </c>
      <c r="K41" s="27">
        <v>1.7</v>
      </c>
      <c r="L41" s="27">
        <v>1.5</v>
      </c>
      <c r="M41" s="27">
        <v>1.9</v>
      </c>
      <c r="N41" s="27">
        <v>1.7</v>
      </c>
      <c r="O41" s="27">
        <v>2.1</v>
      </c>
      <c r="P41" s="27">
        <v>2.2000000000000002</v>
      </c>
      <c r="Q41" s="27">
        <v>2.2000000000000002</v>
      </c>
      <c r="R41" s="27">
        <v>2.1</v>
      </c>
      <c r="S41" s="27">
        <v>2.2000000000000002</v>
      </c>
      <c r="T41" s="27">
        <v>2.4</v>
      </c>
      <c r="U41" s="27">
        <v>2.1</v>
      </c>
      <c r="V41" s="27">
        <v>2.6</v>
      </c>
      <c r="W41" s="27">
        <v>2.6</v>
      </c>
      <c r="X41" s="27">
        <v>2.8</v>
      </c>
    </row>
    <row r="42" spans="3:24" x14ac:dyDescent="0.25">
      <c r="D42" s="26" t="s">
        <v>223</v>
      </c>
      <c r="E42" s="26" t="s">
        <v>170</v>
      </c>
      <c r="F42" s="27" t="s">
        <v>170</v>
      </c>
      <c r="G42" s="27" t="s">
        <v>5</v>
      </c>
      <c r="H42" s="27">
        <v>0.7</v>
      </c>
      <c r="I42" s="27">
        <v>1.5</v>
      </c>
      <c r="J42" s="27">
        <v>1.9</v>
      </c>
      <c r="K42" s="27">
        <v>2.2000000000000002</v>
      </c>
      <c r="L42" s="27">
        <v>1.5</v>
      </c>
      <c r="M42" s="27">
        <v>1.9</v>
      </c>
      <c r="N42" s="27">
        <v>1.7</v>
      </c>
      <c r="O42" s="27">
        <v>2.1</v>
      </c>
      <c r="P42" s="27">
        <v>2.2000000000000002</v>
      </c>
      <c r="Q42" s="27">
        <v>2.2000000000000002</v>
      </c>
      <c r="R42" s="27">
        <v>2.1</v>
      </c>
      <c r="S42" s="27">
        <v>2.2000000000000002</v>
      </c>
      <c r="T42" s="27">
        <v>2.4</v>
      </c>
      <c r="U42" s="27">
        <v>2.1</v>
      </c>
      <c r="V42" s="27">
        <v>2.6</v>
      </c>
      <c r="W42" s="27">
        <v>2.6</v>
      </c>
      <c r="X42" s="27">
        <v>2.8</v>
      </c>
    </row>
    <row r="43" spans="3:24" x14ac:dyDescent="0.25">
      <c r="D43" s="26" t="s">
        <v>223</v>
      </c>
      <c r="E43" s="26" t="s">
        <v>170</v>
      </c>
      <c r="F43" s="27" t="s">
        <v>170</v>
      </c>
      <c r="G43" s="27" t="s">
        <v>209</v>
      </c>
      <c r="H43" s="27">
        <v>1.7</v>
      </c>
      <c r="I43" s="27">
        <v>4</v>
      </c>
      <c r="J43" s="27">
        <v>3.1</v>
      </c>
      <c r="K43" s="27">
        <v>2</v>
      </c>
      <c r="L43" s="27">
        <v>2.1</v>
      </c>
      <c r="M43" s="27">
        <v>2</v>
      </c>
      <c r="N43" s="27">
        <v>2.2999999999999998</v>
      </c>
      <c r="O43" s="27">
        <v>2.6</v>
      </c>
      <c r="P43" s="27">
        <v>1.9</v>
      </c>
      <c r="Q43" s="27" t="s">
        <v>451</v>
      </c>
      <c r="R43" s="27" t="s">
        <v>451</v>
      </c>
      <c r="S43" s="27" t="s">
        <v>451</v>
      </c>
      <c r="T43" s="27" t="s">
        <v>451</v>
      </c>
      <c r="U43" s="27" t="s">
        <v>451</v>
      </c>
      <c r="V43" s="27" t="s">
        <v>451</v>
      </c>
      <c r="W43" s="27" t="s">
        <v>451</v>
      </c>
      <c r="X43" s="27" t="s">
        <v>451</v>
      </c>
    </row>
    <row r="44" spans="3:24" x14ac:dyDescent="0.25">
      <c r="D44" s="26" t="s">
        <v>223</v>
      </c>
      <c r="E44" s="26" t="s">
        <v>198</v>
      </c>
      <c r="F44" s="27" t="s">
        <v>170</v>
      </c>
      <c r="G44" s="27" t="s">
        <v>6</v>
      </c>
      <c r="H44" s="27">
        <v>4.5999999999999996</v>
      </c>
      <c r="I44" s="27">
        <v>11</v>
      </c>
      <c r="J44" s="27">
        <v>13</v>
      </c>
      <c r="K44" s="27">
        <v>5.8</v>
      </c>
      <c r="L44" s="27">
        <v>7.1</v>
      </c>
      <c r="M44" s="27">
        <v>2.2000000000000002</v>
      </c>
      <c r="N44" s="27">
        <v>6.2</v>
      </c>
      <c r="O44" s="27">
        <v>8.4</v>
      </c>
      <c r="P44" s="27">
        <v>6.8</v>
      </c>
      <c r="Q44" s="27">
        <v>7.8</v>
      </c>
      <c r="R44" s="27">
        <v>11</v>
      </c>
      <c r="S44" s="27">
        <v>5.3</v>
      </c>
      <c r="T44" s="27">
        <v>5.7</v>
      </c>
      <c r="U44" s="27">
        <v>9.1</v>
      </c>
      <c r="V44" s="27">
        <v>9</v>
      </c>
      <c r="W44" s="27">
        <v>12</v>
      </c>
      <c r="X44" s="27">
        <v>22</v>
      </c>
    </row>
    <row r="45" spans="3:24" x14ac:dyDescent="0.25">
      <c r="D45" s="26" t="s">
        <v>223</v>
      </c>
      <c r="E45" s="26" t="s">
        <v>167</v>
      </c>
      <c r="F45" s="27" t="s">
        <v>197</v>
      </c>
      <c r="G45" s="27" t="s">
        <v>258</v>
      </c>
      <c r="H45" s="27">
        <v>1.5</v>
      </c>
      <c r="I45" s="27">
        <v>1.2</v>
      </c>
      <c r="J45" s="27">
        <v>2.6</v>
      </c>
      <c r="K45" s="27">
        <v>1.4</v>
      </c>
      <c r="L45" s="27">
        <v>1.5</v>
      </c>
      <c r="M45" s="27">
        <v>1.3</v>
      </c>
      <c r="N45" s="27">
        <v>1.5</v>
      </c>
      <c r="O45" s="27">
        <v>1.9</v>
      </c>
      <c r="P45" s="27">
        <v>1.8</v>
      </c>
      <c r="Q45" s="27">
        <v>2.1</v>
      </c>
      <c r="R45" s="27">
        <v>2.4</v>
      </c>
      <c r="S45" s="27">
        <v>2.1</v>
      </c>
      <c r="T45" s="27">
        <v>2.2000000000000002</v>
      </c>
      <c r="U45" s="27">
        <v>2.2999999999999998</v>
      </c>
      <c r="V45" s="27">
        <v>1.8</v>
      </c>
      <c r="W45" s="27">
        <v>2.4</v>
      </c>
      <c r="X45" s="27">
        <v>4.7</v>
      </c>
    </row>
    <row r="46" spans="3:24" x14ac:dyDescent="0.25">
      <c r="D46" s="26" t="s">
        <v>223</v>
      </c>
      <c r="E46" s="26" t="s">
        <v>167</v>
      </c>
      <c r="F46" s="27" t="s">
        <v>197</v>
      </c>
      <c r="G46" s="27" t="s">
        <v>259</v>
      </c>
      <c r="H46" s="27">
        <v>1.3</v>
      </c>
      <c r="I46" s="27" t="s">
        <v>260</v>
      </c>
      <c r="J46" s="27">
        <v>2</v>
      </c>
      <c r="K46" s="27" t="s">
        <v>260</v>
      </c>
      <c r="L46" s="27" t="s">
        <v>260</v>
      </c>
      <c r="M46" s="27" t="s">
        <v>260</v>
      </c>
      <c r="N46" s="27">
        <v>1.6</v>
      </c>
      <c r="O46" s="27" t="s">
        <v>260</v>
      </c>
      <c r="P46" s="27">
        <v>2.1</v>
      </c>
      <c r="Q46" s="27">
        <v>2.1</v>
      </c>
      <c r="R46" s="27">
        <v>2.2000000000000002</v>
      </c>
      <c r="S46" s="27">
        <v>2</v>
      </c>
      <c r="T46" s="27">
        <v>2.5</v>
      </c>
      <c r="U46" s="27">
        <v>2.2999999999999998</v>
      </c>
      <c r="V46" s="27">
        <v>2.8</v>
      </c>
      <c r="W46" s="27">
        <v>2.2999999999999998</v>
      </c>
      <c r="X46" s="27"/>
    </row>
    <row r="47" spans="3:24" x14ac:dyDescent="0.25">
      <c r="C47" s="37"/>
      <c r="D47" s="17" t="s">
        <v>195</v>
      </c>
      <c r="E47" s="19" t="s">
        <v>198</v>
      </c>
      <c r="F47" s="17" t="s">
        <v>90</v>
      </c>
      <c r="G47" s="17" t="s">
        <v>27</v>
      </c>
      <c r="H47" s="17" t="s">
        <v>370</v>
      </c>
      <c r="I47" s="17" t="s">
        <v>212</v>
      </c>
      <c r="J47" s="17" t="s">
        <v>212</v>
      </c>
      <c r="K47" s="17" t="s">
        <v>367</v>
      </c>
      <c r="L47" s="17" t="s">
        <v>367</v>
      </c>
      <c r="M47" s="17" t="s">
        <v>387</v>
      </c>
      <c r="N47" s="17" t="s">
        <v>367</v>
      </c>
      <c r="O47" s="17" t="s">
        <v>367</v>
      </c>
      <c r="P47" s="17" t="s">
        <v>367</v>
      </c>
      <c r="Q47" s="17" t="s">
        <v>367</v>
      </c>
      <c r="R47" s="76" t="s">
        <v>212</v>
      </c>
      <c r="S47" s="76" t="s">
        <v>718</v>
      </c>
      <c r="T47" s="17" t="s">
        <v>30</v>
      </c>
      <c r="U47" s="17" t="s">
        <v>212</v>
      </c>
      <c r="V47" s="17" t="s">
        <v>212</v>
      </c>
      <c r="W47" s="17" t="s">
        <v>212</v>
      </c>
      <c r="X47" s="17" t="s">
        <v>212</v>
      </c>
    </row>
    <row r="48" spans="3:24" x14ac:dyDescent="0.25">
      <c r="C48" s="37"/>
      <c r="D48" s="17" t="s">
        <v>195</v>
      </c>
      <c r="E48" s="19" t="s">
        <v>198</v>
      </c>
      <c r="F48" s="17" t="s">
        <v>90</v>
      </c>
      <c r="G48" s="17" t="s">
        <v>36</v>
      </c>
      <c r="H48" s="17" t="s">
        <v>37</v>
      </c>
      <c r="I48" s="17" t="s">
        <v>37</v>
      </c>
      <c r="J48" s="17" t="s">
        <v>37</v>
      </c>
      <c r="K48" s="17" t="s">
        <v>37</v>
      </c>
      <c r="L48" s="17" t="s">
        <v>37</v>
      </c>
      <c r="M48" s="17" t="s">
        <v>37</v>
      </c>
      <c r="N48" s="17" t="s">
        <v>37</v>
      </c>
      <c r="O48" s="17" t="s">
        <v>37</v>
      </c>
      <c r="P48" s="17" t="s">
        <v>37</v>
      </c>
      <c r="Q48" s="17" t="s">
        <v>37</v>
      </c>
      <c r="R48" s="76" t="s">
        <v>37</v>
      </c>
      <c r="S48" s="76" t="s">
        <v>37</v>
      </c>
      <c r="T48" s="17" t="s">
        <v>37</v>
      </c>
      <c r="U48" s="17" t="s">
        <v>37</v>
      </c>
      <c r="V48" s="17" t="s">
        <v>37</v>
      </c>
      <c r="W48" s="17" t="s">
        <v>37</v>
      </c>
      <c r="X48" s="17" t="s">
        <v>37</v>
      </c>
    </row>
    <row r="49" spans="1:24" x14ac:dyDescent="0.25">
      <c r="C49" s="37"/>
      <c r="D49" s="17" t="s">
        <v>195</v>
      </c>
      <c r="E49" s="19" t="s">
        <v>198</v>
      </c>
      <c r="F49" s="17" t="s">
        <v>90</v>
      </c>
      <c r="G49" s="17" t="s">
        <v>47</v>
      </c>
      <c r="H49" s="17" t="s">
        <v>48</v>
      </c>
      <c r="I49" s="17" t="s">
        <v>368</v>
      </c>
      <c r="J49" s="17" t="s">
        <v>368</v>
      </c>
      <c r="K49" s="17" t="s">
        <v>368</v>
      </c>
      <c r="L49" s="17" t="s">
        <v>368</v>
      </c>
      <c r="M49" s="17" t="s">
        <v>48</v>
      </c>
      <c r="N49" s="17" t="s">
        <v>368</v>
      </c>
      <c r="O49" s="17" t="s">
        <v>368</v>
      </c>
      <c r="P49" s="17" t="s">
        <v>368</v>
      </c>
      <c r="Q49" s="17" t="s">
        <v>368</v>
      </c>
      <c r="R49" s="76" t="s">
        <v>48</v>
      </c>
      <c r="S49" s="76" t="s">
        <v>48</v>
      </c>
      <c r="T49" s="17" t="s">
        <v>48</v>
      </c>
      <c r="U49" s="17" t="s">
        <v>48</v>
      </c>
      <c r="V49" s="17" t="s">
        <v>368</v>
      </c>
      <c r="W49" s="17" t="s">
        <v>368</v>
      </c>
      <c r="X49" s="17" t="s">
        <v>368</v>
      </c>
    </row>
    <row r="50" spans="1:24" x14ac:dyDescent="0.25">
      <c r="C50" s="37"/>
      <c r="D50" s="17" t="s">
        <v>195</v>
      </c>
      <c r="E50" s="19" t="s">
        <v>198</v>
      </c>
      <c r="F50" s="17" t="s">
        <v>90</v>
      </c>
      <c r="G50" s="17" t="s">
        <v>58</v>
      </c>
      <c r="H50" s="17" t="s">
        <v>59</v>
      </c>
      <c r="I50" s="17" t="s">
        <v>59</v>
      </c>
      <c r="J50" s="17" t="s">
        <v>59</v>
      </c>
      <c r="K50" s="17" t="s">
        <v>59</v>
      </c>
      <c r="L50" s="17" t="s">
        <v>59</v>
      </c>
      <c r="M50" s="17" t="s">
        <v>389</v>
      </c>
      <c r="N50" s="17" t="s">
        <v>59</v>
      </c>
      <c r="O50" s="17" t="s">
        <v>59</v>
      </c>
      <c r="P50" s="17" t="s">
        <v>59</v>
      </c>
      <c r="Q50" s="17" t="s">
        <v>59</v>
      </c>
      <c r="R50" s="76" t="s">
        <v>59</v>
      </c>
      <c r="S50" s="76" t="s">
        <v>59</v>
      </c>
      <c r="T50" s="17" t="s">
        <v>59</v>
      </c>
      <c r="U50" s="17" t="s">
        <v>59</v>
      </c>
      <c r="V50" s="17" t="s">
        <v>59</v>
      </c>
      <c r="W50" s="17" t="s">
        <v>59</v>
      </c>
      <c r="X50" s="17" t="s">
        <v>59</v>
      </c>
    </row>
    <row r="51" spans="1:24" x14ac:dyDescent="0.25">
      <c r="C51" s="37"/>
      <c r="D51" s="17" t="s">
        <v>195</v>
      </c>
      <c r="E51" s="19" t="s">
        <v>198</v>
      </c>
      <c r="F51" s="17" t="s">
        <v>90</v>
      </c>
      <c r="G51" s="17" t="s">
        <v>65</v>
      </c>
      <c r="H51" s="17" t="s">
        <v>66</v>
      </c>
      <c r="I51" s="17" t="s">
        <v>66</v>
      </c>
      <c r="J51" s="17" t="s">
        <v>66</v>
      </c>
      <c r="K51" s="17" t="s">
        <v>66</v>
      </c>
      <c r="L51" s="17" t="s">
        <v>66</v>
      </c>
      <c r="M51" s="17" t="s">
        <v>72</v>
      </c>
      <c r="N51" s="17" t="s">
        <v>66</v>
      </c>
      <c r="O51" s="17" t="s">
        <v>66</v>
      </c>
      <c r="P51" s="17" t="s">
        <v>66</v>
      </c>
      <c r="Q51" s="17" t="s">
        <v>66</v>
      </c>
      <c r="R51" s="76" t="s">
        <v>66</v>
      </c>
      <c r="S51" s="76" t="s">
        <v>66</v>
      </c>
      <c r="T51" s="17" t="s">
        <v>66</v>
      </c>
      <c r="U51" s="17" t="s">
        <v>66</v>
      </c>
      <c r="V51" s="17" t="s">
        <v>66</v>
      </c>
      <c r="W51" s="17" t="s">
        <v>66</v>
      </c>
      <c r="X51" s="17" t="s">
        <v>66</v>
      </c>
    </row>
    <row r="52" spans="1:24" x14ac:dyDescent="0.25">
      <c r="C52" s="37"/>
      <c r="D52" s="17" t="s">
        <v>195</v>
      </c>
      <c r="E52" s="19" t="s">
        <v>198</v>
      </c>
      <c r="F52" s="17" t="s">
        <v>90</v>
      </c>
      <c r="G52" s="17" t="s">
        <v>74</v>
      </c>
      <c r="H52" s="17" t="s">
        <v>77</v>
      </c>
      <c r="I52" s="17" t="s">
        <v>79</v>
      </c>
      <c r="J52" s="17" t="s">
        <v>79</v>
      </c>
      <c r="K52" s="17" t="s">
        <v>77</v>
      </c>
      <c r="L52" s="17" t="s">
        <v>77</v>
      </c>
      <c r="M52" s="17" t="s">
        <v>75</v>
      </c>
      <c r="N52" s="17" t="s">
        <v>77</v>
      </c>
      <c r="O52" s="17" t="s">
        <v>77</v>
      </c>
      <c r="P52" s="17" t="s">
        <v>77</v>
      </c>
      <c r="Q52" s="17" t="s">
        <v>77</v>
      </c>
      <c r="R52" s="76" t="s">
        <v>77</v>
      </c>
      <c r="S52" s="76" t="s">
        <v>77</v>
      </c>
      <c r="T52" s="17" t="s">
        <v>77</v>
      </c>
      <c r="U52" s="17" t="s">
        <v>77</v>
      </c>
      <c r="V52" s="17" t="s">
        <v>77</v>
      </c>
      <c r="W52" s="17" t="s">
        <v>77</v>
      </c>
      <c r="X52" s="17" t="s">
        <v>77</v>
      </c>
    </row>
    <row r="53" spans="1:24" x14ac:dyDescent="0.25">
      <c r="C53" s="37"/>
      <c r="D53" s="17" t="s">
        <v>195</v>
      </c>
      <c r="E53" s="19" t="s">
        <v>198</v>
      </c>
      <c r="F53" s="17" t="s">
        <v>90</v>
      </c>
      <c r="G53" s="17" t="s">
        <v>83</v>
      </c>
      <c r="H53" s="17" t="s">
        <v>84</v>
      </c>
      <c r="I53" s="17" t="s">
        <v>84</v>
      </c>
      <c r="J53" s="17" t="s">
        <v>84</v>
      </c>
      <c r="K53" s="17" t="s">
        <v>84</v>
      </c>
      <c r="L53" s="17" t="s">
        <v>84</v>
      </c>
      <c r="M53" s="17" t="s">
        <v>84</v>
      </c>
      <c r="N53" s="17" t="s">
        <v>84</v>
      </c>
      <c r="O53" s="17" t="s">
        <v>84</v>
      </c>
      <c r="P53" s="17" t="s">
        <v>84</v>
      </c>
      <c r="Q53" s="17" t="s">
        <v>84</v>
      </c>
      <c r="R53" s="76" t="s">
        <v>84</v>
      </c>
      <c r="S53" s="76" t="s">
        <v>84</v>
      </c>
      <c r="T53" s="17" t="s">
        <v>84</v>
      </c>
      <c r="U53" s="17" t="s">
        <v>84</v>
      </c>
      <c r="V53" s="17" t="s">
        <v>84</v>
      </c>
      <c r="W53" s="17" t="s">
        <v>84</v>
      </c>
      <c r="X53" s="17" t="s">
        <v>84</v>
      </c>
    </row>
    <row r="54" spans="1:24" s="1" customFormat="1" ht="409.5" x14ac:dyDescent="0.25">
      <c r="C54" s="38"/>
      <c r="D54" s="19" t="s">
        <v>195</v>
      </c>
      <c r="E54" s="19" t="s">
        <v>198</v>
      </c>
      <c r="F54" s="19" t="s">
        <v>292</v>
      </c>
      <c r="G54" s="19" t="s">
        <v>94</v>
      </c>
      <c r="H54" s="16" t="s">
        <v>96</v>
      </c>
      <c r="I54" s="16" t="s">
        <v>213</v>
      </c>
      <c r="J54" s="16" t="s">
        <v>252</v>
      </c>
      <c r="K54" s="16" t="s">
        <v>308</v>
      </c>
      <c r="L54" s="16" t="s">
        <v>371</v>
      </c>
      <c r="M54" s="16" t="s">
        <v>402</v>
      </c>
      <c r="N54" s="16" t="s">
        <v>405</v>
      </c>
      <c r="O54" s="16" t="s">
        <v>421</v>
      </c>
      <c r="P54" s="16" t="s">
        <v>431</v>
      </c>
      <c r="Q54" s="16" t="s">
        <v>452</v>
      </c>
      <c r="R54" s="77" t="s">
        <v>699</v>
      </c>
      <c r="S54" s="77" t="s">
        <v>719</v>
      </c>
      <c r="T54" s="16" t="s">
        <v>742</v>
      </c>
      <c r="U54" s="16" t="s">
        <v>1349</v>
      </c>
      <c r="V54" s="16" t="s">
        <v>1472</v>
      </c>
      <c r="W54" s="16" t="s">
        <v>1659</v>
      </c>
      <c r="X54" s="16" t="s">
        <v>1858</v>
      </c>
    </row>
    <row r="55" spans="1:24" x14ac:dyDescent="0.25">
      <c r="A55" s="3"/>
      <c r="B55" s="3"/>
      <c r="I55" s="8"/>
      <c r="J55" s="8"/>
      <c r="K55" s="8"/>
      <c r="L55" s="8"/>
    </row>
    <row r="56" spans="1:24" x14ac:dyDescent="0.25">
      <c r="D56" s="21" t="s">
        <v>205</v>
      </c>
      <c r="E56" s="25" t="s">
        <v>166</v>
      </c>
      <c r="F56" s="22" t="s">
        <v>171</v>
      </c>
      <c r="G56" s="22" t="s">
        <v>168</v>
      </c>
      <c r="H56" s="22">
        <v>87</v>
      </c>
      <c r="I56" s="22">
        <v>79</v>
      </c>
      <c r="J56" s="32">
        <v>86</v>
      </c>
      <c r="K56" s="32">
        <v>73</v>
      </c>
      <c r="L56" s="32">
        <v>73</v>
      </c>
      <c r="M56" s="22">
        <v>73</v>
      </c>
      <c r="N56" s="22">
        <v>76</v>
      </c>
      <c r="O56" s="22">
        <v>91</v>
      </c>
      <c r="P56" s="22">
        <v>52</v>
      </c>
      <c r="Q56" s="22">
        <v>78</v>
      </c>
      <c r="R56" s="22">
        <v>57</v>
      </c>
      <c r="S56" s="22">
        <v>60</v>
      </c>
      <c r="T56" s="22">
        <v>55</v>
      </c>
      <c r="U56" s="22">
        <v>77</v>
      </c>
      <c r="V56" s="22">
        <v>79</v>
      </c>
      <c r="W56" s="22">
        <v>55</v>
      </c>
      <c r="X56" s="22">
        <v>81</v>
      </c>
    </row>
    <row r="57" spans="1:24" x14ac:dyDescent="0.25">
      <c r="A57" s="3"/>
      <c r="B57" s="3"/>
      <c r="D57" s="21" t="s">
        <v>205</v>
      </c>
      <c r="E57" s="25" t="s">
        <v>166</v>
      </c>
      <c r="F57" s="22" t="s">
        <v>171</v>
      </c>
      <c r="G57" s="22" t="s">
        <v>161</v>
      </c>
      <c r="H57" s="22">
        <v>438</v>
      </c>
      <c r="I57" s="22">
        <f>(6*60)+58</f>
        <v>418</v>
      </c>
      <c r="J57" s="32">
        <v>429</v>
      </c>
      <c r="K57" s="32">
        <v>360</v>
      </c>
      <c r="L57" s="32">
        <v>460</v>
      </c>
      <c r="M57" s="22">
        <f>360+22</f>
        <v>382</v>
      </c>
      <c r="N57" s="22">
        <v>335</v>
      </c>
      <c r="O57" s="22">
        <v>441</v>
      </c>
      <c r="P57" s="22">
        <f>360+59</f>
        <v>419</v>
      </c>
      <c r="Q57" s="22">
        <v>358</v>
      </c>
      <c r="R57" s="22">
        <v>254</v>
      </c>
      <c r="S57" s="22">
        <v>352</v>
      </c>
      <c r="T57" s="22">
        <v>444</v>
      </c>
      <c r="U57" s="22">
        <v>359</v>
      </c>
      <c r="V57" s="22">
        <f>360+54</f>
        <v>414</v>
      </c>
      <c r="W57" s="22">
        <v>333</v>
      </c>
      <c r="X57" s="22">
        <f>360+48</f>
        <v>408</v>
      </c>
    </row>
    <row r="58" spans="1:24" x14ac:dyDescent="0.25">
      <c r="A58" s="3"/>
      <c r="B58" s="3"/>
      <c r="D58" s="21" t="s">
        <v>205</v>
      </c>
      <c r="E58" s="25" t="s">
        <v>166</v>
      </c>
      <c r="F58" s="22" t="s">
        <v>171</v>
      </c>
      <c r="G58" s="22" t="s">
        <v>162</v>
      </c>
      <c r="H58" s="22">
        <v>73</v>
      </c>
      <c r="I58" s="22">
        <v>71</v>
      </c>
      <c r="J58" s="32">
        <v>64</v>
      </c>
      <c r="K58" s="32">
        <v>73</v>
      </c>
      <c r="L58" s="32">
        <v>61</v>
      </c>
      <c r="M58" s="22">
        <v>85</v>
      </c>
      <c r="N58" s="22">
        <v>77</v>
      </c>
      <c r="O58" s="22">
        <v>104</v>
      </c>
      <c r="P58" s="22">
        <v>64</v>
      </c>
      <c r="Q58" s="22">
        <v>72</v>
      </c>
      <c r="R58" s="22">
        <v>70</v>
      </c>
      <c r="S58" s="22">
        <v>37</v>
      </c>
      <c r="T58" s="22">
        <v>121</v>
      </c>
      <c r="U58" s="22">
        <v>66</v>
      </c>
      <c r="V58" s="22">
        <v>112</v>
      </c>
      <c r="W58" s="22">
        <v>32</v>
      </c>
      <c r="X58" s="22">
        <v>87</v>
      </c>
    </row>
    <row r="59" spans="1:24" x14ac:dyDescent="0.25">
      <c r="A59" s="3"/>
      <c r="B59" s="3"/>
      <c r="D59" s="21" t="s">
        <v>205</v>
      </c>
      <c r="E59" s="25" t="s">
        <v>166</v>
      </c>
      <c r="F59" s="22" t="s">
        <v>171</v>
      </c>
      <c r="G59" s="22" t="s">
        <v>163</v>
      </c>
      <c r="H59" s="22">
        <v>96</v>
      </c>
      <c r="I59" s="22">
        <v>91</v>
      </c>
      <c r="J59" s="32">
        <v>91</v>
      </c>
      <c r="K59" s="32">
        <v>49</v>
      </c>
      <c r="L59" s="32">
        <v>96</v>
      </c>
      <c r="M59" s="22">
        <v>34</v>
      </c>
      <c r="N59" s="22">
        <v>85</v>
      </c>
      <c r="O59" s="22">
        <v>90</v>
      </c>
      <c r="P59" s="22">
        <v>75</v>
      </c>
      <c r="Q59" s="22">
        <v>67</v>
      </c>
      <c r="R59" s="22">
        <v>48</v>
      </c>
      <c r="S59" s="22">
        <v>27</v>
      </c>
      <c r="T59" s="22">
        <v>38</v>
      </c>
      <c r="U59" s="22">
        <v>43</v>
      </c>
      <c r="V59" s="22">
        <v>54</v>
      </c>
      <c r="W59" s="22">
        <v>37</v>
      </c>
      <c r="X59" s="22">
        <v>66</v>
      </c>
    </row>
    <row r="60" spans="1:24" x14ac:dyDescent="0.25">
      <c r="A60" s="3"/>
      <c r="B60" s="3"/>
      <c r="D60" s="21" t="s">
        <v>205</v>
      </c>
      <c r="E60" s="25" t="s">
        <v>166</v>
      </c>
      <c r="F60" s="22" t="s">
        <v>171</v>
      </c>
      <c r="G60" s="22" t="s">
        <v>164</v>
      </c>
      <c r="H60" s="22">
        <v>269</v>
      </c>
      <c r="I60" s="22">
        <v>256</v>
      </c>
      <c r="J60" s="32">
        <v>274</v>
      </c>
      <c r="K60" s="32">
        <f>180+58</f>
        <v>238</v>
      </c>
      <c r="L60" s="32">
        <v>303</v>
      </c>
      <c r="M60" s="22">
        <f>240+23</f>
        <v>263</v>
      </c>
      <c r="N60" s="22">
        <v>233</v>
      </c>
      <c r="O60" s="22">
        <v>248</v>
      </c>
      <c r="P60" s="22">
        <v>261</v>
      </c>
      <c r="Q60" s="22">
        <v>219</v>
      </c>
      <c r="R60" s="22">
        <v>136</v>
      </c>
      <c r="S60" s="22">
        <v>288</v>
      </c>
      <c r="T60" s="22">
        <f>240+45</f>
        <v>285</v>
      </c>
      <c r="U60" s="22">
        <v>250</v>
      </c>
      <c r="V60" s="22">
        <v>248</v>
      </c>
      <c r="W60" s="22">
        <v>264</v>
      </c>
      <c r="X60" s="22">
        <v>255</v>
      </c>
    </row>
    <row r="61" spans="1:24" x14ac:dyDescent="0.25">
      <c r="A61" s="3"/>
      <c r="B61" s="3"/>
      <c r="D61" s="21" t="s">
        <v>205</v>
      </c>
      <c r="E61" s="25" t="s">
        <v>166</v>
      </c>
      <c r="F61" s="22" t="s">
        <v>171</v>
      </c>
      <c r="G61" s="22" t="s">
        <v>165</v>
      </c>
      <c r="H61" s="22">
        <v>15</v>
      </c>
      <c r="I61" s="22">
        <v>19</v>
      </c>
      <c r="J61" s="32">
        <v>2</v>
      </c>
      <c r="K61" s="32">
        <v>29</v>
      </c>
      <c r="L61" s="32">
        <v>52</v>
      </c>
      <c r="M61" s="22">
        <v>15</v>
      </c>
      <c r="N61" s="22">
        <v>34</v>
      </c>
      <c r="O61" s="22">
        <v>10</v>
      </c>
      <c r="P61" s="22">
        <v>102</v>
      </c>
      <c r="Q61" s="22">
        <v>6</v>
      </c>
      <c r="R61" s="22">
        <v>5</v>
      </c>
      <c r="S61" s="22">
        <v>49</v>
      </c>
      <c r="T61" s="22">
        <v>72</v>
      </c>
      <c r="U61" s="22">
        <v>25</v>
      </c>
      <c r="V61" s="22">
        <v>22</v>
      </c>
      <c r="W61" s="22">
        <v>67</v>
      </c>
      <c r="X61" s="22">
        <v>8</v>
      </c>
    </row>
    <row r="62" spans="1:24" x14ac:dyDescent="0.25">
      <c r="D62" s="21" t="s">
        <v>205</v>
      </c>
      <c r="E62" s="25" t="s">
        <v>166</v>
      </c>
      <c r="F62" s="22" t="s">
        <v>171</v>
      </c>
      <c r="G62" s="22" t="s">
        <v>214</v>
      </c>
      <c r="H62" s="22">
        <v>60</v>
      </c>
      <c r="I62" s="22">
        <v>65</v>
      </c>
      <c r="J62" s="32">
        <v>61</v>
      </c>
      <c r="K62" s="32">
        <v>58</v>
      </c>
      <c r="L62" s="32">
        <v>63</v>
      </c>
      <c r="M62" s="22">
        <v>57</v>
      </c>
      <c r="N62" s="22">
        <v>57</v>
      </c>
      <c r="O62" s="22">
        <v>61</v>
      </c>
      <c r="P62" s="22">
        <v>61</v>
      </c>
      <c r="Q62" s="22">
        <v>57</v>
      </c>
      <c r="R62" s="22">
        <v>57</v>
      </c>
      <c r="S62" s="22">
        <v>61</v>
      </c>
      <c r="T62" s="22">
        <v>61</v>
      </c>
      <c r="U62" s="22">
        <v>59</v>
      </c>
      <c r="V62" s="22">
        <v>58</v>
      </c>
      <c r="W62" s="22">
        <v>57</v>
      </c>
      <c r="X62" s="22">
        <v>59</v>
      </c>
    </row>
    <row r="63" spans="1:24" x14ac:dyDescent="0.25">
      <c r="D63" s="21" t="s">
        <v>205</v>
      </c>
      <c r="E63" s="25" t="s">
        <v>166</v>
      </c>
      <c r="F63" s="22" t="s">
        <v>171</v>
      </c>
      <c r="G63" s="22" t="s">
        <v>429</v>
      </c>
      <c r="H63" s="22">
        <v>65</v>
      </c>
      <c r="I63" s="22">
        <v>69</v>
      </c>
      <c r="J63" s="32">
        <v>64</v>
      </c>
      <c r="K63" s="32">
        <v>62</v>
      </c>
      <c r="L63" s="32">
        <v>68</v>
      </c>
      <c r="M63" s="22">
        <v>63</v>
      </c>
      <c r="N63" s="22">
        <v>63</v>
      </c>
      <c r="O63" s="22">
        <v>66</v>
      </c>
      <c r="P63" s="22">
        <v>66</v>
      </c>
      <c r="Q63" s="22">
        <v>62</v>
      </c>
      <c r="R63" s="22">
        <v>62</v>
      </c>
      <c r="S63" s="22">
        <v>65</v>
      </c>
      <c r="T63" s="22">
        <v>66</v>
      </c>
      <c r="U63" s="22">
        <v>64</v>
      </c>
      <c r="V63" s="22">
        <v>64</v>
      </c>
      <c r="W63" s="22">
        <v>61</v>
      </c>
      <c r="X63" s="22">
        <v>63</v>
      </c>
    </row>
    <row r="64" spans="1:24" x14ac:dyDescent="0.25">
      <c r="D64" s="21" t="s">
        <v>205</v>
      </c>
      <c r="E64" s="25" t="s">
        <v>166</v>
      </c>
      <c r="F64" s="22" t="s">
        <v>171</v>
      </c>
      <c r="G64" s="22" t="s">
        <v>430</v>
      </c>
      <c r="H64" s="22">
        <v>42</v>
      </c>
      <c r="I64" s="22">
        <v>35</v>
      </c>
      <c r="J64" s="32">
        <v>38</v>
      </c>
      <c r="K64" s="32">
        <v>38</v>
      </c>
      <c r="L64" s="32">
        <v>34</v>
      </c>
      <c r="M64" s="22">
        <v>38</v>
      </c>
      <c r="N64" s="22">
        <v>41</v>
      </c>
      <c r="O64" s="22">
        <v>41</v>
      </c>
      <c r="P64" s="22">
        <v>37</v>
      </c>
      <c r="Q64" s="22">
        <v>36</v>
      </c>
      <c r="R64" s="22">
        <v>36</v>
      </c>
      <c r="S64" s="22">
        <v>34</v>
      </c>
      <c r="T64" s="22">
        <v>29</v>
      </c>
      <c r="U64" s="22">
        <v>34</v>
      </c>
      <c r="V64" s="22">
        <v>30</v>
      </c>
      <c r="W64" s="22">
        <v>42</v>
      </c>
      <c r="X64" s="22">
        <v>38</v>
      </c>
    </row>
    <row r="65" spans="1:24" x14ac:dyDescent="0.25">
      <c r="D65" s="21" t="s">
        <v>205</v>
      </c>
      <c r="E65" s="25" t="s">
        <v>166</v>
      </c>
      <c r="F65" s="22" t="s">
        <v>171</v>
      </c>
      <c r="G65" s="22" t="s">
        <v>169</v>
      </c>
      <c r="H65" s="22">
        <v>15</v>
      </c>
      <c r="I65" s="22">
        <v>15</v>
      </c>
      <c r="J65" s="32">
        <v>15</v>
      </c>
      <c r="K65" s="32">
        <v>15</v>
      </c>
      <c r="L65" s="32">
        <v>15</v>
      </c>
      <c r="M65" s="22">
        <v>16</v>
      </c>
      <c r="N65" s="22">
        <v>16</v>
      </c>
      <c r="O65" s="22">
        <v>15</v>
      </c>
      <c r="P65" s="22">
        <v>16</v>
      </c>
      <c r="Q65" s="22">
        <v>15</v>
      </c>
      <c r="R65" s="22">
        <v>15</v>
      </c>
      <c r="S65" s="22">
        <v>17</v>
      </c>
      <c r="T65" s="22">
        <v>16</v>
      </c>
      <c r="U65" s="22">
        <v>16</v>
      </c>
      <c r="V65" s="22">
        <v>17</v>
      </c>
      <c r="W65" s="22">
        <v>15</v>
      </c>
      <c r="X65" s="22">
        <v>16</v>
      </c>
    </row>
    <row r="66" spans="1:24" x14ac:dyDescent="0.25">
      <c r="D66" s="21" t="s">
        <v>205</v>
      </c>
      <c r="E66" s="25" t="s">
        <v>166</v>
      </c>
      <c r="F66" s="22" t="s">
        <v>171</v>
      </c>
      <c r="G66" s="22" t="s">
        <v>256</v>
      </c>
      <c r="H66" s="22">
        <v>12</v>
      </c>
      <c r="I66" s="22">
        <v>19</v>
      </c>
      <c r="J66" s="32">
        <v>14</v>
      </c>
      <c r="K66" s="32">
        <v>11</v>
      </c>
      <c r="L66" s="32">
        <v>21</v>
      </c>
      <c r="M66" s="22">
        <v>15</v>
      </c>
      <c r="N66" s="22">
        <v>14</v>
      </c>
      <c r="O66" s="22">
        <v>12</v>
      </c>
      <c r="P66" s="22">
        <v>16</v>
      </c>
      <c r="Q66" s="22">
        <v>12</v>
      </c>
      <c r="R66" s="22">
        <v>14</v>
      </c>
      <c r="S66" s="22">
        <v>19</v>
      </c>
      <c r="T66" s="22">
        <v>21</v>
      </c>
      <c r="U66" s="22">
        <v>17</v>
      </c>
      <c r="V66" s="22">
        <v>18</v>
      </c>
      <c r="W66" s="22">
        <v>15</v>
      </c>
      <c r="X66" s="22">
        <v>20</v>
      </c>
    </row>
    <row r="67" spans="1:24" x14ac:dyDescent="0.25">
      <c r="D67" s="21" t="s">
        <v>205</v>
      </c>
      <c r="E67" s="25" t="s">
        <v>166</v>
      </c>
      <c r="F67" s="22" t="s">
        <v>171</v>
      </c>
      <c r="G67" s="22" t="s">
        <v>238</v>
      </c>
      <c r="H67" s="22" t="s">
        <v>239</v>
      </c>
      <c r="I67" s="22">
        <v>0.4</v>
      </c>
      <c r="J67" s="32">
        <v>0.3</v>
      </c>
      <c r="K67" s="32">
        <v>0</v>
      </c>
      <c r="L67" s="32">
        <v>0.4</v>
      </c>
      <c r="M67" s="22">
        <v>-0.5</v>
      </c>
      <c r="N67" s="22">
        <v>0.3</v>
      </c>
      <c r="O67" s="22">
        <v>0.6</v>
      </c>
      <c r="P67" s="22">
        <v>0.1</v>
      </c>
      <c r="Q67" s="22">
        <v>-0.2</v>
      </c>
      <c r="R67" s="22">
        <v>0.2</v>
      </c>
      <c r="S67" s="22" t="s">
        <v>451</v>
      </c>
      <c r="T67" s="22">
        <v>-0.1</v>
      </c>
      <c r="U67" s="22">
        <v>0.1</v>
      </c>
      <c r="V67" s="22">
        <v>-0.2</v>
      </c>
      <c r="W67" s="22">
        <v>0.9</v>
      </c>
      <c r="X67" s="22">
        <v>0.04</v>
      </c>
    </row>
    <row r="68" spans="1:24" x14ac:dyDescent="0.25">
      <c r="D68" s="18" t="s">
        <v>206</v>
      </c>
      <c r="E68" s="19" t="s">
        <v>166</v>
      </c>
      <c r="F68" s="17" t="s">
        <v>176</v>
      </c>
      <c r="G68" s="17" t="s">
        <v>172</v>
      </c>
      <c r="H68" s="17" t="s">
        <v>178</v>
      </c>
      <c r="I68" s="17" t="s">
        <v>178</v>
      </c>
      <c r="J68" s="17" t="s">
        <v>253</v>
      </c>
      <c r="K68" s="17" t="s">
        <v>309</v>
      </c>
      <c r="L68" s="17" t="s">
        <v>309</v>
      </c>
      <c r="M68" s="17" t="s">
        <v>390</v>
      </c>
      <c r="N68" s="17" t="s">
        <v>309</v>
      </c>
      <c r="O68" s="17" t="s">
        <v>178</v>
      </c>
      <c r="P68" s="17" t="s">
        <v>253</v>
      </c>
      <c r="Q68" s="17" t="s">
        <v>309</v>
      </c>
      <c r="R68" s="76" t="s">
        <v>253</v>
      </c>
      <c r="S68" s="76" t="s">
        <v>253</v>
      </c>
      <c r="T68" s="17" t="s">
        <v>253</v>
      </c>
      <c r="U68" s="17" t="s">
        <v>309</v>
      </c>
      <c r="V68" s="17" t="s">
        <v>309</v>
      </c>
      <c r="W68" s="17" t="s">
        <v>253</v>
      </c>
      <c r="X68" s="17" t="s">
        <v>178</v>
      </c>
    </row>
    <row r="69" spans="1:24" x14ac:dyDescent="0.25">
      <c r="D69" s="18" t="s">
        <v>206</v>
      </c>
      <c r="E69" s="19" t="s">
        <v>166</v>
      </c>
      <c r="F69" s="17" t="s">
        <v>176</v>
      </c>
      <c r="G69" s="17" t="s">
        <v>173</v>
      </c>
      <c r="H69" s="17" t="s">
        <v>179</v>
      </c>
      <c r="I69" s="17" t="s">
        <v>215</v>
      </c>
      <c r="J69" s="17" t="s">
        <v>254</v>
      </c>
      <c r="K69" s="17" t="s">
        <v>215</v>
      </c>
      <c r="L69" s="17" t="s">
        <v>215</v>
      </c>
      <c r="M69" s="17" t="s">
        <v>391</v>
      </c>
      <c r="N69" s="17" t="s">
        <v>215</v>
      </c>
      <c r="O69" s="17" t="s">
        <v>215</v>
      </c>
      <c r="P69" s="17" t="s">
        <v>355</v>
      </c>
      <c r="Q69" s="17" t="s">
        <v>215</v>
      </c>
      <c r="R69" s="76" t="s">
        <v>355</v>
      </c>
      <c r="S69" s="76" t="s">
        <v>355</v>
      </c>
      <c r="T69" s="17" t="s">
        <v>355</v>
      </c>
      <c r="U69" s="17" t="s">
        <v>215</v>
      </c>
      <c r="V69" s="17" t="s">
        <v>215</v>
      </c>
      <c r="W69" s="17" t="s">
        <v>355</v>
      </c>
      <c r="X69" s="17" t="s">
        <v>215</v>
      </c>
    </row>
    <row r="70" spans="1:24" x14ac:dyDescent="0.25">
      <c r="D70" s="18" t="s">
        <v>206</v>
      </c>
      <c r="E70" s="19" t="s">
        <v>166</v>
      </c>
      <c r="F70" s="17" t="s">
        <v>176</v>
      </c>
      <c r="G70" s="17" t="s">
        <v>174</v>
      </c>
      <c r="H70" s="17" t="s">
        <v>180</v>
      </c>
      <c r="I70" s="17" t="s">
        <v>180</v>
      </c>
      <c r="J70" s="17" t="s">
        <v>180</v>
      </c>
      <c r="K70" s="17" t="s">
        <v>180</v>
      </c>
      <c r="L70" s="17" t="s">
        <v>180</v>
      </c>
      <c r="M70" s="17" t="s">
        <v>180</v>
      </c>
      <c r="N70" s="17" t="s">
        <v>180</v>
      </c>
      <c r="O70" s="17" t="s">
        <v>180</v>
      </c>
      <c r="P70" s="17" t="s">
        <v>180</v>
      </c>
      <c r="Q70" s="17" t="s">
        <v>180</v>
      </c>
      <c r="R70" s="76" t="s">
        <v>180</v>
      </c>
      <c r="S70" s="76" t="s">
        <v>180</v>
      </c>
      <c r="T70" s="17" t="s">
        <v>201</v>
      </c>
      <c r="U70" s="17" t="s">
        <v>180</v>
      </c>
      <c r="V70" s="17" t="s">
        <v>180</v>
      </c>
      <c r="W70" s="17" t="s">
        <v>180</v>
      </c>
      <c r="X70" s="17" t="s">
        <v>180</v>
      </c>
    </row>
    <row r="71" spans="1:24" x14ac:dyDescent="0.25">
      <c r="C71" s="37"/>
      <c r="D71" s="18" t="s">
        <v>206</v>
      </c>
      <c r="E71" s="19" t="s">
        <v>166</v>
      </c>
      <c r="F71" s="17" t="s">
        <v>176</v>
      </c>
      <c r="G71" s="17" t="s">
        <v>175</v>
      </c>
      <c r="H71" s="17" t="s">
        <v>181</v>
      </c>
      <c r="I71" s="17" t="s">
        <v>181</v>
      </c>
      <c r="J71" s="17" t="s">
        <v>217</v>
      </c>
      <c r="K71" s="17" t="s">
        <v>181</v>
      </c>
      <c r="L71" s="17" t="s">
        <v>181</v>
      </c>
      <c r="M71" s="17" t="s">
        <v>181</v>
      </c>
      <c r="N71" s="17" t="s">
        <v>181</v>
      </c>
      <c r="O71" s="17" t="s">
        <v>181</v>
      </c>
      <c r="P71" s="17" t="s">
        <v>432</v>
      </c>
      <c r="Q71" s="17" t="s">
        <v>432</v>
      </c>
      <c r="R71" s="76" t="s">
        <v>432</v>
      </c>
      <c r="S71" s="76" t="s">
        <v>410</v>
      </c>
      <c r="T71" s="17" t="s">
        <v>181</v>
      </c>
      <c r="U71" s="17" t="s">
        <v>432</v>
      </c>
      <c r="V71" s="17" t="s">
        <v>181</v>
      </c>
      <c r="W71" s="17" t="s">
        <v>410</v>
      </c>
      <c r="X71" s="17" t="s">
        <v>181</v>
      </c>
    </row>
    <row r="72" spans="1:24" s="1" customFormat="1" ht="409.5" x14ac:dyDescent="0.25">
      <c r="C72" s="38"/>
      <c r="D72" s="20" t="s">
        <v>206</v>
      </c>
      <c r="E72" s="19" t="s">
        <v>166</v>
      </c>
      <c r="F72" s="19" t="s">
        <v>177</v>
      </c>
      <c r="G72" s="19" t="s">
        <v>183</v>
      </c>
      <c r="H72" s="16" t="s">
        <v>182</v>
      </c>
      <c r="I72" s="16" t="s">
        <v>216</v>
      </c>
      <c r="J72" s="16" t="s">
        <v>255</v>
      </c>
      <c r="K72" s="16" t="s">
        <v>255</v>
      </c>
      <c r="L72" s="16" t="s">
        <v>372</v>
      </c>
      <c r="M72" s="16" t="s">
        <v>392</v>
      </c>
      <c r="N72" s="16" t="s">
        <v>409</v>
      </c>
      <c r="O72" s="16" t="s">
        <v>420</v>
      </c>
      <c r="P72" s="16" t="s">
        <v>433</v>
      </c>
      <c r="Q72" s="16" t="s">
        <v>453</v>
      </c>
      <c r="R72" s="77" t="s">
        <v>716</v>
      </c>
      <c r="S72" s="77" t="s">
        <v>720</v>
      </c>
      <c r="T72" s="16" t="s">
        <v>743</v>
      </c>
      <c r="U72" s="16" t="s">
        <v>1350</v>
      </c>
      <c r="V72" s="16" t="s">
        <v>1473</v>
      </c>
      <c r="W72" s="16" t="s">
        <v>1660</v>
      </c>
      <c r="X72" s="16" t="s">
        <v>1856</v>
      </c>
    </row>
    <row r="73" spans="1:24" x14ac:dyDescent="0.25">
      <c r="C73" s="37"/>
      <c r="H73" s="9"/>
      <c r="I73" s="9"/>
      <c r="J73" s="9"/>
      <c r="K73" s="9"/>
      <c r="L73" s="9"/>
      <c r="M73" s="9"/>
      <c r="N73" s="9"/>
      <c r="O73" s="9"/>
      <c r="P73" s="9"/>
      <c r="Q73" s="9"/>
      <c r="R73" s="9"/>
      <c r="S73" s="9"/>
      <c r="T73" s="9"/>
      <c r="U73" s="9"/>
      <c r="V73" s="9"/>
      <c r="W73" s="9"/>
      <c r="X73" s="9"/>
    </row>
    <row r="74" spans="1:24" x14ac:dyDescent="0.25">
      <c r="A74" s="3"/>
      <c r="B74" s="3"/>
      <c r="D74" s="21" t="s">
        <v>207</v>
      </c>
      <c r="E74" s="25" t="s">
        <v>197</v>
      </c>
      <c r="F74" s="22" t="s">
        <v>171</v>
      </c>
      <c r="G74" s="22" t="s">
        <v>168</v>
      </c>
      <c r="H74" s="22">
        <v>48</v>
      </c>
      <c r="I74" s="22">
        <v>36</v>
      </c>
      <c r="J74" s="22">
        <v>57</v>
      </c>
      <c r="K74" s="22">
        <v>69</v>
      </c>
      <c r="L74" s="32">
        <v>66</v>
      </c>
      <c r="M74" s="22">
        <v>55</v>
      </c>
      <c r="N74" s="22">
        <v>50</v>
      </c>
      <c r="O74" s="22">
        <v>62</v>
      </c>
      <c r="P74" s="22">
        <v>56</v>
      </c>
      <c r="Q74" s="22">
        <v>71</v>
      </c>
      <c r="R74" s="22">
        <v>54</v>
      </c>
      <c r="S74" s="22" t="s">
        <v>451</v>
      </c>
      <c r="T74" s="22">
        <v>52</v>
      </c>
      <c r="U74" s="22">
        <v>45</v>
      </c>
      <c r="V74" s="22">
        <v>66</v>
      </c>
      <c r="W74" s="22">
        <v>64</v>
      </c>
      <c r="X74" s="22">
        <v>86</v>
      </c>
    </row>
    <row r="75" spans="1:24" x14ac:dyDescent="0.25">
      <c r="A75" s="3"/>
      <c r="B75" s="3"/>
      <c r="D75" s="21" t="s">
        <v>207</v>
      </c>
      <c r="E75" s="25" t="s">
        <v>197</v>
      </c>
      <c r="F75" s="22" t="s">
        <v>171</v>
      </c>
      <c r="G75" s="22" t="s">
        <v>161</v>
      </c>
      <c r="H75" s="22">
        <v>325</v>
      </c>
      <c r="I75" s="22">
        <v>216</v>
      </c>
      <c r="J75" s="22">
        <v>274</v>
      </c>
      <c r="K75" s="22">
        <v>361</v>
      </c>
      <c r="L75" s="32">
        <v>324</v>
      </c>
      <c r="M75" s="22">
        <f>300+26</f>
        <v>326</v>
      </c>
      <c r="N75" s="22">
        <v>359</v>
      </c>
      <c r="O75" s="22">
        <f>360+45</f>
        <v>405</v>
      </c>
      <c r="P75" s="22">
        <v>369</v>
      </c>
      <c r="Q75" s="22">
        <v>308</v>
      </c>
      <c r="R75" s="22">
        <v>227</v>
      </c>
      <c r="S75" s="22" t="s">
        <v>451</v>
      </c>
      <c r="T75" s="22">
        <v>356</v>
      </c>
      <c r="U75" s="22">
        <f>338</f>
        <v>338</v>
      </c>
      <c r="V75" s="22">
        <v>343</v>
      </c>
      <c r="W75" s="22">
        <v>310</v>
      </c>
      <c r="X75" s="22">
        <v>421</v>
      </c>
    </row>
    <row r="76" spans="1:24" x14ac:dyDescent="0.25">
      <c r="A76" s="3"/>
      <c r="B76" s="3"/>
      <c r="D76" s="21" t="s">
        <v>207</v>
      </c>
      <c r="E76" s="25" t="s">
        <v>197</v>
      </c>
      <c r="F76" s="22" t="s">
        <v>171</v>
      </c>
      <c r="G76" s="22" t="s">
        <v>162</v>
      </c>
      <c r="H76" s="22">
        <v>85</v>
      </c>
      <c r="I76" s="22">
        <v>35</v>
      </c>
      <c r="J76" s="22">
        <v>50</v>
      </c>
      <c r="K76" s="22">
        <v>77</v>
      </c>
      <c r="L76" s="32">
        <v>43</v>
      </c>
      <c r="M76" s="22">
        <v>100</v>
      </c>
      <c r="N76" s="22">
        <f>60+58</f>
        <v>118</v>
      </c>
      <c r="O76" s="22">
        <v>92</v>
      </c>
      <c r="P76" s="22">
        <v>72</v>
      </c>
      <c r="Q76" s="22">
        <v>89</v>
      </c>
      <c r="R76" s="22">
        <v>118</v>
      </c>
      <c r="S76" s="22" t="s">
        <v>451</v>
      </c>
      <c r="T76" s="22">
        <v>67</v>
      </c>
      <c r="U76" s="22">
        <v>105</v>
      </c>
      <c r="V76" s="22">
        <v>60</v>
      </c>
      <c r="W76" s="22">
        <v>113</v>
      </c>
      <c r="X76" s="22">
        <v>82</v>
      </c>
    </row>
    <row r="77" spans="1:24" x14ac:dyDescent="0.25">
      <c r="A77" s="3"/>
      <c r="B77" s="3"/>
      <c r="D77" s="21" t="s">
        <v>207</v>
      </c>
      <c r="E77" s="25" t="s">
        <v>197</v>
      </c>
      <c r="F77" s="22" t="s">
        <v>171</v>
      </c>
      <c r="G77" s="22" t="s">
        <v>163</v>
      </c>
      <c r="H77" s="22">
        <v>31</v>
      </c>
      <c r="I77" s="23">
        <v>0</v>
      </c>
      <c r="J77" s="23">
        <v>44</v>
      </c>
      <c r="K77" s="23">
        <v>38</v>
      </c>
      <c r="L77" s="33">
        <v>47</v>
      </c>
      <c r="M77" s="22">
        <v>38</v>
      </c>
      <c r="N77" s="22">
        <v>15</v>
      </c>
      <c r="O77" s="22">
        <v>52</v>
      </c>
      <c r="P77" s="22">
        <v>5</v>
      </c>
      <c r="Q77" s="22">
        <v>63</v>
      </c>
      <c r="R77" s="22">
        <v>25</v>
      </c>
      <c r="S77" s="22" t="s">
        <v>451</v>
      </c>
      <c r="T77" s="22">
        <v>30</v>
      </c>
      <c r="U77" s="22">
        <v>13</v>
      </c>
      <c r="V77" s="22">
        <v>25</v>
      </c>
      <c r="W77" s="22">
        <v>52</v>
      </c>
      <c r="X77" s="22">
        <v>92</v>
      </c>
    </row>
    <row r="78" spans="1:24" x14ac:dyDescent="0.25">
      <c r="A78" s="3"/>
      <c r="B78" s="3"/>
      <c r="D78" s="21" t="s">
        <v>207</v>
      </c>
      <c r="E78" s="25" t="s">
        <v>197</v>
      </c>
      <c r="F78" s="22" t="s">
        <v>171</v>
      </c>
      <c r="G78" s="22" t="s">
        <v>164</v>
      </c>
      <c r="H78" s="22">
        <v>209</v>
      </c>
      <c r="I78" s="22">
        <v>181</v>
      </c>
      <c r="J78" s="22">
        <v>180</v>
      </c>
      <c r="K78" s="22">
        <v>246</v>
      </c>
      <c r="L78" s="32">
        <v>234</v>
      </c>
      <c r="M78" s="22">
        <f>180+8</f>
        <v>188</v>
      </c>
      <c r="N78" s="22">
        <v>226</v>
      </c>
      <c r="O78" s="22">
        <v>261</v>
      </c>
      <c r="P78" s="22">
        <v>292</v>
      </c>
      <c r="Q78" s="22">
        <v>216</v>
      </c>
      <c r="R78" s="22">
        <v>184</v>
      </c>
      <c r="S78" s="22" t="s">
        <v>451</v>
      </c>
      <c r="T78" s="22">
        <v>259</v>
      </c>
      <c r="U78" s="22">
        <v>220</v>
      </c>
      <c r="V78" s="22">
        <v>258</v>
      </c>
      <c r="W78" s="22">
        <v>145</v>
      </c>
      <c r="X78" s="22">
        <v>247</v>
      </c>
    </row>
    <row r="79" spans="1:24" x14ac:dyDescent="0.25">
      <c r="A79" s="3"/>
      <c r="B79" s="3"/>
      <c r="D79" s="21" t="s">
        <v>207</v>
      </c>
      <c r="E79" s="25" t="s">
        <v>197</v>
      </c>
      <c r="F79" s="22" t="s">
        <v>171</v>
      </c>
      <c r="G79" s="22" t="s">
        <v>165</v>
      </c>
      <c r="H79" s="22">
        <v>40</v>
      </c>
      <c r="I79" s="22">
        <v>16</v>
      </c>
      <c r="J79" s="22">
        <v>20</v>
      </c>
      <c r="K79" s="22">
        <v>27</v>
      </c>
      <c r="L79" s="32">
        <v>22</v>
      </c>
      <c r="M79" s="22">
        <v>60</v>
      </c>
      <c r="N79" s="22">
        <v>55</v>
      </c>
      <c r="O79" s="22">
        <v>64</v>
      </c>
      <c r="P79" s="22">
        <v>38</v>
      </c>
      <c r="Q79" s="22">
        <v>29</v>
      </c>
      <c r="R79" s="22">
        <v>50</v>
      </c>
      <c r="S79" s="22" t="s">
        <v>451</v>
      </c>
      <c r="T79" s="22">
        <v>91</v>
      </c>
      <c r="U79" s="22">
        <v>92</v>
      </c>
      <c r="V79" s="22">
        <v>13</v>
      </c>
      <c r="W79" s="22">
        <v>41</v>
      </c>
      <c r="X79" s="22">
        <v>12</v>
      </c>
    </row>
    <row r="80" spans="1:24" x14ac:dyDescent="0.25">
      <c r="D80" s="21" t="s">
        <v>207</v>
      </c>
      <c r="E80" s="25" t="s">
        <v>197</v>
      </c>
      <c r="F80" s="22" t="s">
        <v>171</v>
      </c>
      <c r="G80" s="22" t="s">
        <v>214</v>
      </c>
      <c r="H80" s="22">
        <v>65</v>
      </c>
      <c r="I80" s="22">
        <v>67</v>
      </c>
      <c r="J80" s="22">
        <v>61</v>
      </c>
      <c r="K80" s="22">
        <v>61</v>
      </c>
      <c r="L80" s="32">
        <v>64</v>
      </c>
      <c r="M80" s="22">
        <v>64</v>
      </c>
      <c r="N80" s="22">
        <v>63</v>
      </c>
      <c r="O80" s="22">
        <v>61</v>
      </c>
      <c r="P80" s="22">
        <v>62</v>
      </c>
      <c r="Q80" s="22">
        <v>63</v>
      </c>
      <c r="R80" s="22">
        <v>65</v>
      </c>
      <c r="S80" s="22" t="s">
        <v>451</v>
      </c>
      <c r="T80" s="22">
        <v>60</v>
      </c>
      <c r="U80" s="22">
        <v>63</v>
      </c>
      <c r="V80" s="22">
        <v>63</v>
      </c>
      <c r="W80" s="22">
        <v>58</v>
      </c>
      <c r="X80" s="22">
        <v>60</v>
      </c>
    </row>
    <row r="81" spans="3:24" x14ac:dyDescent="0.25">
      <c r="D81" s="21" t="s">
        <v>207</v>
      </c>
      <c r="E81" s="25" t="s">
        <v>197</v>
      </c>
      <c r="F81" s="22" t="s">
        <v>171</v>
      </c>
      <c r="G81" s="22" t="s">
        <v>429</v>
      </c>
      <c r="H81" s="22">
        <v>74</v>
      </c>
      <c r="I81" s="22">
        <v>76</v>
      </c>
      <c r="J81" s="22">
        <v>69</v>
      </c>
      <c r="K81" s="22">
        <v>66</v>
      </c>
      <c r="L81" s="32">
        <v>70</v>
      </c>
      <c r="M81" s="22">
        <v>70</v>
      </c>
      <c r="N81" s="22">
        <v>69</v>
      </c>
      <c r="O81" s="22">
        <v>69</v>
      </c>
      <c r="P81" s="22">
        <v>67</v>
      </c>
      <c r="Q81" s="22">
        <v>67</v>
      </c>
      <c r="R81" s="22">
        <v>72</v>
      </c>
      <c r="S81" s="22" t="s">
        <v>451</v>
      </c>
      <c r="T81" s="22">
        <v>70</v>
      </c>
      <c r="U81" s="22">
        <v>69</v>
      </c>
      <c r="V81" s="22">
        <v>68</v>
      </c>
      <c r="W81" s="22">
        <v>65</v>
      </c>
      <c r="X81" s="22">
        <v>64</v>
      </c>
    </row>
    <row r="82" spans="3:24" x14ac:dyDescent="0.25">
      <c r="D82" s="21" t="s">
        <v>207</v>
      </c>
      <c r="E82" s="25" t="s">
        <v>197</v>
      </c>
      <c r="F82" s="22" t="s">
        <v>171</v>
      </c>
      <c r="G82" s="22" t="s">
        <v>430</v>
      </c>
      <c r="H82" s="22">
        <v>35</v>
      </c>
      <c r="I82" s="22">
        <v>25</v>
      </c>
      <c r="J82" s="22">
        <v>28</v>
      </c>
      <c r="K82" s="22">
        <v>31</v>
      </c>
      <c r="L82" s="32">
        <v>29</v>
      </c>
      <c r="M82" s="22">
        <v>30</v>
      </c>
      <c r="N82" s="22">
        <v>25</v>
      </c>
      <c r="O82" s="22">
        <v>29</v>
      </c>
      <c r="P82" s="22">
        <v>32</v>
      </c>
      <c r="Q82" s="22">
        <v>23</v>
      </c>
      <c r="R82" s="22">
        <v>24</v>
      </c>
      <c r="S82" s="22" t="s">
        <v>451</v>
      </c>
      <c r="T82" s="22">
        <v>31</v>
      </c>
      <c r="U82" s="22">
        <v>25</v>
      </c>
      <c r="V82" s="22">
        <v>25</v>
      </c>
      <c r="W82" s="22">
        <v>32</v>
      </c>
      <c r="X82" s="22">
        <v>38</v>
      </c>
    </row>
    <row r="83" spans="3:24" x14ac:dyDescent="0.25">
      <c r="D83" s="21" t="s">
        <v>207</v>
      </c>
      <c r="E83" s="25" t="s">
        <v>197</v>
      </c>
      <c r="F83" s="22" t="s">
        <v>171</v>
      </c>
      <c r="G83" s="22" t="s">
        <v>169</v>
      </c>
      <c r="H83" s="22">
        <v>15</v>
      </c>
      <c r="I83" s="22">
        <v>18</v>
      </c>
      <c r="J83" s="22">
        <v>17</v>
      </c>
      <c r="K83" s="22">
        <v>17</v>
      </c>
      <c r="L83" s="32">
        <v>17</v>
      </c>
      <c r="M83" s="22">
        <v>19</v>
      </c>
      <c r="N83" s="22">
        <v>18</v>
      </c>
      <c r="O83" s="22">
        <v>16</v>
      </c>
      <c r="P83" s="22">
        <v>17</v>
      </c>
      <c r="Q83" s="22">
        <v>17</v>
      </c>
      <c r="R83" s="22">
        <v>19</v>
      </c>
      <c r="S83" s="22" t="s">
        <v>451</v>
      </c>
      <c r="T83" s="22">
        <v>17</v>
      </c>
      <c r="U83" s="22">
        <v>18</v>
      </c>
      <c r="V83" s="22">
        <v>18</v>
      </c>
      <c r="W83" s="22">
        <v>17</v>
      </c>
      <c r="X83" s="22">
        <v>17</v>
      </c>
    </row>
    <row r="84" spans="3:24" x14ac:dyDescent="0.25">
      <c r="D84" s="21" t="s">
        <v>207</v>
      </c>
      <c r="E84" s="25" t="s">
        <v>197</v>
      </c>
      <c r="F84" s="22" t="s">
        <v>171</v>
      </c>
      <c r="G84" s="22" t="s">
        <v>256</v>
      </c>
      <c r="H84" s="22">
        <v>19</v>
      </c>
      <c r="I84" s="22">
        <v>36</v>
      </c>
      <c r="J84" s="22">
        <v>25</v>
      </c>
      <c r="K84" s="22">
        <v>21</v>
      </c>
      <c r="L84" s="32">
        <v>25</v>
      </c>
      <c r="M84" s="22">
        <v>30</v>
      </c>
      <c r="N84" s="22">
        <v>25</v>
      </c>
      <c r="O84" s="22">
        <v>23</v>
      </c>
      <c r="P84" s="22">
        <v>22</v>
      </c>
      <c r="Q84" s="22">
        <v>24</v>
      </c>
      <c r="R84" s="22">
        <v>30</v>
      </c>
      <c r="S84" s="22" t="s">
        <v>451</v>
      </c>
      <c r="T84" s="22">
        <v>25</v>
      </c>
      <c r="U84" s="22">
        <v>27</v>
      </c>
      <c r="V84" s="22">
        <v>24</v>
      </c>
      <c r="W84" s="22">
        <v>21</v>
      </c>
      <c r="X84" s="22">
        <v>21</v>
      </c>
    </row>
    <row r="85" spans="3:24" x14ac:dyDescent="0.25">
      <c r="D85" s="21" t="s">
        <v>207</v>
      </c>
      <c r="E85" s="25" t="s">
        <v>197</v>
      </c>
      <c r="F85" s="22" t="s">
        <v>171</v>
      </c>
      <c r="G85" s="22" t="s">
        <v>238</v>
      </c>
      <c r="H85" s="22" t="s">
        <v>239</v>
      </c>
      <c r="I85" s="22">
        <v>-0.4</v>
      </c>
      <c r="J85" s="22">
        <v>-0.7</v>
      </c>
      <c r="K85" s="22">
        <v>-0.3</v>
      </c>
      <c r="L85" s="32">
        <v>0.3</v>
      </c>
      <c r="M85" s="22">
        <v>-0.9</v>
      </c>
      <c r="N85" s="22">
        <v>-0.5</v>
      </c>
      <c r="O85" s="22">
        <v>0.3</v>
      </c>
      <c r="P85" s="22">
        <v>-0.6</v>
      </c>
      <c r="Q85" s="22">
        <v>-0.1</v>
      </c>
      <c r="R85" s="22">
        <v>-0.5</v>
      </c>
      <c r="S85" s="22" t="s">
        <v>451</v>
      </c>
      <c r="T85" s="22">
        <v>0.1</v>
      </c>
      <c r="U85" s="22">
        <v>0.4</v>
      </c>
      <c r="V85" s="22">
        <v>0.2</v>
      </c>
      <c r="W85" s="22">
        <v>-0.2</v>
      </c>
      <c r="X85" s="22">
        <v>-0.4</v>
      </c>
    </row>
    <row r="86" spans="3:24" x14ac:dyDescent="0.25">
      <c r="D86" s="18" t="s">
        <v>208</v>
      </c>
      <c r="E86" s="19" t="s">
        <v>197</v>
      </c>
      <c r="F86" s="17" t="s">
        <v>176</v>
      </c>
      <c r="G86" s="17" t="s">
        <v>172</v>
      </c>
      <c r="H86" s="18" t="s">
        <v>199</v>
      </c>
      <c r="I86" s="18" t="s">
        <v>199</v>
      </c>
      <c r="J86" s="18" t="s">
        <v>199</v>
      </c>
      <c r="K86" s="18" t="s">
        <v>199</v>
      </c>
      <c r="L86" s="18" t="s">
        <v>199</v>
      </c>
      <c r="M86" s="18" t="s">
        <v>199</v>
      </c>
      <c r="N86" s="18" t="s">
        <v>199</v>
      </c>
      <c r="O86" s="18" t="s">
        <v>199</v>
      </c>
      <c r="P86" s="18" t="s">
        <v>199</v>
      </c>
      <c r="Q86" s="18" t="s">
        <v>199</v>
      </c>
      <c r="R86" s="76" t="s">
        <v>199</v>
      </c>
      <c r="S86" s="76" t="s">
        <v>721</v>
      </c>
      <c r="T86" s="18" t="s">
        <v>199</v>
      </c>
      <c r="U86" s="18" t="s">
        <v>199</v>
      </c>
      <c r="V86" s="18" t="s">
        <v>199</v>
      </c>
      <c r="W86" s="18" t="s">
        <v>199</v>
      </c>
      <c r="X86" s="18" t="s">
        <v>178</v>
      </c>
    </row>
    <row r="87" spans="3:24" x14ac:dyDescent="0.25">
      <c r="D87" s="18" t="s">
        <v>208</v>
      </c>
      <c r="E87" s="19" t="s">
        <v>197</v>
      </c>
      <c r="F87" s="17" t="s">
        <v>176</v>
      </c>
      <c r="G87" s="17" t="s">
        <v>173</v>
      </c>
      <c r="H87" s="17" t="s">
        <v>200</v>
      </c>
      <c r="I87" s="17" t="s">
        <v>200</v>
      </c>
      <c r="J87" s="17" t="s">
        <v>200</v>
      </c>
      <c r="K87" s="17" t="s">
        <v>200</v>
      </c>
      <c r="L87" s="17" t="s">
        <v>200</v>
      </c>
      <c r="M87" s="17" t="s">
        <v>200</v>
      </c>
      <c r="N87" s="17" t="s">
        <v>200</v>
      </c>
      <c r="O87" s="17" t="s">
        <v>200</v>
      </c>
      <c r="P87" s="17" t="s">
        <v>200</v>
      </c>
      <c r="Q87" s="17" t="s">
        <v>200</v>
      </c>
      <c r="R87" s="76" t="s">
        <v>200</v>
      </c>
      <c r="S87" s="76" t="s">
        <v>722</v>
      </c>
      <c r="T87" s="17" t="s">
        <v>200</v>
      </c>
      <c r="U87" s="17" t="s">
        <v>200</v>
      </c>
      <c r="V87" s="17" t="s">
        <v>200</v>
      </c>
      <c r="W87" s="17" t="s">
        <v>667</v>
      </c>
      <c r="X87" s="17" t="s">
        <v>667</v>
      </c>
    </row>
    <row r="88" spans="3:24" x14ac:dyDescent="0.25">
      <c r="D88" s="18" t="s">
        <v>208</v>
      </c>
      <c r="E88" s="19" t="s">
        <v>197</v>
      </c>
      <c r="F88" s="17" t="s">
        <v>176</v>
      </c>
      <c r="G88" s="17" t="s">
        <v>174</v>
      </c>
      <c r="H88" s="17" t="s">
        <v>201</v>
      </c>
      <c r="I88" s="17" t="s">
        <v>201</v>
      </c>
      <c r="J88" s="17" t="s">
        <v>201</v>
      </c>
      <c r="K88" s="17" t="s">
        <v>201</v>
      </c>
      <c r="L88" s="17" t="s">
        <v>201</v>
      </c>
      <c r="M88" s="17" t="s">
        <v>201</v>
      </c>
      <c r="N88" s="17" t="s">
        <v>201</v>
      </c>
      <c r="O88" s="17" t="s">
        <v>201</v>
      </c>
      <c r="P88" s="17" t="s">
        <v>201</v>
      </c>
      <c r="Q88" s="17" t="s">
        <v>201</v>
      </c>
      <c r="R88" s="76" t="s">
        <v>201</v>
      </c>
      <c r="S88" s="76" t="s">
        <v>723</v>
      </c>
      <c r="T88" s="17" t="s">
        <v>201</v>
      </c>
      <c r="U88" s="17" t="s">
        <v>201</v>
      </c>
      <c r="V88" s="17" t="s">
        <v>201</v>
      </c>
      <c r="W88" s="17" t="s">
        <v>180</v>
      </c>
      <c r="X88" s="17" t="s">
        <v>180</v>
      </c>
    </row>
    <row r="89" spans="3:24" x14ac:dyDescent="0.25">
      <c r="D89" s="18" t="s">
        <v>208</v>
      </c>
      <c r="E89" s="19" t="s">
        <v>197</v>
      </c>
      <c r="F89" s="17" t="s">
        <v>176</v>
      </c>
      <c r="G89" s="17" t="s">
        <v>175</v>
      </c>
      <c r="H89" s="17" t="s">
        <v>181</v>
      </c>
      <c r="I89" s="17" t="s">
        <v>181</v>
      </c>
      <c r="J89" s="17" t="s">
        <v>181</v>
      </c>
      <c r="K89" s="17" t="s">
        <v>181</v>
      </c>
      <c r="L89" s="17" t="s">
        <v>181</v>
      </c>
      <c r="M89" s="17" t="s">
        <v>181</v>
      </c>
      <c r="N89" s="17" t="s">
        <v>181</v>
      </c>
      <c r="O89" s="17" t="s">
        <v>181</v>
      </c>
      <c r="P89" s="17" t="s">
        <v>181</v>
      </c>
      <c r="Q89" s="17" t="s">
        <v>181</v>
      </c>
      <c r="R89" s="76" t="s">
        <v>181</v>
      </c>
      <c r="S89" s="76" t="s">
        <v>724</v>
      </c>
      <c r="T89" s="17" t="s">
        <v>432</v>
      </c>
      <c r="U89" s="17" t="s">
        <v>181</v>
      </c>
      <c r="V89" s="17" t="s">
        <v>432</v>
      </c>
      <c r="W89" s="17" t="s">
        <v>181</v>
      </c>
      <c r="X89" s="17" t="s">
        <v>181</v>
      </c>
    </row>
    <row r="90" spans="3:24" s="1" customFormat="1" ht="409.5" x14ac:dyDescent="0.25">
      <c r="C90" s="36"/>
      <c r="D90" s="20" t="s">
        <v>208</v>
      </c>
      <c r="E90" s="19" t="s">
        <v>197</v>
      </c>
      <c r="F90" s="19" t="s">
        <v>177</v>
      </c>
      <c r="G90" s="19" t="s">
        <v>183</v>
      </c>
      <c r="H90" s="16" t="s">
        <v>202</v>
      </c>
      <c r="I90" s="16" t="s">
        <v>218</v>
      </c>
      <c r="J90" s="16" t="s">
        <v>218</v>
      </c>
      <c r="K90" s="16" t="s">
        <v>353</v>
      </c>
      <c r="L90" s="16" t="s">
        <v>373</v>
      </c>
      <c r="M90" s="16" t="s">
        <v>393</v>
      </c>
      <c r="N90" s="16" t="s">
        <v>406</v>
      </c>
      <c r="O90" s="16" t="s">
        <v>422</v>
      </c>
      <c r="P90" s="16" t="s">
        <v>434</v>
      </c>
      <c r="Q90" s="16" t="s">
        <v>454</v>
      </c>
      <c r="R90" s="77" t="s">
        <v>700</v>
      </c>
      <c r="S90" s="77" t="s">
        <v>725</v>
      </c>
      <c r="T90" s="16" t="s">
        <v>744</v>
      </c>
      <c r="U90" s="16" t="s">
        <v>1351</v>
      </c>
      <c r="V90" s="16" t="s">
        <v>1474</v>
      </c>
      <c r="W90" s="16" t="s">
        <v>1661</v>
      </c>
      <c r="X90" s="16" t="s">
        <v>1857</v>
      </c>
    </row>
    <row r="92" spans="3:24" x14ac:dyDescent="0.25">
      <c r="D92" s="21" t="s">
        <v>207</v>
      </c>
      <c r="E92" s="21" t="s">
        <v>227</v>
      </c>
      <c r="F92" s="22" t="s">
        <v>219</v>
      </c>
      <c r="G92" s="22" t="s">
        <v>168</v>
      </c>
      <c r="H92" s="22">
        <v>79</v>
      </c>
      <c r="I92" s="22">
        <v>79</v>
      </c>
      <c r="J92" s="32">
        <v>81</v>
      </c>
      <c r="K92" s="32">
        <v>63</v>
      </c>
      <c r="L92" s="32">
        <v>72</v>
      </c>
      <c r="M92" s="22">
        <v>75</v>
      </c>
      <c r="N92" s="32">
        <v>39</v>
      </c>
      <c r="O92" s="22">
        <v>71</v>
      </c>
      <c r="P92" s="22">
        <v>59</v>
      </c>
      <c r="Q92" s="22">
        <v>65</v>
      </c>
      <c r="R92" s="22">
        <v>64</v>
      </c>
      <c r="S92" s="22">
        <v>47</v>
      </c>
      <c r="T92" s="22">
        <v>78</v>
      </c>
      <c r="U92" s="22">
        <v>66</v>
      </c>
      <c r="V92" s="22" t="s">
        <v>451</v>
      </c>
      <c r="W92" s="22">
        <v>87</v>
      </c>
      <c r="X92" s="22"/>
    </row>
    <row r="93" spans="3:24" x14ac:dyDescent="0.25">
      <c r="D93" s="21" t="s">
        <v>207</v>
      </c>
      <c r="E93" s="21" t="s">
        <v>227</v>
      </c>
      <c r="F93" s="22" t="s">
        <v>219</v>
      </c>
      <c r="G93" s="22" t="s">
        <v>161</v>
      </c>
      <c r="H93" s="22">
        <v>297</v>
      </c>
      <c r="I93" s="22">
        <v>420</v>
      </c>
      <c r="J93" s="32">
        <v>398</v>
      </c>
      <c r="K93" s="32">
        <v>322</v>
      </c>
      <c r="L93" s="32">
        <v>336</v>
      </c>
      <c r="M93" s="22">
        <v>333</v>
      </c>
      <c r="N93" s="32">
        <v>291</v>
      </c>
      <c r="O93" s="22">
        <v>334</v>
      </c>
      <c r="P93" s="22">
        <v>371</v>
      </c>
      <c r="Q93" s="22">
        <v>412</v>
      </c>
      <c r="R93" s="22">
        <v>328</v>
      </c>
      <c r="S93" s="22">
        <v>254</v>
      </c>
      <c r="T93" s="22">
        <v>501</v>
      </c>
      <c r="U93" s="22">
        <v>339</v>
      </c>
      <c r="V93" s="22" t="s">
        <v>451</v>
      </c>
      <c r="W93" s="22">
        <v>426</v>
      </c>
      <c r="X93" s="22"/>
    </row>
    <row r="94" spans="3:24" x14ac:dyDescent="0.25">
      <c r="D94" s="21" t="s">
        <v>207</v>
      </c>
      <c r="E94" s="21" t="s">
        <v>227</v>
      </c>
      <c r="F94" s="22" t="s">
        <v>219</v>
      </c>
      <c r="G94" s="22" t="s">
        <v>162</v>
      </c>
      <c r="H94" s="22">
        <v>71</v>
      </c>
      <c r="I94" s="22">
        <v>85</v>
      </c>
      <c r="J94" s="32">
        <v>59</v>
      </c>
      <c r="K94" s="32">
        <v>61</v>
      </c>
      <c r="L94" s="32">
        <v>59</v>
      </c>
      <c r="M94" s="22">
        <v>43</v>
      </c>
      <c r="N94" s="32">
        <v>28</v>
      </c>
      <c r="O94" s="22">
        <v>60</v>
      </c>
      <c r="P94" s="22">
        <v>64</v>
      </c>
      <c r="Q94" s="22">
        <v>92</v>
      </c>
      <c r="R94" s="22">
        <v>58</v>
      </c>
      <c r="S94" s="22">
        <v>96</v>
      </c>
      <c r="T94" s="22">
        <v>70</v>
      </c>
      <c r="U94" s="22">
        <v>78</v>
      </c>
      <c r="V94" s="22" t="s">
        <v>451</v>
      </c>
      <c r="W94" s="22">
        <v>93</v>
      </c>
      <c r="X94" s="22"/>
    </row>
    <row r="95" spans="3:24" x14ac:dyDescent="0.25">
      <c r="D95" s="21" t="s">
        <v>207</v>
      </c>
      <c r="E95" s="21" t="s">
        <v>227</v>
      </c>
      <c r="F95" s="22" t="s">
        <v>219</v>
      </c>
      <c r="G95" s="22" t="s">
        <v>163</v>
      </c>
      <c r="H95" s="22">
        <v>91</v>
      </c>
      <c r="I95" s="23">
        <v>97</v>
      </c>
      <c r="J95" s="33">
        <v>88</v>
      </c>
      <c r="K95" s="33">
        <v>21</v>
      </c>
      <c r="L95" s="33">
        <v>38</v>
      </c>
      <c r="M95" s="22">
        <v>51</v>
      </c>
      <c r="N95" s="32">
        <v>0</v>
      </c>
      <c r="O95" s="22">
        <v>62</v>
      </c>
      <c r="P95" s="22">
        <v>23</v>
      </c>
      <c r="Q95" s="22">
        <v>84</v>
      </c>
      <c r="R95" s="22">
        <v>19</v>
      </c>
      <c r="S95" s="22">
        <v>0</v>
      </c>
      <c r="T95" s="22">
        <v>102</v>
      </c>
      <c r="U95" s="22">
        <v>19</v>
      </c>
      <c r="V95" s="22" t="s">
        <v>451</v>
      </c>
      <c r="W95" s="22">
        <v>100</v>
      </c>
      <c r="X95" s="22"/>
    </row>
    <row r="96" spans="3:24" x14ac:dyDescent="0.25">
      <c r="D96" s="21" t="s">
        <v>207</v>
      </c>
      <c r="E96" s="21" t="s">
        <v>227</v>
      </c>
      <c r="F96" s="22" t="s">
        <v>219</v>
      </c>
      <c r="G96" s="22" t="s">
        <v>164</v>
      </c>
      <c r="H96" s="22">
        <v>298</v>
      </c>
      <c r="I96" s="22">
        <v>238</v>
      </c>
      <c r="J96" s="32">
        <v>251</v>
      </c>
      <c r="K96" s="32">
        <v>240</v>
      </c>
      <c r="L96" s="32">
        <f>180+59</f>
        <v>239</v>
      </c>
      <c r="M96" s="22">
        <f>180+59</f>
        <v>239</v>
      </c>
      <c r="N96" s="32">
        <v>263</v>
      </c>
      <c r="O96" s="22">
        <v>212</v>
      </c>
      <c r="P96" s="22">
        <v>254</v>
      </c>
      <c r="Q96" s="22">
        <v>236</v>
      </c>
      <c r="R96" s="22">
        <v>311</v>
      </c>
      <c r="S96" s="22">
        <v>158</v>
      </c>
      <c r="T96" s="22">
        <v>319</v>
      </c>
      <c r="U96" s="22">
        <v>242</v>
      </c>
      <c r="V96" s="22" t="s">
        <v>451</v>
      </c>
      <c r="W96" s="22">
        <f>180+53</f>
        <v>233</v>
      </c>
      <c r="X96" s="22"/>
    </row>
    <row r="97" spans="3:24" x14ac:dyDescent="0.25">
      <c r="D97" s="21" t="s">
        <v>207</v>
      </c>
      <c r="E97" s="21" t="s">
        <v>227</v>
      </c>
      <c r="F97" s="22" t="s">
        <v>219</v>
      </c>
      <c r="G97" s="22" t="s">
        <v>165</v>
      </c>
      <c r="H97" s="22">
        <v>52</v>
      </c>
      <c r="I97" s="22">
        <v>26</v>
      </c>
      <c r="J97" s="32">
        <v>15</v>
      </c>
      <c r="K97" s="32">
        <v>9</v>
      </c>
      <c r="L97" s="32">
        <v>7</v>
      </c>
      <c r="M97" s="22">
        <v>17</v>
      </c>
      <c r="N97" s="32">
        <v>81</v>
      </c>
      <c r="O97" s="22">
        <v>26</v>
      </c>
      <c r="P97" s="22">
        <v>29</v>
      </c>
      <c r="Q97" s="22">
        <v>59</v>
      </c>
      <c r="R97" s="22">
        <v>6</v>
      </c>
      <c r="S97" s="22">
        <v>6</v>
      </c>
      <c r="T97" s="22">
        <v>65</v>
      </c>
      <c r="U97" s="22">
        <v>13</v>
      </c>
      <c r="V97" s="22" t="s">
        <v>451</v>
      </c>
      <c r="W97" s="22">
        <v>24</v>
      </c>
      <c r="X97" s="22"/>
    </row>
    <row r="98" spans="3:24" x14ac:dyDescent="0.25">
      <c r="D98" s="21" t="s">
        <v>207</v>
      </c>
      <c r="E98" s="21" t="s">
        <v>227</v>
      </c>
      <c r="F98" s="22" t="s">
        <v>219</v>
      </c>
      <c r="G98" s="22" t="s">
        <v>214</v>
      </c>
      <c r="H98" s="22">
        <v>65</v>
      </c>
      <c r="I98" s="22">
        <v>62</v>
      </c>
      <c r="J98" s="32">
        <v>59</v>
      </c>
      <c r="K98" s="32">
        <v>62</v>
      </c>
      <c r="L98" s="32">
        <v>62</v>
      </c>
      <c r="M98" s="22">
        <v>58</v>
      </c>
      <c r="N98" s="32">
        <v>63</v>
      </c>
      <c r="O98" s="22">
        <v>60</v>
      </c>
      <c r="P98" s="22">
        <v>63</v>
      </c>
      <c r="Q98" s="22">
        <v>61</v>
      </c>
      <c r="R98" s="22">
        <v>63</v>
      </c>
      <c r="S98" s="22">
        <v>63</v>
      </c>
      <c r="T98" s="22">
        <v>59</v>
      </c>
      <c r="U98" s="22">
        <v>59</v>
      </c>
      <c r="V98" s="22" t="s">
        <v>451</v>
      </c>
      <c r="W98" s="22">
        <v>55</v>
      </c>
      <c r="X98" s="22"/>
    </row>
    <row r="99" spans="3:24" x14ac:dyDescent="0.25">
      <c r="D99" s="21" t="s">
        <v>207</v>
      </c>
      <c r="E99" s="21" t="s">
        <v>227</v>
      </c>
      <c r="F99" s="22" t="s">
        <v>219</v>
      </c>
      <c r="G99" s="22" t="s">
        <v>429</v>
      </c>
      <c r="H99" s="22">
        <v>69</v>
      </c>
      <c r="I99" s="22">
        <v>68</v>
      </c>
      <c r="J99" s="32">
        <v>64</v>
      </c>
      <c r="K99" s="32">
        <v>66</v>
      </c>
      <c r="L99" s="32">
        <v>66</v>
      </c>
      <c r="M99" s="22">
        <v>63</v>
      </c>
      <c r="N99" s="32">
        <v>65</v>
      </c>
      <c r="O99" s="22">
        <v>67</v>
      </c>
      <c r="P99" s="22">
        <v>68</v>
      </c>
      <c r="Q99" s="22">
        <v>66</v>
      </c>
      <c r="R99" s="22">
        <v>68</v>
      </c>
      <c r="S99" s="22">
        <v>67</v>
      </c>
      <c r="T99" s="22">
        <v>64</v>
      </c>
      <c r="U99" s="22">
        <v>65</v>
      </c>
      <c r="V99" s="22" t="s">
        <v>451</v>
      </c>
      <c r="W99" s="22">
        <v>61</v>
      </c>
      <c r="X99" s="22"/>
    </row>
    <row r="100" spans="3:24" x14ac:dyDescent="0.25">
      <c r="D100" s="21" t="s">
        <v>207</v>
      </c>
      <c r="E100" s="21" t="s">
        <v>227</v>
      </c>
      <c r="F100" s="22" t="s">
        <v>219</v>
      </c>
      <c r="G100" s="22" t="s">
        <v>430</v>
      </c>
      <c r="H100" s="22">
        <v>35</v>
      </c>
      <c r="I100" s="22">
        <v>37</v>
      </c>
      <c r="J100" s="32">
        <v>42</v>
      </c>
      <c r="K100" s="32">
        <v>37</v>
      </c>
      <c r="L100" s="32">
        <v>47</v>
      </c>
      <c r="M100" s="22">
        <v>46</v>
      </c>
      <c r="N100" s="32">
        <v>43</v>
      </c>
      <c r="O100" s="22">
        <v>40</v>
      </c>
      <c r="P100" s="22">
        <v>31</v>
      </c>
      <c r="Q100" s="22">
        <v>39</v>
      </c>
      <c r="R100" s="22">
        <v>35</v>
      </c>
      <c r="S100" s="22">
        <v>34</v>
      </c>
      <c r="T100" s="22">
        <v>39</v>
      </c>
      <c r="U100" s="22">
        <v>34</v>
      </c>
      <c r="V100" s="22" t="s">
        <v>451</v>
      </c>
      <c r="W100" s="22">
        <v>42</v>
      </c>
      <c r="X100" s="22"/>
    </row>
    <row r="101" spans="3:24" x14ac:dyDescent="0.25">
      <c r="D101" s="21" t="s">
        <v>207</v>
      </c>
      <c r="E101" s="21" t="s">
        <v>227</v>
      </c>
      <c r="F101" s="22" t="s">
        <v>219</v>
      </c>
      <c r="G101" s="22" t="s">
        <v>169</v>
      </c>
      <c r="H101" s="22">
        <v>15</v>
      </c>
      <c r="I101" s="22">
        <v>16</v>
      </c>
      <c r="J101" s="32">
        <v>15</v>
      </c>
      <c r="K101" s="32">
        <v>16</v>
      </c>
      <c r="L101" s="32">
        <v>16</v>
      </c>
      <c r="M101" s="22">
        <v>15</v>
      </c>
      <c r="N101" s="32">
        <v>12</v>
      </c>
      <c r="O101" s="22">
        <v>16</v>
      </c>
      <c r="P101" s="22">
        <v>16</v>
      </c>
      <c r="Q101" s="22">
        <v>15</v>
      </c>
      <c r="R101" s="22">
        <v>17</v>
      </c>
      <c r="S101" s="22">
        <v>16</v>
      </c>
      <c r="T101" s="22">
        <v>15</v>
      </c>
      <c r="U101" s="22">
        <v>16</v>
      </c>
      <c r="V101" s="22" t="s">
        <v>451</v>
      </c>
      <c r="W101" s="22">
        <v>15</v>
      </c>
      <c r="X101" s="22"/>
    </row>
    <row r="102" spans="3:24" x14ac:dyDescent="0.25">
      <c r="D102" s="21" t="s">
        <v>207</v>
      </c>
      <c r="E102" s="21" t="s">
        <v>227</v>
      </c>
      <c r="F102" s="22" t="s">
        <v>219</v>
      </c>
      <c r="G102" s="22" t="s">
        <v>256</v>
      </c>
      <c r="H102" s="22">
        <v>19</v>
      </c>
      <c r="I102" s="22">
        <v>17</v>
      </c>
      <c r="J102" s="32">
        <v>13</v>
      </c>
      <c r="K102" s="32">
        <v>17</v>
      </c>
      <c r="L102" s="32">
        <v>12</v>
      </c>
      <c r="M102" s="22">
        <v>10</v>
      </c>
      <c r="N102" s="32">
        <v>14</v>
      </c>
      <c r="O102" s="22">
        <v>15</v>
      </c>
      <c r="P102" s="22">
        <v>22</v>
      </c>
      <c r="Q102" s="22">
        <v>16</v>
      </c>
      <c r="R102" s="22">
        <v>21</v>
      </c>
      <c r="S102" s="22">
        <v>19</v>
      </c>
      <c r="T102" s="22">
        <v>14</v>
      </c>
      <c r="U102" s="22">
        <v>17</v>
      </c>
      <c r="V102" s="22" t="s">
        <v>451</v>
      </c>
      <c r="W102" s="22">
        <v>13</v>
      </c>
      <c r="X102" s="22"/>
    </row>
    <row r="103" spans="3:24" x14ac:dyDescent="0.25">
      <c r="D103" s="21" t="s">
        <v>207</v>
      </c>
      <c r="E103" s="25" t="s">
        <v>197</v>
      </c>
      <c r="F103" s="22" t="s">
        <v>219</v>
      </c>
      <c r="G103" s="22" t="s">
        <v>238</v>
      </c>
      <c r="H103" s="22">
        <v>0.4</v>
      </c>
      <c r="I103" s="22">
        <v>0</v>
      </c>
      <c r="J103" s="32">
        <v>-0.4</v>
      </c>
      <c r="K103" s="32">
        <v>-0.3</v>
      </c>
      <c r="L103" s="32">
        <v>-0.2</v>
      </c>
      <c r="M103" s="22">
        <v>0.2</v>
      </c>
      <c r="N103" s="32">
        <v>0.8</v>
      </c>
      <c r="O103" s="22">
        <v>-0.6</v>
      </c>
      <c r="P103" s="22">
        <v>0.1</v>
      </c>
      <c r="Q103" s="22">
        <v>0.3</v>
      </c>
      <c r="R103" s="22">
        <v>0.7</v>
      </c>
      <c r="S103" s="22" t="s">
        <v>451</v>
      </c>
      <c r="T103" s="22">
        <v>-0.4</v>
      </c>
      <c r="U103" s="22">
        <v>-0.1</v>
      </c>
      <c r="V103" s="22" t="s">
        <v>451</v>
      </c>
      <c r="W103" s="22">
        <v>0.1</v>
      </c>
      <c r="X103" s="22"/>
    </row>
    <row r="104" spans="3:24" x14ac:dyDescent="0.25">
      <c r="D104" s="18" t="s">
        <v>208</v>
      </c>
      <c r="E104" s="18" t="s">
        <v>227</v>
      </c>
      <c r="F104" s="17" t="s">
        <v>220</v>
      </c>
      <c r="G104" s="17" t="s">
        <v>172</v>
      </c>
      <c r="H104" s="17" t="s">
        <v>178</v>
      </c>
      <c r="I104" s="17" t="s">
        <v>178</v>
      </c>
      <c r="J104" s="17" t="s">
        <v>178</v>
      </c>
      <c r="K104" s="17" t="s">
        <v>354</v>
      </c>
      <c r="L104" s="17" t="s">
        <v>354</v>
      </c>
      <c r="M104" s="17" t="s">
        <v>178</v>
      </c>
      <c r="N104" s="17" t="s">
        <v>253</v>
      </c>
      <c r="O104" s="17" t="s">
        <v>309</v>
      </c>
      <c r="P104" s="17" t="s">
        <v>309</v>
      </c>
      <c r="Q104" s="17" t="s">
        <v>309</v>
      </c>
      <c r="R104" s="76" t="s">
        <v>309</v>
      </c>
      <c r="S104" s="76" t="s">
        <v>253</v>
      </c>
      <c r="T104" s="17" t="s">
        <v>178</v>
      </c>
      <c r="U104" s="17" t="s">
        <v>309</v>
      </c>
      <c r="V104" s="17" t="s">
        <v>451</v>
      </c>
      <c r="W104" s="17" t="s">
        <v>178</v>
      </c>
      <c r="X104" s="17"/>
    </row>
    <row r="105" spans="3:24" x14ac:dyDescent="0.25">
      <c r="D105" s="18" t="s">
        <v>208</v>
      </c>
      <c r="E105" s="18" t="s">
        <v>227</v>
      </c>
      <c r="F105" s="17" t="s">
        <v>220</v>
      </c>
      <c r="G105" s="17" t="s">
        <v>173</v>
      </c>
      <c r="H105" s="17" t="s">
        <v>215</v>
      </c>
      <c r="I105" s="17" t="s">
        <v>215</v>
      </c>
      <c r="J105" s="17" t="s">
        <v>215</v>
      </c>
      <c r="K105" s="17" t="s">
        <v>355</v>
      </c>
      <c r="L105" s="17" t="s">
        <v>355</v>
      </c>
      <c r="M105" s="17" t="s">
        <v>215</v>
      </c>
      <c r="N105" s="17" t="s">
        <v>355</v>
      </c>
      <c r="O105" s="17" t="s">
        <v>355</v>
      </c>
      <c r="P105" s="17" t="s">
        <v>355</v>
      </c>
      <c r="Q105" s="17" t="s">
        <v>355</v>
      </c>
      <c r="R105" s="76" t="s">
        <v>355</v>
      </c>
      <c r="S105" s="76" t="s">
        <v>355</v>
      </c>
      <c r="T105" s="17" t="s">
        <v>215</v>
      </c>
      <c r="U105" s="17" t="s">
        <v>355</v>
      </c>
      <c r="V105" s="17" t="s">
        <v>451</v>
      </c>
      <c r="W105" s="17" t="s">
        <v>179</v>
      </c>
      <c r="X105" s="17"/>
    </row>
    <row r="106" spans="3:24" x14ac:dyDescent="0.25">
      <c r="D106" s="18" t="s">
        <v>208</v>
      </c>
      <c r="E106" s="18" t="s">
        <v>227</v>
      </c>
      <c r="F106" s="17" t="s">
        <v>220</v>
      </c>
      <c r="G106" s="17" t="s">
        <v>174</v>
      </c>
      <c r="H106" s="17" t="s">
        <v>180</v>
      </c>
      <c r="I106" s="17" t="s">
        <v>180</v>
      </c>
      <c r="J106" s="17" t="s">
        <v>180</v>
      </c>
      <c r="K106" s="17" t="s">
        <v>180</v>
      </c>
      <c r="L106" s="17" t="s">
        <v>180</v>
      </c>
      <c r="M106" s="17" t="s">
        <v>180</v>
      </c>
      <c r="N106" s="17" t="s">
        <v>180</v>
      </c>
      <c r="O106" s="17" t="s">
        <v>180</v>
      </c>
      <c r="P106" s="17" t="s">
        <v>180</v>
      </c>
      <c r="Q106" s="17" t="s">
        <v>180</v>
      </c>
      <c r="R106" s="76" t="s">
        <v>180</v>
      </c>
      <c r="S106" s="76" t="s">
        <v>180</v>
      </c>
      <c r="T106" s="17" t="s">
        <v>180</v>
      </c>
      <c r="U106" s="17" t="s">
        <v>180</v>
      </c>
      <c r="V106" s="17" t="s">
        <v>451</v>
      </c>
      <c r="W106" s="17" t="s">
        <v>1662</v>
      </c>
      <c r="X106" s="17"/>
    </row>
    <row r="107" spans="3:24" x14ac:dyDescent="0.25">
      <c r="D107" s="18" t="s">
        <v>208</v>
      </c>
      <c r="E107" s="18" t="s">
        <v>227</v>
      </c>
      <c r="F107" s="17" t="s">
        <v>220</v>
      </c>
      <c r="G107" s="17" t="s">
        <v>175</v>
      </c>
      <c r="H107" s="17" t="s">
        <v>181</v>
      </c>
      <c r="I107" s="17" t="s">
        <v>181</v>
      </c>
      <c r="J107" s="17" t="s">
        <v>181</v>
      </c>
      <c r="K107" s="17" t="s">
        <v>181</v>
      </c>
      <c r="L107" s="17" t="s">
        <v>181</v>
      </c>
      <c r="M107" s="17" t="s">
        <v>181</v>
      </c>
      <c r="N107" s="17" t="s">
        <v>410</v>
      </c>
      <c r="O107" s="17" t="s">
        <v>181</v>
      </c>
      <c r="P107" s="17" t="s">
        <v>181</v>
      </c>
      <c r="Q107" s="17" t="s">
        <v>181</v>
      </c>
      <c r="R107" s="76" t="s">
        <v>432</v>
      </c>
      <c r="S107" s="76" t="s">
        <v>181</v>
      </c>
      <c r="T107" s="17" t="s">
        <v>181</v>
      </c>
      <c r="U107" s="17" t="s">
        <v>181</v>
      </c>
      <c r="V107" s="17" t="s">
        <v>451</v>
      </c>
      <c r="W107" s="17" t="s">
        <v>181</v>
      </c>
      <c r="X107" s="17"/>
    </row>
    <row r="108" spans="3:24" s="1" customFormat="1" ht="409.5" x14ac:dyDescent="0.25">
      <c r="C108" s="36"/>
      <c r="D108" s="20" t="s">
        <v>208</v>
      </c>
      <c r="E108" s="20" t="s">
        <v>227</v>
      </c>
      <c r="F108" s="16" t="s">
        <v>222</v>
      </c>
      <c r="G108" s="19" t="s">
        <v>183</v>
      </c>
      <c r="H108" s="16" t="s">
        <v>216</v>
      </c>
      <c r="I108" s="16" t="s">
        <v>221</v>
      </c>
      <c r="J108" s="16" t="s">
        <v>257</v>
      </c>
      <c r="K108" s="16" t="s">
        <v>356</v>
      </c>
      <c r="L108" s="16" t="s">
        <v>374</v>
      </c>
      <c r="M108" s="16" t="s">
        <v>394</v>
      </c>
      <c r="N108" s="16" t="s">
        <v>411</v>
      </c>
      <c r="O108" s="16" t="s">
        <v>423</v>
      </c>
      <c r="P108" s="16" t="s">
        <v>435</v>
      </c>
      <c r="Q108" s="16" t="s">
        <v>455</v>
      </c>
      <c r="R108" s="77" t="s">
        <v>701</v>
      </c>
      <c r="S108" s="77" t="s">
        <v>726</v>
      </c>
      <c r="T108" s="16" t="s">
        <v>782</v>
      </c>
      <c r="U108" s="16" t="s">
        <v>1352</v>
      </c>
      <c r="V108" s="16" t="s">
        <v>451</v>
      </c>
      <c r="W108" s="16" t="s">
        <v>1663</v>
      </c>
      <c r="X108" s="16"/>
    </row>
    <row r="109" spans="3:24" s="1" customFormat="1" x14ac:dyDescent="0.25">
      <c r="C109" s="39" t="s">
        <v>293</v>
      </c>
      <c r="D109" s="20"/>
      <c r="E109" s="20"/>
      <c r="F109" s="16"/>
      <c r="G109" s="19"/>
      <c r="H109" s="16"/>
      <c r="I109" s="16"/>
      <c r="J109" s="16"/>
      <c r="K109" s="16"/>
      <c r="L109" s="16"/>
      <c r="M109" s="16"/>
      <c r="N109" s="16"/>
      <c r="O109" s="16"/>
      <c r="P109" s="16"/>
      <c r="Q109" s="16"/>
      <c r="R109" s="16"/>
      <c r="S109" s="16"/>
      <c r="T109" s="16"/>
      <c r="U109" s="16"/>
      <c r="V109" s="16"/>
      <c r="W109" s="16"/>
      <c r="X109" s="16"/>
    </row>
    <row r="110" spans="3:24" s="1" customFormat="1" ht="240" x14ac:dyDescent="0.25">
      <c r="C110" s="4" t="s">
        <v>294</v>
      </c>
      <c r="D110" s="20" t="s">
        <v>208</v>
      </c>
      <c r="E110" s="20" t="s">
        <v>276</v>
      </c>
      <c r="F110" s="16" t="s">
        <v>291</v>
      </c>
      <c r="G110" s="19" t="s">
        <v>262</v>
      </c>
      <c r="H110" s="31">
        <v>7</v>
      </c>
      <c r="I110" s="31">
        <v>9</v>
      </c>
      <c r="J110" s="31">
        <v>9.5</v>
      </c>
      <c r="K110" s="31">
        <v>8</v>
      </c>
      <c r="L110" s="31">
        <v>8.5</v>
      </c>
      <c r="M110" s="31">
        <v>6.5</v>
      </c>
      <c r="N110" s="31">
        <v>8.5</v>
      </c>
      <c r="O110" s="31">
        <v>8.5</v>
      </c>
      <c r="P110" s="31">
        <v>8.5</v>
      </c>
      <c r="Q110" s="31">
        <v>8.5</v>
      </c>
      <c r="R110" s="78">
        <v>9</v>
      </c>
      <c r="S110" s="78">
        <v>7.5</v>
      </c>
      <c r="T110" s="31">
        <v>7</v>
      </c>
      <c r="U110" s="31">
        <v>8.5</v>
      </c>
      <c r="V110" s="31">
        <v>8.5</v>
      </c>
      <c r="W110" s="31">
        <v>9</v>
      </c>
      <c r="X110" s="31"/>
    </row>
    <row r="111" spans="3:24" s="1" customFormat="1" ht="240" x14ac:dyDescent="0.25">
      <c r="C111" s="4" t="s">
        <v>295</v>
      </c>
      <c r="D111" s="20" t="s">
        <v>208</v>
      </c>
      <c r="E111" s="20" t="s">
        <v>276</v>
      </c>
      <c r="F111" s="16" t="s">
        <v>291</v>
      </c>
      <c r="G111" s="19" t="s">
        <v>263</v>
      </c>
      <c r="H111" s="31">
        <v>7</v>
      </c>
      <c r="I111" s="31">
        <v>9</v>
      </c>
      <c r="J111" s="31">
        <v>9.5</v>
      </c>
      <c r="K111" s="31">
        <v>7.5</v>
      </c>
      <c r="L111" s="31">
        <v>8</v>
      </c>
      <c r="M111" s="31">
        <v>6</v>
      </c>
      <c r="N111" s="31">
        <v>8</v>
      </c>
      <c r="O111" s="31">
        <v>8</v>
      </c>
      <c r="P111" s="31">
        <v>8</v>
      </c>
      <c r="Q111" s="31">
        <v>8</v>
      </c>
      <c r="R111" s="78">
        <v>9</v>
      </c>
      <c r="S111" s="78">
        <v>7</v>
      </c>
      <c r="T111" s="31">
        <v>6.5</v>
      </c>
      <c r="U111" s="31">
        <v>8.5</v>
      </c>
      <c r="V111" s="31">
        <v>8.5</v>
      </c>
      <c r="W111" s="31">
        <v>9</v>
      </c>
      <c r="X111" s="31"/>
    </row>
    <row r="112" spans="3:24" s="1" customFormat="1" ht="255" x14ac:dyDescent="0.25">
      <c r="C112" s="4" t="s">
        <v>296</v>
      </c>
      <c r="D112" s="20" t="s">
        <v>208</v>
      </c>
      <c r="E112" s="20" t="s">
        <v>276</v>
      </c>
      <c r="F112" s="16" t="s">
        <v>291</v>
      </c>
      <c r="G112" s="19" t="s">
        <v>264</v>
      </c>
      <c r="H112" s="31">
        <v>7</v>
      </c>
      <c r="I112" s="31">
        <v>8.5</v>
      </c>
      <c r="J112" s="31">
        <v>9</v>
      </c>
      <c r="K112" s="31">
        <v>9</v>
      </c>
      <c r="L112" s="31">
        <v>9</v>
      </c>
      <c r="M112" s="31">
        <v>8</v>
      </c>
      <c r="N112" s="31">
        <v>9</v>
      </c>
      <c r="O112" s="31">
        <v>9</v>
      </c>
      <c r="P112" s="31">
        <v>9</v>
      </c>
      <c r="Q112" s="31">
        <v>9</v>
      </c>
      <c r="R112" s="78">
        <v>8</v>
      </c>
      <c r="S112" s="78">
        <v>8.5</v>
      </c>
      <c r="T112" s="31">
        <v>7.5</v>
      </c>
      <c r="U112" s="31">
        <v>8.5</v>
      </c>
      <c r="V112" s="31">
        <v>9</v>
      </c>
      <c r="W112" s="31">
        <v>9</v>
      </c>
      <c r="X112" s="31"/>
    </row>
    <row r="113" spans="3:24" s="1" customFormat="1" ht="255" x14ac:dyDescent="0.25">
      <c r="C113" s="4" t="s">
        <v>297</v>
      </c>
      <c r="D113" s="20" t="s">
        <v>208</v>
      </c>
      <c r="E113" s="20" t="s">
        <v>276</v>
      </c>
      <c r="F113" s="16" t="s">
        <v>291</v>
      </c>
      <c r="G113" s="19" t="s">
        <v>265</v>
      </c>
      <c r="H113" s="31">
        <v>6</v>
      </c>
      <c r="I113" s="31">
        <v>8</v>
      </c>
      <c r="J113" s="31">
        <v>8</v>
      </c>
      <c r="K113" s="31">
        <v>8.5</v>
      </c>
      <c r="L113" s="31">
        <v>8.5</v>
      </c>
      <c r="M113" s="31">
        <v>5.5</v>
      </c>
      <c r="N113" s="31">
        <v>8.5</v>
      </c>
      <c r="O113" s="31">
        <v>8.5</v>
      </c>
      <c r="P113" s="31">
        <v>8.5</v>
      </c>
      <c r="Q113" s="31">
        <v>8.5</v>
      </c>
      <c r="R113" s="78">
        <v>6</v>
      </c>
      <c r="S113" s="78">
        <v>6</v>
      </c>
      <c r="T113" s="31">
        <v>5.5</v>
      </c>
      <c r="U113" s="31">
        <v>6</v>
      </c>
      <c r="V113" s="31">
        <v>8.5</v>
      </c>
      <c r="W113" s="31">
        <v>8.5</v>
      </c>
      <c r="X113" s="31"/>
    </row>
    <row r="114" spans="3:24" s="1" customFormat="1" ht="270" x14ac:dyDescent="0.25">
      <c r="C114" s="4" t="s">
        <v>298</v>
      </c>
      <c r="D114" s="20" t="s">
        <v>208</v>
      </c>
      <c r="E114" s="20" t="s">
        <v>276</v>
      </c>
      <c r="F114" s="16" t="s">
        <v>291</v>
      </c>
      <c r="G114" s="19" t="s">
        <v>266</v>
      </c>
      <c r="H114" s="31">
        <v>5</v>
      </c>
      <c r="I114" s="31">
        <v>6</v>
      </c>
      <c r="J114" s="31">
        <v>6</v>
      </c>
      <c r="K114" s="31">
        <v>7</v>
      </c>
      <c r="L114" s="31">
        <v>7</v>
      </c>
      <c r="M114" s="31">
        <v>4</v>
      </c>
      <c r="N114" s="31">
        <v>7</v>
      </c>
      <c r="O114" s="31">
        <v>7</v>
      </c>
      <c r="P114" s="31">
        <v>7</v>
      </c>
      <c r="Q114" s="31">
        <v>7</v>
      </c>
      <c r="R114" s="78">
        <v>7</v>
      </c>
      <c r="S114" s="78">
        <v>6.5</v>
      </c>
      <c r="T114" s="31">
        <v>4.5</v>
      </c>
      <c r="U114" s="31">
        <v>7</v>
      </c>
      <c r="V114" s="31">
        <v>6</v>
      </c>
      <c r="W114" s="31">
        <v>3</v>
      </c>
      <c r="X114" s="31"/>
    </row>
    <row r="115" spans="3:24" s="1" customFormat="1" ht="210" x14ac:dyDescent="0.25">
      <c r="C115" s="4" t="s">
        <v>299</v>
      </c>
      <c r="D115" s="20" t="s">
        <v>208</v>
      </c>
      <c r="E115" s="20" t="s">
        <v>276</v>
      </c>
      <c r="F115" s="16" t="s">
        <v>291</v>
      </c>
      <c r="G115" s="19" t="s">
        <v>267</v>
      </c>
      <c r="H115" s="31">
        <v>6</v>
      </c>
      <c r="I115" s="31">
        <v>7</v>
      </c>
      <c r="J115" s="31">
        <v>7</v>
      </c>
      <c r="K115" s="31">
        <v>6</v>
      </c>
      <c r="L115" s="31">
        <v>6.5</v>
      </c>
      <c r="M115" s="31">
        <v>6.5</v>
      </c>
      <c r="N115" s="31">
        <v>6.5</v>
      </c>
      <c r="O115" s="31">
        <v>6.5</v>
      </c>
      <c r="P115" s="31">
        <v>6.5</v>
      </c>
      <c r="Q115" s="31">
        <v>6.5</v>
      </c>
      <c r="R115" s="78">
        <v>7.5</v>
      </c>
      <c r="S115" s="78">
        <v>6.5</v>
      </c>
      <c r="T115" s="31">
        <v>6</v>
      </c>
      <c r="U115" s="31">
        <v>7.5</v>
      </c>
      <c r="V115" s="31">
        <v>6.5</v>
      </c>
      <c r="W115" s="31">
        <v>7</v>
      </c>
      <c r="X115" s="31"/>
    </row>
    <row r="116" spans="3:24" s="1" customFormat="1" ht="75" x14ac:dyDescent="0.25">
      <c r="C116" s="4" t="s">
        <v>300</v>
      </c>
      <c r="D116" s="20" t="s">
        <v>208</v>
      </c>
      <c r="E116" s="20" t="s">
        <v>276</v>
      </c>
      <c r="F116" s="16" t="s">
        <v>291</v>
      </c>
      <c r="G116" s="19" t="s">
        <v>268</v>
      </c>
      <c r="H116" s="31">
        <v>8</v>
      </c>
      <c r="I116" s="31">
        <v>8</v>
      </c>
      <c r="J116" s="31">
        <v>8</v>
      </c>
      <c r="K116" s="31">
        <v>8.5</v>
      </c>
      <c r="L116" s="31">
        <v>8.5</v>
      </c>
      <c r="M116" s="31">
        <v>9</v>
      </c>
      <c r="N116" s="31">
        <v>8.5</v>
      </c>
      <c r="O116" s="31">
        <v>8.5</v>
      </c>
      <c r="P116" s="31">
        <v>8.5</v>
      </c>
      <c r="Q116" s="31">
        <v>8.5</v>
      </c>
      <c r="R116" s="78">
        <v>8</v>
      </c>
      <c r="S116" s="78">
        <v>8.5</v>
      </c>
      <c r="T116" s="31">
        <v>9</v>
      </c>
      <c r="U116" s="31">
        <v>8</v>
      </c>
      <c r="V116" s="31">
        <v>8.5</v>
      </c>
      <c r="W116" s="31">
        <v>9.5</v>
      </c>
      <c r="X116" s="31"/>
    </row>
    <row r="117" spans="3:24" s="1" customFormat="1" ht="345" x14ac:dyDescent="0.25">
      <c r="C117" s="36"/>
      <c r="D117" s="20" t="s">
        <v>208</v>
      </c>
      <c r="E117" s="20" t="s">
        <v>276</v>
      </c>
      <c r="F117" s="16" t="s">
        <v>291</v>
      </c>
      <c r="G117" s="19" t="s">
        <v>262</v>
      </c>
      <c r="H117" s="31" t="s">
        <v>269</v>
      </c>
      <c r="I117" s="16" t="s">
        <v>277</v>
      </c>
      <c r="J117" s="16" t="s">
        <v>284</v>
      </c>
      <c r="K117" s="16" t="s">
        <v>357</v>
      </c>
      <c r="L117" s="16" t="s">
        <v>375</v>
      </c>
      <c r="M117" s="31" t="s">
        <v>395</v>
      </c>
      <c r="N117" s="31" t="s">
        <v>412</v>
      </c>
      <c r="O117" s="31" t="s">
        <v>424</v>
      </c>
      <c r="P117" s="31" t="s">
        <v>440</v>
      </c>
      <c r="Q117" s="31" t="s">
        <v>456</v>
      </c>
      <c r="R117" s="78" t="s">
        <v>702</v>
      </c>
      <c r="S117" s="78" t="s">
        <v>727</v>
      </c>
      <c r="T117" s="31" t="s">
        <v>783</v>
      </c>
      <c r="U117" s="31" t="s">
        <v>1353</v>
      </c>
      <c r="V117" s="31" t="s">
        <v>1475</v>
      </c>
      <c r="W117" s="31" t="s">
        <v>1664</v>
      </c>
      <c r="X117" s="31"/>
    </row>
    <row r="118" spans="3:24" s="1" customFormat="1" ht="375" x14ac:dyDescent="0.25">
      <c r="C118" s="36"/>
      <c r="D118" s="20" t="s">
        <v>208</v>
      </c>
      <c r="E118" s="20" t="s">
        <v>276</v>
      </c>
      <c r="F118" s="16" t="s">
        <v>291</v>
      </c>
      <c r="G118" s="19" t="s">
        <v>263</v>
      </c>
      <c r="H118" s="31" t="s">
        <v>270</v>
      </c>
      <c r="I118" s="16" t="s">
        <v>278</v>
      </c>
      <c r="J118" s="16" t="s">
        <v>285</v>
      </c>
      <c r="K118" s="16" t="s">
        <v>358</v>
      </c>
      <c r="L118" s="16" t="s">
        <v>376</v>
      </c>
      <c r="M118" s="31" t="s">
        <v>396</v>
      </c>
      <c r="N118" s="31" t="s">
        <v>413</v>
      </c>
      <c r="O118" s="31" t="s">
        <v>425</v>
      </c>
      <c r="P118" s="31" t="s">
        <v>441</v>
      </c>
      <c r="Q118" s="31" t="s">
        <v>441</v>
      </c>
      <c r="R118" s="78" t="s">
        <v>703</v>
      </c>
      <c r="S118" s="78" t="s">
        <v>728</v>
      </c>
      <c r="T118" s="31" t="s">
        <v>784</v>
      </c>
      <c r="U118" s="31" t="s">
        <v>1354</v>
      </c>
      <c r="V118" s="31" t="s">
        <v>1476</v>
      </c>
      <c r="W118" s="31" t="s">
        <v>1665</v>
      </c>
      <c r="X118" s="31"/>
    </row>
    <row r="119" spans="3:24" s="1" customFormat="1" ht="390" x14ac:dyDescent="0.25">
      <c r="C119" s="36"/>
      <c r="D119" s="20" t="s">
        <v>208</v>
      </c>
      <c r="E119" s="20" t="s">
        <v>276</v>
      </c>
      <c r="F119" s="16" t="s">
        <v>291</v>
      </c>
      <c r="G119" s="19" t="s">
        <v>264</v>
      </c>
      <c r="H119" s="31" t="s">
        <v>271</v>
      </c>
      <c r="I119" s="16" t="s">
        <v>279</v>
      </c>
      <c r="J119" s="16" t="s">
        <v>286</v>
      </c>
      <c r="K119" s="16" t="s">
        <v>359</v>
      </c>
      <c r="L119" s="16" t="s">
        <v>377</v>
      </c>
      <c r="M119" s="31" t="s">
        <v>397</v>
      </c>
      <c r="N119" s="31" t="s">
        <v>414</v>
      </c>
      <c r="O119" s="31" t="s">
        <v>426</v>
      </c>
      <c r="P119" s="31" t="s">
        <v>442</v>
      </c>
      <c r="Q119" s="31" t="s">
        <v>457</v>
      </c>
      <c r="R119" s="78" t="s">
        <v>704</v>
      </c>
      <c r="S119" s="78" t="s">
        <v>729</v>
      </c>
      <c r="T119" s="31" t="s">
        <v>785</v>
      </c>
      <c r="U119" s="31" t="s">
        <v>1355</v>
      </c>
      <c r="V119" s="31" t="s">
        <v>1477</v>
      </c>
      <c r="W119" s="31" t="s">
        <v>1666</v>
      </c>
      <c r="X119" s="31"/>
    </row>
    <row r="120" spans="3:24" s="1" customFormat="1" ht="390" x14ac:dyDescent="0.25">
      <c r="C120" s="36"/>
      <c r="D120" s="20" t="s">
        <v>208</v>
      </c>
      <c r="E120" s="20" t="s">
        <v>276</v>
      </c>
      <c r="F120" s="16" t="s">
        <v>291</v>
      </c>
      <c r="G120" s="19" t="s">
        <v>265</v>
      </c>
      <c r="H120" s="31" t="s">
        <v>272</v>
      </c>
      <c r="I120" s="16" t="s">
        <v>280</v>
      </c>
      <c r="J120" s="16" t="s">
        <v>287</v>
      </c>
      <c r="K120" s="16" t="s">
        <v>360</v>
      </c>
      <c r="L120" s="16" t="s">
        <v>378</v>
      </c>
      <c r="M120" s="31" t="s">
        <v>398</v>
      </c>
      <c r="N120" s="31" t="s">
        <v>415</v>
      </c>
      <c r="O120" s="31" t="s">
        <v>436</v>
      </c>
      <c r="P120" s="31" t="s">
        <v>443</v>
      </c>
      <c r="Q120" s="31" t="s">
        <v>458</v>
      </c>
      <c r="R120" s="78" t="s">
        <v>705</v>
      </c>
      <c r="S120" s="78" t="s">
        <v>730</v>
      </c>
      <c r="T120" s="31" t="s">
        <v>786</v>
      </c>
      <c r="U120" s="31" t="s">
        <v>1356</v>
      </c>
      <c r="V120" s="31" t="s">
        <v>1478</v>
      </c>
      <c r="W120" s="31" t="s">
        <v>1667</v>
      </c>
      <c r="X120" s="31"/>
    </row>
    <row r="121" spans="3:24" s="1" customFormat="1" ht="409.5" x14ac:dyDescent="0.25">
      <c r="C121" s="36"/>
      <c r="D121" s="20" t="s">
        <v>208</v>
      </c>
      <c r="E121" s="20" t="s">
        <v>276</v>
      </c>
      <c r="F121" s="16" t="s">
        <v>291</v>
      </c>
      <c r="G121" s="19" t="s">
        <v>266</v>
      </c>
      <c r="H121" s="31" t="s">
        <v>273</v>
      </c>
      <c r="I121" s="16" t="s">
        <v>281</v>
      </c>
      <c r="J121" s="16" t="s">
        <v>288</v>
      </c>
      <c r="K121" s="16" t="s">
        <v>361</v>
      </c>
      <c r="L121" s="16" t="s">
        <v>379</v>
      </c>
      <c r="M121" s="31" t="s">
        <v>399</v>
      </c>
      <c r="N121" s="31" t="s">
        <v>416</v>
      </c>
      <c r="O121" s="31" t="s">
        <v>437</v>
      </c>
      <c r="P121" s="31" t="s">
        <v>444</v>
      </c>
      <c r="Q121" s="31" t="s">
        <v>444</v>
      </c>
      <c r="R121" s="78" t="s">
        <v>706</v>
      </c>
      <c r="S121" s="78" t="s">
        <v>731</v>
      </c>
      <c r="T121" s="31" t="s">
        <v>787</v>
      </c>
      <c r="U121" s="31" t="s">
        <v>1357</v>
      </c>
      <c r="V121" s="31" t="s">
        <v>1479</v>
      </c>
      <c r="W121" s="31" t="s">
        <v>1668</v>
      </c>
      <c r="X121" s="31"/>
    </row>
    <row r="122" spans="3:24" s="1" customFormat="1" ht="360" x14ac:dyDescent="0.25">
      <c r="C122" s="36"/>
      <c r="D122" s="20" t="s">
        <v>208</v>
      </c>
      <c r="E122" s="20" t="s">
        <v>276</v>
      </c>
      <c r="F122" s="16" t="s">
        <v>291</v>
      </c>
      <c r="G122" s="19" t="s">
        <v>267</v>
      </c>
      <c r="H122" s="31" t="s">
        <v>274</v>
      </c>
      <c r="I122" s="16" t="s">
        <v>282</v>
      </c>
      <c r="J122" s="16" t="s">
        <v>289</v>
      </c>
      <c r="K122" s="16" t="s">
        <v>362</v>
      </c>
      <c r="L122" s="16" t="s">
        <v>380</v>
      </c>
      <c r="M122" s="31" t="s">
        <v>400</v>
      </c>
      <c r="N122" s="31" t="s">
        <v>417</v>
      </c>
      <c r="O122" s="31" t="s">
        <v>438</v>
      </c>
      <c r="P122" s="31" t="s">
        <v>445</v>
      </c>
      <c r="Q122" s="31" t="s">
        <v>459</v>
      </c>
      <c r="R122" s="78" t="s">
        <v>707</v>
      </c>
      <c r="S122" s="78" t="s">
        <v>732</v>
      </c>
      <c r="T122" s="31" t="s">
        <v>788</v>
      </c>
      <c r="U122" s="31" t="s">
        <v>1358</v>
      </c>
      <c r="V122" s="31" t="s">
        <v>1480</v>
      </c>
      <c r="W122" s="31" t="s">
        <v>1669</v>
      </c>
      <c r="X122" s="31"/>
    </row>
    <row r="123" spans="3:24" s="1" customFormat="1" ht="409.5" x14ac:dyDescent="0.25">
      <c r="C123" s="36"/>
      <c r="D123" s="20" t="s">
        <v>208</v>
      </c>
      <c r="E123" s="20" t="s">
        <v>276</v>
      </c>
      <c r="F123" s="16" t="s">
        <v>291</v>
      </c>
      <c r="G123" s="19" t="s">
        <v>268</v>
      </c>
      <c r="H123" s="31" t="s">
        <v>275</v>
      </c>
      <c r="I123" s="16" t="s">
        <v>283</v>
      </c>
      <c r="J123" s="16" t="s">
        <v>290</v>
      </c>
      <c r="K123" s="16" t="s">
        <v>363</v>
      </c>
      <c r="L123" s="16" t="s">
        <v>381</v>
      </c>
      <c r="M123" s="31" t="s">
        <v>401</v>
      </c>
      <c r="N123" s="31" t="s">
        <v>418</v>
      </c>
      <c r="O123" s="31" t="s">
        <v>439</v>
      </c>
      <c r="P123" s="31" t="s">
        <v>446</v>
      </c>
      <c r="Q123" s="31" t="s">
        <v>446</v>
      </c>
      <c r="R123" s="78" t="s">
        <v>708</v>
      </c>
      <c r="S123" s="78" t="s">
        <v>733</v>
      </c>
      <c r="T123" s="31" t="s">
        <v>789</v>
      </c>
      <c r="U123" s="31" t="s">
        <v>1359</v>
      </c>
      <c r="V123" s="31" t="s">
        <v>1481</v>
      </c>
      <c r="W123" s="31" t="s">
        <v>1670</v>
      </c>
      <c r="X123" s="31"/>
    </row>
    <row r="124" spans="3:24" s="1" customFormat="1" x14ac:dyDescent="0.25">
      <c r="C124" s="36"/>
      <c r="D124" s="20"/>
      <c r="E124" s="20"/>
      <c r="F124" s="16"/>
      <c r="G124" s="19"/>
      <c r="H124" s="31"/>
      <c r="I124" s="16"/>
      <c r="J124" s="16"/>
      <c r="K124" s="16"/>
      <c r="L124" s="16"/>
      <c r="M124" s="31"/>
      <c r="N124" s="31"/>
      <c r="O124" s="31"/>
      <c r="P124" s="31"/>
      <c r="Q124" s="31"/>
      <c r="R124" s="31"/>
      <c r="S124" s="31"/>
      <c r="T124" s="31"/>
      <c r="U124" s="31"/>
      <c r="V124" s="31"/>
      <c r="W124" s="31"/>
      <c r="X124" s="31"/>
    </row>
  </sheetData>
  <phoneticPr fontId="8"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2F8AA-DEC8-4C95-95AC-0B218048BAD7}">
  <sheetPr>
    <tabColor theme="5" tint="0.79998168889431442"/>
  </sheetPr>
  <dimension ref="C4:Q4"/>
  <sheetViews>
    <sheetView workbookViewId="0">
      <selection activeCell="C4" sqref="C4:Q4"/>
    </sheetView>
  </sheetViews>
  <sheetFormatPr defaultRowHeight="15" x14ac:dyDescent="0.25"/>
  <sheetData>
    <row r="4" spans="3:17" x14ac:dyDescent="0.25">
      <c r="C4">
        <v>-1.24E-2</v>
      </c>
      <c r="D4">
        <v>-1.9699999999999999E-2</v>
      </c>
      <c r="E4">
        <v>-5.4999999999999997E-3</v>
      </c>
      <c r="F4">
        <v>2.7000000000000001E-3</v>
      </c>
      <c r="G4">
        <v>-6.7000000000000002E-3</v>
      </c>
      <c r="H4">
        <v>-1.5900000000000001E-2</v>
      </c>
      <c r="I4">
        <v>-1.0500000000000001E-2</v>
      </c>
      <c r="J4">
        <v>-2.0000000000000001E-4</v>
      </c>
      <c r="K4">
        <v>-1.52E-2</v>
      </c>
      <c r="L4">
        <v>-1.7000000000000001E-2</v>
      </c>
      <c r="M4">
        <v>-9.1999999999999998E-3</v>
      </c>
      <c r="N4">
        <v>0.01</v>
      </c>
      <c r="O4">
        <v>-2.8299999999999999E-2</v>
      </c>
      <c r="P4">
        <v>-6.7000000000000002E-3</v>
      </c>
      <c r="Q4">
        <v>-5.0000000000000001E-4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A1033-15C1-46B4-89B5-8C47241635D1}">
  <sheetPr>
    <tabColor theme="5" tint="0.79998168889431442"/>
  </sheetPr>
  <dimension ref="A1:DS19"/>
  <sheetViews>
    <sheetView workbookViewId="0">
      <pane xSplit="4" ySplit="3" topLeftCell="Q4" activePane="bottomRight" state="frozen"/>
      <selection pane="topRight" activeCell="E1" sqref="E1"/>
      <selection pane="bottomLeft" activeCell="A4" sqref="A4"/>
      <selection pane="bottomRight" activeCell="D11" sqref="D11"/>
    </sheetView>
  </sheetViews>
  <sheetFormatPr defaultRowHeight="15" outlineLevelRow="1" x14ac:dyDescent="0.25"/>
  <cols>
    <col min="1" max="1" width="10.42578125" customWidth="1"/>
    <col min="2" max="2" width="24.7109375" customWidth="1"/>
    <col min="3" max="3" width="50.140625" bestFit="1" customWidth="1"/>
    <col min="4" max="4" width="13" bestFit="1" customWidth="1"/>
    <col min="5" max="7" width="16.140625" customWidth="1"/>
    <col min="8" max="9" width="47.5703125" customWidth="1"/>
    <col min="10" max="10" width="24.7109375" customWidth="1"/>
    <col min="11" max="14" width="16.140625" customWidth="1"/>
    <col min="15" max="16" width="47.5703125" customWidth="1"/>
    <col min="17" max="25" width="16.140625" customWidth="1"/>
    <col min="26" max="26" width="24.7109375" customWidth="1"/>
    <col min="27" max="29" width="16.140625" customWidth="1"/>
    <col min="30" max="37" width="24.7109375" customWidth="1"/>
    <col min="38" max="45" width="16.140625" customWidth="1"/>
    <col min="46" max="52" width="24.7109375" customWidth="1"/>
    <col min="53" max="53" width="47.5703125" customWidth="1"/>
    <col min="54" max="64" width="16.140625" customWidth="1"/>
    <col min="65" max="69" width="24.7109375" customWidth="1"/>
    <col min="70" max="70" width="47.5703125" customWidth="1"/>
    <col min="71" max="81" width="16.140625" customWidth="1"/>
    <col min="82" max="86" width="24.7109375" customWidth="1"/>
    <col min="87" max="87" width="47.5703125" customWidth="1"/>
    <col min="88" max="98" width="16.140625" customWidth="1"/>
    <col min="99" max="103" width="24.7109375" customWidth="1"/>
    <col min="104" max="104" width="47.5703125" customWidth="1"/>
    <col min="105" max="111" width="16.140625" customWidth="1"/>
    <col min="112" max="118" width="47.5703125" customWidth="1"/>
    <col min="119" max="119" width="34.28515625" customWidth="1"/>
    <col min="120" max="120" width="19" customWidth="1"/>
    <col min="121" max="123" width="30.42578125" customWidth="1"/>
  </cols>
  <sheetData>
    <row r="1" spans="1:123" ht="30" customHeight="1" x14ac:dyDescent="0.25">
      <c r="A1" s="46" t="s">
        <v>460</v>
      </c>
      <c r="B1" s="46" t="s">
        <v>0</v>
      </c>
      <c r="C1" s="46" t="s">
        <v>1</v>
      </c>
      <c r="D1" s="46" t="s">
        <v>461</v>
      </c>
      <c r="E1" s="47" t="s">
        <v>233</v>
      </c>
      <c r="F1" s="47" t="s">
        <v>236</v>
      </c>
      <c r="G1" s="47" t="s">
        <v>462</v>
      </c>
      <c r="H1" s="48" t="s">
        <v>240</v>
      </c>
      <c r="I1" s="48" t="s">
        <v>463</v>
      </c>
      <c r="J1" s="48" t="s">
        <v>384</v>
      </c>
      <c r="K1" s="49" t="s">
        <v>2</v>
      </c>
      <c r="L1" s="49" t="s">
        <v>3</v>
      </c>
      <c r="M1" s="49" t="s">
        <v>18</v>
      </c>
      <c r="N1" s="49" t="s">
        <v>4</v>
      </c>
      <c r="O1" s="49" t="s">
        <v>464</v>
      </c>
      <c r="P1" s="49" t="s">
        <v>465</v>
      </c>
      <c r="Q1" s="50" t="s">
        <v>7</v>
      </c>
      <c r="R1" s="50" t="s">
        <v>8</v>
      </c>
      <c r="S1" s="50" t="s">
        <v>9</v>
      </c>
      <c r="T1" s="50" t="s">
        <v>15</v>
      </c>
      <c r="U1" s="50" t="s">
        <v>16</v>
      </c>
      <c r="V1" s="50" t="s">
        <v>17</v>
      </c>
      <c r="W1" s="51" t="s">
        <v>1346</v>
      </c>
      <c r="X1" s="51" t="s">
        <v>11</v>
      </c>
      <c r="Y1" s="51" t="s">
        <v>466</v>
      </c>
      <c r="Z1" s="51" t="s">
        <v>467</v>
      </c>
      <c r="AA1" s="52" t="s">
        <v>468</v>
      </c>
      <c r="AB1" s="52" t="s">
        <v>469</v>
      </c>
      <c r="AC1" s="52" t="s">
        <v>470</v>
      </c>
      <c r="AD1" s="52" t="s">
        <v>97</v>
      </c>
      <c r="AE1" s="52" t="s">
        <v>471</v>
      </c>
      <c r="AF1" s="52" t="s">
        <v>154</v>
      </c>
      <c r="AG1" s="52" t="s">
        <v>472</v>
      </c>
      <c r="AH1" s="52" t="s">
        <v>473</v>
      </c>
      <c r="AI1" s="52" t="s">
        <v>474</v>
      </c>
      <c r="AJ1" s="52" t="s">
        <v>317</v>
      </c>
      <c r="AK1" s="52" t="s">
        <v>318</v>
      </c>
      <c r="AL1" s="53" t="s">
        <v>475</v>
      </c>
      <c r="AM1" s="53" t="s">
        <v>476</v>
      </c>
      <c r="AN1" s="54" t="s">
        <v>196</v>
      </c>
      <c r="AO1" s="54" t="s">
        <v>5</v>
      </c>
      <c r="AP1" s="54" t="s">
        <v>477</v>
      </c>
      <c r="AQ1" s="54" t="s">
        <v>6</v>
      </c>
      <c r="AR1" s="54" t="s">
        <v>478</v>
      </c>
      <c r="AS1" s="54" t="s">
        <v>479</v>
      </c>
      <c r="AT1" s="55" t="s">
        <v>480</v>
      </c>
      <c r="AU1" s="55" t="s">
        <v>481</v>
      </c>
      <c r="AV1" s="55" t="s">
        <v>482</v>
      </c>
      <c r="AW1" s="55" t="s">
        <v>483</v>
      </c>
      <c r="AX1" s="55" t="s">
        <v>484</v>
      </c>
      <c r="AY1" s="55" t="s">
        <v>485</v>
      </c>
      <c r="AZ1" s="55" t="s">
        <v>486</v>
      </c>
      <c r="BA1" s="56" t="s">
        <v>94</v>
      </c>
      <c r="BB1" s="57" t="s">
        <v>487</v>
      </c>
      <c r="BC1" s="57" t="s">
        <v>488</v>
      </c>
      <c r="BD1" s="57" t="s">
        <v>489</v>
      </c>
      <c r="BE1" s="57" t="s">
        <v>490</v>
      </c>
      <c r="BF1" s="57" t="s">
        <v>491</v>
      </c>
      <c r="BG1" s="57" t="s">
        <v>492</v>
      </c>
      <c r="BH1" s="57" t="s">
        <v>493</v>
      </c>
      <c r="BI1" s="57" t="s">
        <v>494</v>
      </c>
      <c r="BJ1" s="57" t="s">
        <v>495</v>
      </c>
      <c r="BK1" s="57" t="s">
        <v>496</v>
      </c>
      <c r="BL1" s="57" t="s">
        <v>497</v>
      </c>
      <c r="BM1" s="57" t="s">
        <v>498</v>
      </c>
      <c r="BN1" s="57" t="s">
        <v>499</v>
      </c>
      <c r="BO1" s="57" t="s">
        <v>500</v>
      </c>
      <c r="BP1" s="57" t="s">
        <v>501</v>
      </c>
      <c r="BQ1" s="57" t="s">
        <v>502</v>
      </c>
      <c r="BR1" s="57" t="s">
        <v>503</v>
      </c>
      <c r="BS1" s="58" t="s">
        <v>504</v>
      </c>
      <c r="BT1" s="58" t="s">
        <v>505</v>
      </c>
      <c r="BU1" s="58" t="s">
        <v>506</v>
      </c>
      <c r="BV1" s="58" t="s">
        <v>507</v>
      </c>
      <c r="BW1" s="58" t="s">
        <v>508</v>
      </c>
      <c r="BX1" s="58" t="s">
        <v>509</v>
      </c>
      <c r="BY1" s="58" t="s">
        <v>510</v>
      </c>
      <c r="BZ1" s="58" t="s">
        <v>511</v>
      </c>
      <c r="CA1" s="58" t="s">
        <v>512</v>
      </c>
      <c r="CB1" s="58" t="s">
        <v>513</v>
      </c>
      <c r="CC1" s="58" t="s">
        <v>514</v>
      </c>
      <c r="CD1" s="58" t="s">
        <v>515</v>
      </c>
      <c r="CE1" s="58" t="s">
        <v>516</v>
      </c>
      <c r="CF1" s="58" t="s">
        <v>517</v>
      </c>
      <c r="CG1" s="58" t="s">
        <v>518</v>
      </c>
      <c r="CH1" s="58" t="s">
        <v>519</v>
      </c>
      <c r="CI1" s="58" t="s">
        <v>520</v>
      </c>
      <c r="CJ1" s="59" t="s">
        <v>521</v>
      </c>
      <c r="CK1" s="59" t="s">
        <v>522</v>
      </c>
      <c r="CL1" s="59" t="s">
        <v>523</v>
      </c>
      <c r="CM1" s="59" t="s">
        <v>524</v>
      </c>
      <c r="CN1" s="59" t="s">
        <v>525</v>
      </c>
      <c r="CO1" s="59" t="s">
        <v>526</v>
      </c>
      <c r="CP1" s="59" t="s">
        <v>527</v>
      </c>
      <c r="CQ1" s="59" t="s">
        <v>528</v>
      </c>
      <c r="CR1" s="59" t="s">
        <v>529</v>
      </c>
      <c r="CS1" s="59" t="s">
        <v>530</v>
      </c>
      <c r="CT1" s="59" t="s">
        <v>531</v>
      </c>
      <c r="CU1" s="59" t="s">
        <v>532</v>
      </c>
      <c r="CV1" s="59" t="s">
        <v>533</v>
      </c>
      <c r="CW1" s="59" t="s">
        <v>534</v>
      </c>
      <c r="CX1" s="59" t="s">
        <v>535</v>
      </c>
      <c r="CY1" s="59" t="s">
        <v>536</v>
      </c>
      <c r="CZ1" s="59" t="s">
        <v>537</v>
      </c>
      <c r="DA1" s="51" t="s">
        <v>538</v>
      </c>
      <c r="DB1" s="51" t="s">
        <v>539</v>
      </c>
      <c r="DC1" s="51" t="s">
        <v>540</v>
      </c>
      <c r="DD1" s="51" t="s">
        <v>541</v>
      </c>
      <c r="DE1" s="51" t="s">
        <v>542</v>
      </c>
      <c r="DF1" s="51" t="s">
        <v>543</v>
      </c>
      <c r="DG1" s="51" t="s">
        <v>544</v>
      </c>
      <c r="DH1" s="51" t="s">
        <v>545</v>
      </c>
      <c r="DI1" s="51" t="s">
        <v>546</v>
      </c>
      <c r="DJ1" s="51" t="s">
        <v>547</v>
      </c>
      <c r="DK1" s="51" t="s">
        <v>548</v>
      </c>
      <c r="DL1" s="51" t="s">
        <v>549</v>
      </c>
      <c r="DM1" s="51" t="s">
        <v>550</v>
      </c>
      <c r="DN1" s="51" t="s">
        <v>551</v>
      </c>
      <c r="DO1" s="74" t="s">
        <v>681</v>
      </c>
      <c r="DP1" s="74" t="s">
        <v>682</v>
      </c>
      <c r="DQ1" s="75" t="s">
        <v>683</v>
      </c>
      <c r="DR1" s="75" t="s">
        <v>684</v>
      </c>
      <c r="DS1" s="75" t="s">
        <v>685</v>
      </c>
    </row>
    <row r="2" spans="1:123" x14ac:dyDescent="0.25">
      <c r="A2" s="60" t="s">
        <v>552</v>
      </c>
      <c r="B2" s="60" t="s">
        <v>553</v>
      </c>
      <c r="C2" s="60" t="s">
        <v>554</v>
      </c>
      <c r="D2" s="60" t="s">
        <v>676</v>
      </c>
      <c r="E2" s="60" t="s">
        <v>555</v>
      </c>
      <c r="F2" s="60" t="s">
        <v>556</v>
      </c>
      <c r="G2" s="60" t="s">
        <v>557</v>
      </c>
      <c r="H2" s="60" t="s">
        <v>558</v>
      </c>
      <c r="I2" s="60" t="s">
        <v>558</v>
      </c>
      <c r="J2" s="60" t="s">
        <v>677</v>
      </c>
      <c r="K2" s="60" t="s">
        <v>559</v>
      </c>
      <c r="L2" s="60" t="s">
        <v>560</v>
      </c>
      <c r="M2" s="60" t="s">
        <v>560</v>
      </c>
      <c r="N2" s="60" t="s">
        <v>561</v>
      </c>
      <c r="O2" s="60" t="s">
        <v>562</v>
      </c>
      <c r="P2" s="60" t="s">
        <v>562</v>
      </c>
      <c r="Q2" s="60" t="s">
        <v>563</v>
      </c>
      <c r="R2" s="60" t="s">
        <v>563</v>
      </c>
      <c r="S2" s="60" t="s">
        <v>564</v>
      </c>
      <c r="T2" s="60" t="s">
        <v>565</v>
      </c>
      <c r="U2" s="60" t="s">
        <v>565</v>
      </c>
      <c r="V2" s="60" t="s">
        <v>566</v>
      </c>
      <c r="W2" s="60" t="s">
        <v>560</v>
      </c>
      <c r="X2" s="60" t="s">
        <v>560</v>
      </c>
      <c r="Y2" s="60" t="s">
        <v>567</v>
      </c>
      <c r="Z2" s="60" t="s">
        <v>568</v>
      </c>
      <c r="AA2" s="60" t="s">
        <v>569</v>
      </c>
      <c r="AB2" s="60" t="s">
        <v>569</v>
      </c>
      <c r="AC2" s="60" t="s">
        <v>569</v>
      </c>
      <c r="AD2" s="60" t="s">
        <v>570</v>
      </c>
      <c r="AE2" s="60" t="s">
        <v>570</v>
      </c>
      <c r="AF2" s="60" t="s">
        <v>571</v>
      </c>
      <c r="AG2" s="60" t="s">
        <v>570</v>
      </c>
      <c r="AH2" s="60" t="s">
        <v>571</v>
      </c>
      <c r="AI2" s="60" t="s">
        <v>572</v>
      </c>
      <c r="AJ2" s="60" t="s">
        <v>678</v>
      </c>
      <c r="AK2" s="60" t="s">
        <v>679</v>
      </c>
      <c r="AL2" s="60" t="s">
        <v>573</v>
      </c>
      <c r="AM2" s="60" t="s">
        <v>680</v>
      </c>
      <c r="AN2" s="60" t="s">
        <v>574</v>
      </c>
      <c r="AO2" s="60" t="s">
        <v>574</v>
      </c>
      <c r="AP2" s="60" t="s">
        <v>574</v>
      </c>
      <c r="AQ2" s="60" t="s">
        <v>574</v>
      </c>
      <c r="AR2" s="60" t="s">
        <v>574</v>
      </c>
      <c r="AS2" s="60" t="s">
        <v>574</v>
      </c>
      <c r="AT2" s="60" t="s">
        <v>571</v>
      </c>
      <c r="AU2" s="60" t="s">
        <v>571</v>
      </c>
      <c r="AV2" s="60" t="s">
        <v>571</v>
      </c>
      <c r="AW2" s="60" t="s">
        <v>571</v>
      </c>
      <c r="AX2" s="60" t="s">
        <v>571</v>
      </c>
      <c r="AY2" s="60" t="s">
        <v>571</v>
      </c>
      <c r="AZ2" s="60" t="s">
        <v>571</v>
      </c>
      <c r="BA2" s="60" t="s">
        <v>575</v>
      </c>
      <c r="BB2" s="60" t="s">
        <v>576</v>
      </c>
      <c r="BC2" s="60" t="s">
        <v>561</v>
      </c>
      <c r="BD2" s="60" t="s">
        <v>561</v>
      </c>
      <c r="BE2" s="60" t="s">
        <v>561</v>
      </c>
      <c r="BF2" s="60" t="s">
        <v>561</v>
      </c>
      <c r="BG2" s="60" t="s">
        <v>561</v>
      </c>
      <c r="BH2" s="60" t="s">
        <v>563</v>
      </c>
      <c r="BI2" s="60" t="s">
        <v>563</v>
      </c>
      <c r="BJ2" s="60" t="s">
        <v>577</v>
      </c>
      <c r="BK2" s="60" t="s">
        <v>578</v>
      </c>
      <c r="BL2" s="60" t="s">
        <v>579</v>
      </c>
      <c r="BM2" s="60" t="s">
        <v>580</v>
      </c>
      <c r="BN2" s="60" t="s">
        <v>581</v>
      </c>
      <c r="BO2" s="60" t="s">
        <v>582</v>
      </c>
      <c r="BP2" s="60" t="s">
        <v>583</v>
      </c>
      <c r="BQ2" s="60" t="s">
        <v>584</v>
      </c>
      <c r="BR2" s="60" t="s">
        <v>575</v>
      </c>
      <c r="BS2" s="60" t="s">
        <v>576</v>
      </c>
      <c r="BT2" s="60" t="s">
        <v>561</v>
      </c>
      <c r="BU2" s="60" t="s">
        <v>561</v>
      </c>
      <c r="BV2" s="60" t="s">
        <v>561</v>
      </c>
      <c r="BW2" s="60" t="s">
        <v>561</v>
      </c>
      <c r="BX2" s="60" t="s">
        <v>561</v>
      </c>
      <c r="BY2" s="60" t="s">
        <v>563</v>
      </c>
      <c r="BZ2" s="60" t="s">
        <v>563</v>
      </c>
      <c r="CA2" s="60" t="s">
        <v>577</v>
      </c>
      <c r="CB2" s="60" t="s">
        <v>578</v>
      </c>
      <c r="CC2" s="60" t="s">
        <v>579</v>
      </c>
      <c r="CD2" s="60" t="s">
        <v>580</v>
      </c>
      <c r="CE2" s="60" t="s">
        <v>581</v>
      </c>
      <c r="CF2" s="60" t="s">
        <v>582</v>
      </c>
      <c r="CG2" s="60" t="s">
        <v>583</v>
      </c>
      <c r="CH2" s="60" t="s">
        <v>584</v>
      </c>
      <c r="CI2" s="60" t="s">
        <v>575</v>
      </c>
      <c r="CJ2" s="60" t="s">
        <v>576</v>
      </c>
      <c r="CK2" s="60" t="s">
        <v>561</v>
      </c>
      <c r="CL2" s="60" t="s">
        <v>561</v>
      </c>
      <c r="CM2" s="60" t="s">
        <v>561</v>
      </c>
      <c r="CN2" s="60" t="s">
        <v>561</v>
      </c>
      <c r="CO2" s="60" t="s">
        <v>561</v>
      </c>
      <c r="CP2" s="60" t="s">
        <v>563</v>
      </c>
      <c r="CQ2" s="60" t="s">
        <v>563</v>
      </c>
      <c r="CR2" s="60" t="s">
        <v>577</v>
      </c>
      <c r="CS2" s="60" t="s">
        <v>578</v>
      </c>
      <c r="CT2" s="60" t="s">
        <v>579</v>
      </c>
      <c r="CU2" s="60" t="s">
        <v>580</v>
      </c>
      <c r="CV2" s="60" t="s">
        <v>581</v>
      </c>
      <c r="CW2" s="60" t="s">
        <v>582</v>
      </c>
      <c r="CX2" s="60" t="s">
        <v>583</v>
      </c>
      <c r="CY2" s="60" t="s">
        <v>584</v>
      </c>
      <c r="CZ2" s="60" t="s">
        <v>575</v>
      </c>
      <c r="DA2" s="60" t="s">
        <v>585</v>
      </c>
      <c r="DB2" s="60" t="s">
        <v>585</v>
      </c>
      <c r="DC2" s="60" t="s">
        <v>585</v>
      </c>
      <c r="DD2" s="60" t="s">
        <v>585</v>
      </c>
      <c r="DE2" s="60" t="s">
        <v>585</v>
      </c>
      <c r="DF2" s="60" t="s">
        <v>585</v>
      </c>
      <c r="DG2" s="60" t="s">
        <v>585</v>
      </c>
      <c r="DH2" s="60" t="s">
        <v>575</v>
      </c>
      <c r="DI2" s="60" t="s">
        <v>575</v>
      </c>
      <c r="DJ2" s="60" t="s">
        <v>575</v>
      </c>
      <c r="DK2" s="60" t="s">
        <v>575</v>
      </c>
      <c r="DL2" s="60" t="s">
        <v>575</v>
      </c>
      <c r="DM2" s="60" t="s">
        <v>575</v>
      </c>
      <c r="DN2" s="60" t="s">
        <v>575</v>
      </c>
      <c r="DO2" s="60" t="s">
        <v>686</v>
      </c>
      <c r="DP2" s="60" t="s">
        <v>585</v>
      </c>
      <c r="DQ2" s="60" t="s">
        <v>566</v>
      </c>
      <c r="DR2" s="60" t="s">
        <v>560</v>
      </c>
      <c r="DS2" s="60" t="s">
        <v>574</v>
      </c>
    </row>
    <row r="3" spans="1:123" ht="15.75" thickBot="1" x14ac:dyDescent="0.3">
      <c r="A3" s="61" t="s">
        <v>586</v>
      </c>
      <c r="B3" s="61" t="s">
        <v>225</v>
      </c>
      <c r="C3" s="61" t="s">
        <v>225</v>
      </c>
      <c r="D3" s="61" t="s">
        <v>587</v>
      </c>
      <c r="E3" s="61" t="s">
        <v>587</v>
      </c>
      <c r="F3" s="61" t="s">
        <v>587</v>
      </c>
      <c r="G3" s="61" t="s">
        <v>587</v>
      </c>
      <c r="H3" s="61" t="s">
        <v>587</v>
      </c>
      <c r="I3" s="61" t="s">
        <v>587</v>
      </c>
      <c r="J3" s="61" t="s">
        <v>587</v>
      </c>
      <c r="K3" s="61" t="s">
        <v>225</v>
      </c>
      <c r="L3" s="61" t="s">
        <v>225</v>
      </c>
      <c r="M3" s="61" t="s">
        <v>225</v>
      </c>
      <c r="N3" s="61" t="s">
        <v>225</v>
      </c>
      <c r="O3" s="61" t="s">
        <v>587</v>
      </c>
      <c r="P3" s="61" t="s">
        <v>587</v>
      </c>
      <c r="Q3" s="61" t="s">
        <v>225</v>
      </c>
      <c r="R3" s="61" t="s">
        <v>225</v>
      </c>
      <c r="S3" s="61" t="s">
        <v>225</v>
      </c>
      <c r="T3" s="61" t="s">
        <v>225</v>
      </c>
      <c r="U3" s="61" t="s">
        <v>225</v>
      </c>
      <c r="V3" s="61" t="s">
        <v>225</v>
      </c>
      <c r="W3" s="61" t="s">
        <v>225</v>
      </c>
      <c r="X3" s="61" t="s">
        <v>225</v>
      </c>
      <c r="Y3" s="61" t="s">
        <v>225</v>
      </c>
      <c r="Z3" s="61" t="s">
        <v>588</v>
      </c>
      <c r="AA3" s="61" t="s">
        <v>225</v>
      </c>
      <c r="AB3" s="61" t="s">
        <v>225</v>
      </c>
      <c r="AC3" s="61" t="s">
        <v>225</v>
      </c>
      <c r="AD3" s="61" t="s">
        <v>225</v>
      </c>
      <c r="AE3" s="61" t="s">
        <v>587</v>
      </c>
      <c r="AF3" s="61" t="s">
        <v>587</v>
      </c>
      <c r="AG3" s="61" t="s">
        <v>587</v>
      </c>
      <c r="AH3" s="61" t="s">
        <v>587</v>
      </c>
      <c r="AI3" s="61" t="s">
        <v>587</v>
      </c>
      <c r="AJ3" s="61" t="s">
        <v>587</v>
      </c>
      <c r="AK3" s="61" t="s">
        <v>587</v>
      </c>
      <c r="AL3" s="61" t="s">
        <v>587</v>
      </c>
      <c r="AM3" s="61" t="s">
        <v>587</v>
      </c>
      <c r="AN3" s="61" t="s">
        <v>589</v>
      </c>
      <c r="AO3" s="61" t="s">
        <v>589</v>
      </c>
      <c r="AP3" s="61" t="s">
        <v>589</v>
      </c>
      <c r="AQ3" s="61" t="s">
        <v>589</v>
      </c>
      <c r="AR3" s="61" t="s">
        <v>589</v>
      </c>
      <c r="AS3" s="61" t="s">
        <v>589</v>
      </c>
      <c r="AT3" s="61" t="s">
        <v>588</v>
      </c>
      <c r="AU3" s="61" t="s">
        <v>588</v>
      </c>
      <c r="AV3" s="61" t="s">
        <v>588</v>
      </c>
      <c r="AW3" s="61" t="s">
        <v>588</v>
      </c>
      <c r="AX3" s="61" t="s">
        <v>588</v>
      </c>
      <c r="AY3" s="61" t="s">
        <v>588</v>
      </c>
      <c r="AZ3" s="61" t="s">
        <v>588</v>
      </c>
      <c r="BA3" s="61" t="s">
        <v>588</v>
      </c>
      <c r="BB3" s="61" t="s">
        <v>225</v>
      </c>
      <c r="BC3" s="61" t="s">
        <v>225</v>
      </c>
      <c r="BD3" s="61" t="s">
        <v>225</v>
      </c>
      <c r="BE3" s="61" t="s">
        <v>225</v>
      </c>
      <c r="BF3" s="61" t="s">
        <v>225</v>
      </c>
      <c r="BG3" s="61" t="s">
        <v>225</v>
      </c>
      <c r="BH3" s="61" t="s">
        <v>225</v>
      </c>
      <c r="BI3" s="61" t="s">
        <v>225</v>
      </c>
      <c r="BJ3" s="61" t="s">
        <v>225</v>
      </c>
      <c r="BK3" s="61" t="s">
        <v>225</v>
      </c>
      <c r="BL3" s="61" t="s">
        <v>225</v>
      </c>
      <c r="BM3" s="61" t="s">
        <v>225</v>
      </c>
      <c r="BN3" s="61" t="s">
        <v>588</v>
      </c>
      <c r="BO3" s="61" t="s">
        <v>588</v>
      </c>
      <c r="BP3" s="61" t="s">
        <v>588</v>
      </c>
      <c r="BQ3" s="61" t="s">
        <v>588</v>
      </c>
      <c r="BR3" s="61" t="s">
        <v>588</v>
      </c>
      <c r="BS3" s="61" t="s">
        <v>225</v>
      </c>
      <c r="BT3" s="61" t="s">
        <v>225</v>
      </c>
      <c r="BU3" s="61" t="s">
        <v>225</v>
      </c>
      <c r="BV3" s="61" t="s">
        <v>225</v>
      </c>
      <c r="BW3" s="61" t="s">
        <v>225</v>
      </c>
      <c r="BX3" s="61" t="s">
        <v>225</v>
      </c>
      <c r="BY3" s="61" t="s">
        <v>225</v>
      </c>
      <c r="BZ3" s="61" t="s">
        <v>225</v>
      </c>
      <c r="CA3" s="61" t="s">
        <v>225</v>
      </c>
      <c r="CB3" s="61" t="s">
        <v>225</v>
      </c>
      <c r="CC3" s="61" t="s">
        <v>225</v>
      </c>
      <c r="CD3" s="61" t="s">
        <v>225</v>
      </c>
      <c r="CE3" s="61" t="s">
        <v>588</v>
      </c>
      <c r="CF3" s="61" t="s">
        <v>588</v>
      </c>
      <c r="CG3" s="61" t="s">
        <v>588</v>
      </c>
      <c r="CH3" s="61" t="s">
        <v>588</v>
      </c>
      <c r="CI3" s="61" t="s">
        <v>588</v>
      </c>
      <c r="CJ3" s="61" t="s">
        <v>225</v>
      </c>
      <c r="CK3" s="61" t="s">
        <v>225</v>
      </c>
      <c r="CL3" s="61" t="s">
        <v>225</v>
      </c>
      <c r="CM3" s="61" t="s">
        <v>225</v>
      </c>
      <c r="CN3" s="61" t="s">
        <v>225</v>
      </c>
      <c r="CO3" s="61" t="s">
        <v>225</v>
      </c>
      <c r="CP3" s="61" t="s">
        <v>225</v>
      </c>
      <c r="CQ3" s="61" t="s">
        <v>225</v>
      </c>
      <c r="CR3" s="61" t="s">
        <v>225</v>
      </c>
      <c r="CS3" s="61" t="s">
        <v>225</v>
      </c>
      <c r="CT3" s="61" t="s">
        <v>225</v>
      </c>
      <c r="CU3" s="61" t="s">
        <v>225</v>
      </c>
      <c r="CV3" s="61" t="s">
        <v>588</v>
      </c>
      <c r="CW3" s="61" t="s">
        <v>588</v>
      </c>
      <c r="CX3" s="61" t="s">
        <v>588</v>
      </c>
      <c r="CY3" s="61" t="s">
        <v>588</v>
      </c>
      <c r="CZ3" s="61" t="s">
        <v>588</v>
      </c>
      <c r="DA3" s="61" t="s">
        <v>588</v>
      </c>
      <c r="DB3" s="61" t="s">
        <v>588</v>
      </c>
      <c r="DC3" s="61" t="s">
        <v>588</v>
      </c>
      <c r="DD3" s="61" t="s">
        <v>588</v>
      </c>
      <c r="DE3" s="61" t="s">
        <v>588</v>
      </c>
      <c r="DF3" s="61" t="s">
        <v>588</v>
      </c>
      <c r="DG3" s="61" t="s">
        <v>588</v>
      </c>
      <c r="DH3" s="61" t="s">
        <v>588</v>
      </c>
      <c r="DI3" s="61" t="s">
        <v>588</v>
      </c>
      <c r="DJ3" s="61" t="s">
        <v>588</v>
      </c>
      <c r="DK3" s="61" t="s">
        <v>588</v>
      </c>
      <c r="DL3" s="61" t="s">
        <v>588</v>
      </c>
      <c r="DM3" s="61" t="s">
        <v>588</v>
      </c>
      <c r="DN3" s="61" t="s">
        <v>588</v>
      </c>
      <c r="DO3" s="61" t="s">
        <v>687</v>
      </c>
      <c r="DP3" s="61" t="s">
        <v>688</v>
      </c>
      <c r="DQ3" s="61" t="s">
        <v>688</v>
      </c>
      <c r="DR3" s="61" t="s">
        <v>688</v>
      </c>
      <c r="DS3" s="61" t="s">
        <v>688</v>
      </c>
    </row>
    <row r="4" spans="1:123" ht="20.100000000000001" customHeight="1" outlineLevel="1" x14ac:dyDescent="0.25">
      <c r="A4" s="62">
        <v>1</v>
      </c>
      <c r="B4" s="63">
        <v>45989</v>
      </c>
      <c r="C4" s="62" t="s">
        <v>246</v>
      </c>
      <c r="D4" s="62" t="s">
        <v>669</v>
      </c>
      <c r="E4" s="62">
        <v>52</v>
      </c>
      <c r="F4" s="62">
        <v>69</v>
      </c>
      <c r="G4" s="62">
        <f>'Hikes - High'!H6</f>
        <v>145</v>
      </c>
      <c r="H4" s="62" t="s">
        <v>242</v>
      </c>
      <c r="I4" s="62" t="s">
        <v>306</v>
      </c>
      <c r="J4" s="62" t="s">
        <v>670</v>
      </c>
      <c r="K4" s="62">
        <v>11.65</v>
      </c>
      <c r="L4" s="62">
        <v>3911</v>
      </c>
      <c r="M4" s="62">
        <v>3888</v>
      </c>
      <c r="N4" s="62">
        <v>318</v>
      </c>
      <c r="O4" s="64">
        <v>0.41666666666666702</v>
      </c>
      <c r="P4" s="64">
        <v>0.63749999999999996</v>
      </c>
      <c r="Q4" s="62">
        <v>131</v>
      </c>
      <c r="R4" s="62">
        <v>164</v>
      </c>
      <c r="S4" s="65">
        <v>-1.24E-2</v>
      </c>
      <c r="T4" s="62">
        <v>5</v>
      </c>
      <c r="U4" s="62">
        <v>2.4</v>
      </c>
      <c r="V4" s="62">
        <v>336</v>
      </c>
      <c r="W4" s="62">
        <v>1087</v>
      </c>
      <c r="X4" s="62">
        <v>4013</v>
      </c>
      <c r="Y4" s="62">
        <v>46</v>
      </c>
      <c r="Z4" s="62" t="s">
        <v>1646</v>
      </c>
      <c r="AA4" s="62">
        <v>70</v>
      </c>
      <c r="AB4" s="62">
        <v>91</v>
      </c>
      <c r="AC4" s="62">
        <v>81</v>
      </c>
      <c r="AD4" s="62" t="s">
        <v>111</v>
      </c>
      <c r="AE4" s="62" t="s">
        <v>157</v>
      </c>
      <c r="AF4" s="62" t="s">
        <v>132</v>
      </c>
      <c r="AG4" s="62" t="s">
        <v>159</v>
      </c>
      <c r="AH4" s="62" t="s">
        <v>151</v>
      </c>
      <c r="AI4" s="62" t="s">
        <v>314</v>
      </c>
      <c r="AJ4" s="62" t="s">
        <v>672</v>
      </c>
      <c r="AK4" s="62" t="s">
        <v>672</v>
      </c>
      <c r="AL4" s="62">
        <v>1</v>
      </c>
      <c r="AM4" s="62" t="s">
        <v>673</v>
      </c>
      <c r="AN4" s="62">
        <v>1.1000000000000001</v>
      </c>
      <c r="AO4" s="62">
        <v>0.7</v>
      </c>
      <c r="AP4" s="62">
        <v>1.7</v>
      </c>
      <c r="AQ4" s="62">
        <v>4.5999999999999996</v>
      </c>
      <c r="AR4" s="62">
        <v>1.5</v>
      </c>
      <c r="AS4" s="62">
        <v>1.3</v>
      </c>
      <c r="AT4" s="62" t="s">
        <v>30</v>
      </c>
      <c r="AU4" s="62" t="s">
        <v>37</v>
      </c>
      <c r="AV4" s="62" t="s">
        <v>48</v>
      </c>
      <c r="AW4" s="62" t="s">
        <v>59</v>
      </c>
      <c r="AX4" s="62" t="s">
        <v>66</v>
      </c>
      <c r="AY4" s="62" t="s">
        <v>77</v>
      </c>
      <c r="AZ4" s="62" t="s">
        <v>84</v>
      </c>
      <c r="BA4" s="62" t="s">
        <v>96</v>
      </c>
      <c r="BB4" s="62">
        <v>87</v>
      </c>
      <c r="BC4" s="62">
        <v>438</v>
      </c>
      <c r="BD4" s="62">
        <v>73</v>
      </c>
      <c r="BE4" s="62">
        <v>96</v>
      </c>
      <c r="BF4" s="62">
        <v>269</v>
      </c>
      <c r="BG4" s="62">
        <v>15</v>
      </c>
      <c r="BH4" s="62">
        <v>60</v>
      </c>
      <c r="BI4" s="62">
        <v>65</v>
      </c>
      <c r="BJ4" s="62">
        <v>42</v>
      </c>
      <c r="BK4" s="62">
        <v>15</v>
      </c>
      <c r="BL4" s="62">
        <v>12</v>
      </c>
      <c r="BM4" s="62" t="s">
        <v>239</v>
      </c>
      <c r="BN4" s="62" t="s">
        <v>178</v>
      </c>
      <c r="BO4" s="62" t="s">
        <v>179</v>
      </c>
      <c r="BP4" s="62" t="s">
        <v>180</v>
      </c>
      <c r="BQ4" s="62" t="s">
        <v>181</v>
      </c>
      <c r="BR4" s="62" t="s">
        <v>182</v>
      </c>
      <c r="BS4" s="62">
        <v>48</v>
      </c>
      <c r="BT4" s="62">
        <v>325</v>
      </c>
      <c r="BU4" s="62">
        <v>85</v>
      </c>
      <c r="BV4" s="62">
        <v>31</v>
      </c>
      <c r="BW4" s="62">
        <v>209</v>
      </c>
      <c r="BX4" s="62">
        <v>40</v>
      </c>
      <c r="BY4" s="62">
        <v>65</v>
      </c>
      <c r="BZ4" s="62">
        <v>74</v>
      </c>
      <c r="CA4" s="62">
        <v>35</v>
      </c>
      <c r="CB4" s="62">
        <v>15</v>
      </c>
      <c r="CC4" s="62">
        <v>19</v>
      </c>
      <c r="CD4" s="62" t="s">
        <v>239</v>
      </c>
      <c r="CE4" s="62" t="s">
        <v>199</v>
      </c>
      <c r="CF4" s="62" t="s">
        <v>200</v>
      </c>
      <c r="CG4" s="62" t="s">
        <v>201</v>
      </c>
      <c r="CH4" s="62" t="s">
        <v>181</v>
      </c>
      <c r="CI4" s="62" t="s">
        <v>202</v>
      </c>
      <c r="CJ4" s="62">
        <v>79</v>
      </c>
      <c r="CK4" s="62">
        <v>297</v>
      </c>
      <c r="CL4" s="62">
        <v>71</v>
      </c>
      <c r="CM4" s="62">
        <v>91</v>
      </c>
      <c r="CN4" s="62">
        <v>298</v>
      </c>
      <c r="CO4" s="62">
        <v>52</v>
      </c>
      <c r="CP4" s="62">
        <v>65</v>
      </c>
      <c r="CQ4" s="62">
        <v>69</v>
      </c>
      <c r="CR4" s="62">
        <v>35</v>
      </c>
      <c r="CS4" s="62">
        <v>15</v>
      </c>
      <c r="CT4" s="62">
        <v>19</v>
      </c>
      <c r="CU4" s="62">
        <v>0.4</v>
      </c>
      <c r="CV4" s="62" t="s">
        <v>178</v>
      </c>
      <c r="CW4" s="62" t="s">
        <v>666</v>
      </c>
      <c r="CX4" s="62" t="s">
        <v>180</v>
      </c>
      <c r="CY4" s="62" t="s">
        <v>181</v>
      </c>
      <c r="CZ4" s="62" t="s">
        <v>617</v>
      </c>
      <c r="DA4" s="62">
        <v>7</v>
      </c>
      <c r="DB4" s="62">
        <v>7</v>
      </c>
      <c r="DC4" s="62">
        <v>7</v>
      </c>
      <c r="DD4" s="62">
        <v>6</v>
      </c>
      <c r="DE4" s="62">
        <v>5</v>
      </c>
      <c r="DF4" s="62">
        <v>6</v>
      </c>
      <c r="DG4" s="62">
        <v>8</v>
      </c>
      <c r="DH4" s="62" t="s">
        <v>269</v>
      </c>
      <c r="DI4" s="62" t="s">
        <v>270</v>
      </c>
      <c r="DJ4" s="62" t="s">
        <v>271</v>
      </c>
      <c r="DK4" s="62" t="s">
        <v>272</v>
      </c>
      <c r="DL4" s="62" t="s">
        <v>273</v>
      </c>
      <c r="DM4" s="62" t="s">
        <v>274</v>
      </c>
      <c r="DN4" s="62" t="s">
        <v>275</v>
      </c>
      <c r="DO4" s="62" t="s">
        <v>689</v>
      </c>
      <c r="DP4" s="62">
        <v>7.8</v>
      </c>
      <c r="DQ4" s="62">
        <v>336</v>
      </c>
      <c r="DR4" s="62">
        <v>4013</v>
      </c>
      <c r="DS4" s="62">
        <v>1.7</v>
      </c>
    </row>
    <row r="5" spans="1:123" ht="20.100000000000001" customHeight="1" outlineLevel="1" x14ac:dyDescent="0.25">
      <c r="A5" s="66">
        <v>2</v>
      </c>
      <c r="B5" s="67">
        <v>45991</v>
      </c>
      <c r="C5" s="66" t="s">
        <v>245</v>
      </c>
      <c r="D5" s="66" t="s">
        <v>669</v>
      </c>
      <c r="E5" s="66">
        <v>52</v>
      </c>
      <c r="F5" s="66">
        <v>69</v>
      </c>
      <c r="G5" s="62">
        <f>'Hikes - High'!I6</f>
        <v>145</v>
      </c>
      <c r="H5" s="66" t="s">
        <v>590</v>
      </c>
      <c r="I5" s="66" t="s">
        <v>307</v>
      </c>
      <c r="J5" s="66" t="s">
        <v>671</v>
      </c>
      <c r="K5" s="66">
        <v>8.6199999999999992</v>
      </c>
      <c r="L5" s="66">
        <v>4058</v>
      </c>
      <c r="M5" s="66">
        <v>4078</v>
      </c>
      <c r="N5" s="66">
        <v>356</v>
      </c>
      <c r="O5" s="68">
        <v>0.42361111111111099</v>
      </c>
      <c r="P5" s="68">
        <v>0.67083333333333295</v>
      </c>
      <c r="Q5" s="66">
        <v>132</v>
      </c>
      <c r="R5" s="66">
        <v>161</v>
      </c>
      <c r="S5" s="69">
        <v>-1.9699999999999999E-2</v>
      </c>
      <c r="T5" s="66">
        <v>5</v>
      </c>
      <c r="U5" s="66">
        <v>2.5</v>
      </c>
      <c r="V5" s="66">
        <v>438</v>
      </c>
      <c r="W5" s="66">
        <v>6115</v>
      </c>
      <c r="X5" s="66">
        <v>10075</v>
      </c>
      <c r="Y5" s="66">
        <v>46</v>
      </c>
      <c r="Z5" s="66" t="s">
        <v>1646</v>
      </c>
      <c r="AA5" s="66">
        <v>41</v>
      </c>
      <c r="AB5" s="66">
        <v>81</v>
      </c>
      <c r="AC5" s="66">
        <v>60</v>
      </c>
      <c r="AD5" s="66" t="s">
        <v>211</v>
      </c>
      <c r="AE5" s="66" t="s">
        <v>210</v>
      </c>
      <c r="AF5" s="66" t="s">
        <v>107</v>
      </c>
      <c r="AG5" s="66" t="s">
        <v>159</v>
      </c>
      <c r="AH5" s="66" t="s">
        <v>151</v>
      </c>
      <c r="AI5" s="66" t="s">
        <v>315</v>
      </c>
      <c r="AJ5" s="66" t="s">
        <v>673</v>
      </c>
      <c r="AK5" s="66" t="s">
        <v>673</v>
      </c>
      <c r="AL5" s="66">
        <v>2</v>
      </c>
      <c r="AM5" s="66" t="s">
        <v>673</v>
      </c>
      <c r="AN5" s="66">
        <v>1.3</v>
      </c>
      <c r="AO5" s="66">
        <v>1.5</v>
      </c>
      <c r="AP5" s="66">
        <v>4</v>
      </c>
      <c r="AQ5" s="66">
        <v>11</v>
      </c>
      <c r="AR5" s="66">
        <v>1.2</v>
      </c>
      <c r="AS5" s="66" t="s">
        <v>260</v>
      </c>
      <c r="AT5" s="66" t="s">
        <v>665</v>
      </c>
      <c r="AU5" s="66" t="s">
        <v>37</v>
      </c>
      <c r="AV5" s="66" t="s">
        <v>52</v>
      </c>
      <c r="AW5" s="66" t="s">
        <v>59</v>
      </c>
      <c r="AX5" s="66" t="s">
        <v>66</v>
      </c>
      <c r="AY5" s="66" t="s">
        <v>79</v>
      </c>
      <c r="AZ5" s="66" t="s">
        <v>84</v>
      </c>
      <c r="BA5" s="66" t="s">
        <v>594</v>
      </c>
      <c r="BB5" s="66">
        <v>79</v>
      </c>
      <c r="BC5" s="66">
        <v>418</v>
      </c>
      <c r="BD5" s="66">
        <v>71</v>
      </c>
      <c r="BE5" s="66">
        <v>91</v>
      </c>
      <c r="BF5" s="66">
        <v>256</v>
      </c>
      <c r="BG5" s="66">
        <v>19</v>
      </c>
      <c r="BH5" s="66">
        <v>65</v>
      </c>
      <c r="BI5" s="66">
        <v>69</v>
      </c>
      <c r="BJ5" s="66">
        <v>35</v>
      </c>
      <c r="BK5" s="66">
        <v>15</v>
      </c>
      <c r="BL5" s="66">
        <v>19</v>
      </c>
      <c r="BM5" s="66">
        <v>0.4</v>
      </c>
      <c r="BN5" s="66" t="s">
        <v>178</v>
      </c>
      <c r="BO5" s="66" t="s">
        <v>666</v>
      </c>
      <c r="BP5" s="66" t="s">
        <v>180</v>
      </c>
      <c r="BQ5" s="66" t="s">
        <v>181</v>
      </c>
      <c r="BR5" s="66" t="s">
        <v>603</v>
      </c>
      <c r="BS5" s="66">
        <v>36</v>
      </c>
      <c r="BT5" s="66">
        <v>216</v>
      </c>
      <c r="BU5" s="66">
        <v>35</v>
      </c>
      <c r="BV5" s="66">
        <v>0</v>
      </c>
      <c r="BW5" s="66">
        <v>181</v>
      </c>
      <c r="BX5" s="66">
        <v>16</v>
      </c>
      <c r="BY5" s="66">
        <v>67</v>
      </c>
      <c r="BZ5" s="66">
        <v>76</v>
      </c>
      <c r="CA5" s="66">
        <v>25</v>
      </c>
      <c r="CB5" s="66">
        <v>18</v>
      </c>
      <c r="CC5" s="66">
        <v>36</v>
      </c>
      <c r="CD5" s="66">
        <v>-0.4</v>
      </c>
      <c r="CE5" s="66" t="s">
        <v>199</v>
      </c>
      <c r="CF5" s="66" t="s">
        <v>200</v>
      </c>
      <c r="CG5" s="66" t="s">
        <v>201</v>
      </c>
      <c r="CH5" s="66" t="s">
        <v>181</v>
      </c>
      <c r="CI5" s="66" t="s">
        <v>611</v>
      </c>
      <c r="CJ5" s="66">
        <v>79</v>
      </c>
      <c r="CK5" s="66">
        <v>420</v>
      </c>
      <c r="CL5" s="66">
        <v>85</v>
      </c>
      <c r="CM5" s="66">
        <v>97</v>
      </c>
      <c r="CN5" s="66">
        <v>238</v>
      </c>
      <c r="CO5" s="66">
        <v>26</v>
      </c>
      <c r="CP5" s="66">
        <v>62</v>
      </c>
      <c r="CQ5" s="66">
        <v>68</v>
      </c>
      <c r="CR5" s="66">
        <v>37</v>
      </c>
      <c r="CS5" s="66">
        <v>16</v>
      </c>
      <c r="CT5" s="66">
        <v>17</v>
      </c>
      <c r="CU5" s="66">
        <v>0</v>
      </c>
      <c r="CV5" s="66" t="s">
        <v>178</v>
      </c>
      <c r="CW5" s="66" t="s">
        <v>666</v>
      </c>
      <c r="CX5" s="66" t="s">
        <v>180</v>
      </c>
      <c r="CY5" s="66" t="s">
        <v>181</v>
      </c>
      <c r="CZ5" s="66" t="s">
        <v>618</v>
      </c>
      <c r="DA5" s="66">
        <v>9</v>
      </c>
      <c r="DB5" s="66">
        <v>9</v>
      </c>
      <c r="DC5" s="66">
        <v>8.5</v>
      </c>
      <c r="DD5" s="66">
        <v>8</v>
      </c>
      <c r="DE5" s="66">
        <v>6</v>
      </c>
      <c r="DF5" s="66">
        <v>7</v>
      </c>
      <c r="DG5" s="66">
        <v>8</v>
      </c>
      <c r="DH5" s="66" t="s">
        <v>277</v>
      </c>
      <c r="DI5" s="66" t="s">
        <v>278</v>
      </c>
      <c r="DJ5" s="66" t="s">
        <v>279</v>
      </c>
      <c r="DK5" s="66" t="s">
        <v>280</v>
      </c>
      <c r="DL5" s="66" t="s">
        <v>281</v>
      </c>
      <c r="DM5" s="66" t="s">
        <v>282</v>
      </c>
      <c r="DN5" s="66" t="s">
        <v>283</v>
      </c>
      <c r="DO5" s="66" t="s">
        <v>689</v>
      </c>
      <c r="DP5" s="66">
        <v>8.1</v>
      </c>
      <c r="DQ5" s="66">
        <v>774</v>
      </c>
      <c r="DR5" s="66">
        <v>14088</v>
      </c>
      <c r="DS5" s="66">
        <v>2.85</v>
      </c>
    </row>
    <row r="6" spans="1:123" ht="20.100000000000001" customHeight="1" outlineLevel="1" x14ac:dyDescent="0.25">
      <c r="A6" s="62">
        <v>3</v>
      </c>
      <c r="B6" s="63">
        <v>45997</v>
      </c>
      <c r="C6" s="62" t="s">
        <v>244</v>
      </c>
      <c r="D6" s="62" t="s">
        <v>669</v>
      </c>
      <c r="E6" s="62">
        <v>52</v>
      </c>
      <c r="F6" s="62">
        <v>69</v>
      </c>
      <c r="G6" s="62">
        <f>'Hikes - High'!J6</f>
        <v>145</v>
      </c>
      <c r="H6" s="62" t="s">
        <v>591</v>
      </c>
      <c r="I6" s="62" t="s">
        <v>307</v>
      </c>
      <c r="J6" s="62" t="s">
        <v>671</v>
      </c>
      <c r="K6" s="62">
        <v>10.74</v>
      </c>
      <c r="L6" s="62">
        <v>4249</v>
      </c>
      <c r="M6" s="62">
        <v>4190</v>
      </c>
      <c r="N6" s="62">
        <v>397</v>
      </c>
      <c r="O6" s="64">
        <v>0.44791666666666702</v>
      </c>
      <c r="P6" s="64">
        <v>0.72361111111111098</v>
      </c>
      <c r="Q6" s="62">
        <v>124</v>
      </c>
      <c r="R6" s="62">
        <v>155</v>
      </c>
      <c r="S6" s="65">
        <v>-5.4999999999999997E-3</v>
      </c>
      <c r="T6" s="62">
        <v>3.1</v>
      </c>
      <c r="U6" s="62">
        <v>0.3</v>
      </c>
      <c r="V6" s="62">
        <v>103</v>
      </c>
      <c r="W6" s="62">
        <v>6115</v>
      </c>
      <c r="X6" s="62">
        <v>10075</v>
      </c>
      <c r="Y6" s="62">
        <v>46</v>
      </c>
      <c r="Z6" s="62" t="s">
        <v>1646</v>
      </c>
      <c r="AA6" s="62">
        <v>48</v>
      </c>
      <c r="AB6" s="62">
        <v>82</v>
      </c>
      <c r="AC6" s="62">
        <v>67</v>
      </c>
      <c r="AD6" s="62" t="s">
        <v>211</v>
      </c>
      <c r="AE6" s="62" t="s">
        <v>250</v>
      </c>
      <c r="AF6" s="62" t="s">
        <v>107</v>
      </c>
      <c r="AG6" s="62" t="s">
        <v>593</v>
      </c>
      <c r="AH6" s="62" t="s">
        <v>151</v>
      </c>
      <c r="AI6" s="62" t="s">
        <v>315</v>
      </c>
      <c r="AJ6" s="62" t="s">
        <v>674</v>
      </c>
      <c r="AK6" s="62" t="s">
        <v>674</v>
      </c>
      <c r="AL6" s="62">
        <v>2</v>
      </c>
      <c r="AM6" s="62" t="s">
        <v>669</v>
      </c>
      <c r="AN6" s="62">
        <v>1.8</v>
      </c>
      <c r="AO6" s="62">
        <v>1.9</v>
      </c>
      <c r="AP6" s="62">
        <v>3.1</v>
      </c>
      <c r="AQ6" s="62">
        <v>13</v>
      </c>
      <c r="AR6" s="62">
        <v>2.6</v>
      </c>
      <c r="AS6" s="62">
        <v>2</v>
      </c>
      <c r="AT6" s="62" t="s">
        <v>665</v>
      </c>
      <c r="AU6" s="62" t="s">
        <v>37</v>
      </c>
      <c r="AV6" s="62" t="s">
        <v>52</v>
      </c>
      <c r="AW6" s="62" t="s">
        <v>59</v>
      </c>
      <c r="AX6" s="62" t="s">
        <v>66</v>
      </c>
      <c r="AY6" s="62" t="s">
        <v>79</v>
      </c>
      <c r="AZ6" s="62" t="s">
        <v>84</v>
      </c>
      <c r="BA6" s="62" t="s">
        <v>595</v>
      </c>
      <c r="BB6" s="62">
        <v>86</v>
      </c>
      <c r="BC6" s="62">
        <v>429</v>
      </c>
      <c r="BD6" s="62">
        <v>64</v>
      </c>
      <c r="BE6" s="62">
        <v>91</v>
      </c>
      <c r="BF6" s="62">
        <v>274</v>
      </c>
      <c r="BG6" s="62">
        <v>2</v>
      </c>
      <c r="BH6" s="62">
        <v>61</v>
      </c>
      <c r="BI6" s="62">
        <v>64</v>
      </c>
      <c r="BJ6" s="62">
        <v>38</v>
      </c>
      <c r="BK6" s="62">
        <v>15</v>
      </c>
      <c r="BL6" s="62">
        <v>14</v>
      </c>
      <c r="BM6" s="62">
        <v>0.3</v>
      </c>
      <c r="BN6" s="62" t="s">
        <v>253</v>
      </c>
      <c r="BO6" s="62" t="s">
        <v>667</v>
      </c>
      <c r="BP6" s="62" t="s">
        <v>180</v>
      </c>
      <c r="BQ6" s="62" t="s">
        <v>410</v>
      </c>
      <c r="BR6" s="62" t="s">
        <v>604</v>
      </c>
      <c r="BS6" s="62">
        <v>57</v>
      </c>
      <c r="BT6" s="62">
        <v>274</v>
      </c>
      <c r="BU6" s="62">
        <v>50</v>
      </c>
      <c r="BV6" s="62">
        <v>44</v>
      </c>
      <c r="BW6" s="62">
        <v>180</v>
      </c>
      <c r="BX6" s="62">
        <v>20</v>
      </c>
      <c r="BY6" s="62">
        <v>61</v>
      </c>
      <c r="BZ6" s="62">
        <v>69</v>
      </c>
      <c r="CA6" s="62">
        <v>28</v>
      </c>
      <c r="CB6" s="62">
        <v>17</v>
      </c>
      <c r="CC6" s="62">
        <v>25</v>
      </c>
      <c r="CD6" s="62">
        <v>-0.7</v>
      </c>
      <c r="CE6" s="62" t="s">
        <v>199</v>
      </c>
      <c r="CF6" s="62" t="s">
        <v>200</v>
      </c>
      <c r="CG6" s="62" t="s">
        <v>201</v>
      </c>
      <c r="CH6" s="62" t="s">
        <v>181</v>
      </c>
      <c r="CI6" s="62" t="s">
        <v>611</v>
      </c>
      <c r="CJ6" s="62">
        <v>81</v>
      </c>
      <c r="CK6" s="62">
        <v>398</v>
      </c>
      <c r="CL6" s="62">
        <v>59</v>
      </c>
      <c r="CM6" s="62">
        <v>88</v>
      </c>
      <c r="CN6" s="62">
        <v>251</v>
      </c>
      <c r="CO6" s="62">
        <v>15</v>
      </c>
      <c r="CP6" s="62">
        <v>59</v>
      </c>
      <c r="CQ6" s="62">
        <v>64</v>
      </c>
      <c r="CR6" s="62">
        <v>42</v>
      </c>
      <c r="CS6" s="62">
        <v>15</v>
      </c>
      <c r="CT6" s="62">
        <v>13</v>
      </c>
      <c r="CU6" s="62">
        <v>-0.4</v>
      </c>
      <c r="CV6" s="62" t="s">
        <v>178</v>
      </c>
      <c r="CW6" s="62" t="s">
        <v>666</v>
      </c>
      <c r="CX6" s="62" t="s">
        <v>180</v>
      </c>
      <c r="CY6" s="62" t="s">
        <v>181</v>
      </c>
      <c r="CZ6" s="62" t="s">
        <v>619</v>
      </c>
      <c r="DA6" s="62">
        <v>9.5</v>
      </c>
      <c r="DB6" s="62">
        <v>9.5</v>
      </c>
      <c r="DC6" s="62">
        <v>9</v>
      </c>
      <c r="DD6" s="62">
        <v>8</v>
      </c>
      <c r="DE6" s="62">
        <v>6</v>
      </c>
      <c r="DF6" s="62">
        <v>7</v>
      </c>
      <c r="DG6" s="62">
        <v>8</v>
      </c>
      <c r="DH6" s="62" t="s">
        <v>284</v>
      </c>
      <c r="DI6" s="62" t="s">
        <v>285</v>
      </c>
      <c r="DJ6" s="62" t="s">
        <v>286</v>
      </c>
      <c r="DK6" s="62" t="s">
        <v>287</v>
      </c>
      <c r="DL6" s="62" t="s">
        <v>288</v>
      </c>
      <c r="DM6" s="62" t="s">
        <v>289</v>
      </c>
      <c r="DN6" s="62" t="s">
        <v>290</v>
      </c>
      <c r="DO6" s="62" t="s">
        <v>689</v>
      </c>
      <c r="DP6" s="62">
        <v>7.4</v>
      </c>
      <c r="DQ6" s="62">
        <v>877</v>
      </c>
      <c r="DR6" s="62">
        <v>24163</v>
      </c>
      <c r="DS6" s="62">
        <v>2.93</v>
      </c>
    </row>
    <row r="7" spans="1:123" ht="20.100000000000001" customHeight="1" outlineLevel="1" x14ac:dyDescent="0.25">
      <c r="A7" s="66">
        <v>4</v>
      </c>
      <c r="B7" s="67">
        <v>46004</v>
      </c>
      <c r="C7" s="66" t="s">
        <v>244</v>
      </c>
      <c r="D7" s="66" t="s">
        <v>669</v>
      </c>
      <c r="E7" s="66">
        <v>52</v>
      </c>
      <c r="F7" s="66">
        <v>69</v>
      </c>
      <c r="G7" s="62">
        <f>'Hikes - High'!K6</f>
        <v>145</v>
      </c>
      <c r="H7" s="66" t="s">
        <v>302</v>
      </c>
      <c r="I7" s="66" t="s">
        <v>306</v>
      </c>
      <c r="J7" s="66" t="s">
        <v>671</v>
      </c>
      <c r="K7" s="66">
        <v>11.05</v>
      </c>
      <c r="L7" s="66">
        <v>4081</v>
      </c>
      <c r="M7" s="66">
        <v>4101</v>
      </c>
      <c r="N7" s="66">
        <v>369</v>
      </c>
      <c r="O7" s="68">
        <v>0.35416666666666702</v>
      </c>
      <c r="P7" s="68">
        <v>0.61041666666666705</v>
      </c>
      <c r="Q7" s="66">
        <v>123</v>
      </c>
      <c r="R7" s="66">
        <v>156</v>
      </c>
      <c r="S7" s="69">
        <v>2.7000000000000001E-3</v>
      </c>
      <c r="T7" s="66">
        <v>3.3</v>
      </c>
      <c r="U7" s="66">
        <v>0</v>
      </c>
      <c r="V7" s="66">
        <v>102</v>
      </c>
      <c r="W7" s="66">
        <v>6107</v>
      </c>
      <c r="X7" s="66">
        <v>10085</v>
      </c>
      <c r="Y7" s="66">
        <v>46</v>
      </c>
      <c r="Z7" s="66" t="s">
        <v>1646</v>
      </c>
      <c r="AA7" s="66">
        <v>59</v>
      </c>
      <c r="AB7" s="66">
        <v>82</v>
      </c>
      <c r="AC7" s="66">
        <v>72</v>
      </c>
      <c r="AD7" s="66" t="s">
        <v>211</v>
      </c>
      <c r="AE7" s="66" t="s">
        <v>210</v>
      </c>
      <c r="AF7" s="66" t="s">
        <v>107</v>
      </c>
      <c r="AG7" s="66" t="s">
        <v>593</v>
      </c>
      <c r="AH7" s="66" t="s">
        <v>151</v>
      </c>
      <c r="AI7" s="66" t="s">
        <v>316</v>
      </c>
      <c r="AJ7" s="66" t="s">
        <v>675</v>
      </c>
      <c r="AK7" s="66" t="s">
        <v>674</v>
      </c>
      <c r="AL7" s="66">
        <v>2</v>
      </c>
      <c r="AM7" s="66" t="s">
        <v>669</v>
      </c>
      <c r="AN7" s="66">
        <v>1.7</v>
      </c>
      <c r="AO7" s="66">
        <v>2.2000000000000002</v>
      </c>
      <c r="AP7" s="66">
        <v>2</v>
      </c>
      <c r="AQ7" s="66">
        <v>5.8</v>
      </c>
      <c r="AR7" s="66">
        <v>1.4</v>
      </c>
      <c r="AS7" s="66" t="s">
        <v>260</v>
      </c>
      <c r="AT7" s="66" t="s">
        <v>28</v>
      </c>
      <c r="AU7" s="66" t="s">
        <v>37</v>
      </c>
      <c r="AV7" s="66" t="s">
        <v>52</v>
      </c>
      <c r="AW7" s="66" t="s">
        <v>59</v>
      </c>
      <c r="AX7" s="66" t="s">
        <v>66</v>
      </c>
      <c r="AY7" s="66" t="s">
        <v>77</v>
      </c>
      <c r="AZ7" s="66" t="s">
        <v>84</v>
      </c>
      <c r="BA7" s="66" t="s">
        <v>596</v>
      </c>
      <c r="BB7" s="66">
        <v>73</v>
      </c>
      <c r="BC7" s="66">
        <v>360</v>
      </c>
      <c r="BD7" s="66">
        <v>73</v>
      </c>
      <c r="BE7" s="66">
        <v>49</v>
      </c>
      <c r="BF7" s="66">
        <v>238</v>
      </c>
      <c r="BG7" s="66">
        <v>29</v>
      </c>
      <c r="BH7" s="66">
        <v>58</v>
      </c>
      <c r="BI7" s="66">
        <v>62</v>
      </c>
      <c r="BJ7" s="66">
        <v>38</v>
      </c>
      <c r="BK7" s="66">
        <v>15</v>
      </c>
      <c r="BL7" s="66">
        <v>11</v>
      </c>
      <c r="BM7" s="66">
        <v>0</v>
      </c>
      <c r="BN7" s="66" t="s">
        <v>309</v>
      </c>
      <c r="BO7" s="66" t="s">
        <v>666</v>
      </c>
      <c r="BP7" s="66" t="s">
        <v>180</v>
      </c>
      <c r="BQ7" s="66" t="s">
        <v>181</v>
      </c>
      <c r="BR7" s="66" t="s">
        <v>604</v>
      </c>
      <c r="BS7" s="66">
        <v>69</v>
      </c>
      <c r="BT7" s="66">
        <v>361</v>
      </c>
      <c r="BU7" s="66">
        <v>77</v>
      </c>
      <c r="BV7" s="66">
        <v>38</v>
      </c>
      <c r="BW7" s="66">
        <v>246</v>
      </c>
      <c r="BX7" s="66">
        <v>27</v>
      </c>
      <c r="BY7" s="66">
        <v>61</v>
      </c>
      <c r="BZ7" s="66">
        <v>66</v>
      </c>
      <c r="CA7" s="66">
        <v>31</v>
      </c>
      <c r="CB7" s="66">
        <v>17</v>
      </c>
      <c r="CC7" s="66">
        <v>21</v>
      </c>
      <c r="CD7" s="66">
        <v>-0.3</v>
      </c>
      <c r="CE7" s="66" t="s">
        <v>199</v>
      </c>
      <c r="CF7" s="66" t="s">
        <v>200</v>
      </c>
      <c r="CG7" s="66" t="s">
        <v>201</v>
      </c>
      <c r="CH7" s="66" t="s">
        <v>181</v>
      </c>
      <c r="CI7" s="66" t="s">
        <v>612</v>
      </c>
      <c r="CJ7" s="66">
        <v>63</v>
      </c>
      <c r="CK7" s="66">
        <v>322</v>
      </c>
      <c r="CL7" s="66">
        <v>61</v>
      </c>
      <c r="CM7" s="66">
        <v>21</v>
      </c>
      <c r="CN7" s="66">
        <v>240</v>
      </c>
      <c r="CO7" s="66">
        <v>9</v>
      </c>
      <c r="CP7" s="66">
        <v>62</v>
      </c>
      <c r="CQ7" s="66">
        <v>66</v>
      </c>
      <c r="CR7" s="66">
        <v>37</v>
      </c>
      <c r="CS7" s="66">
        <v>16</v>
      </c>
      <c r="CT7" s="66">
        <v>17</v>
      </c>
      <c r="CU7" s="66">
        <v>-0.3</v>
      </c>
      <c r="CV7" s="66" t="s">
        <v>309</v>
      </c>
      <c r="CW7" s="66" t="s">
        <v>668</v>
      </c>
      <c r="CX7" s="66" t="s">
        <v>180</v>
      </c>
      <c r="CY7" s="66" t="s">
        <v>181</v>
      </c>
      <c r="CZ7" s="66" t="s">
        <v>620</v>
      </c>
      <c r="DA7" s="66">
        <v>8</v>
      </c>
      <c r="DB7" s="66">
        <v>7.5</v>
      </c>
      <c r="DC7" s="66">
        <v>9</v>
      </c>
      <c r="DD7" s="66">
        <v>8.5</v>
      </c>
      <c r="DE7" s="66">
        <v>7</v>
      </c>
      <c r="DF7" s="66">
        <v>6</v>
      </c>
      <c r="DG7" s="66">
        <v>8.5</v>
      </c>
      <c r="DH7" s="66" t="s">
        <v>626</v>
      </c>
      <c r="DI7" s="66" t="s">
        <v>358</v>
      </c>
      <c r="DJ7" s="66" t="s">
        <v>359</v>
      </c>
      <c r="DK7" s="66" t="s">
        <v>627</v>
      </c>
      <c r="DL7" s="66" t="s">
        <v>361</v>
      </c>
      <c r="DM7" s="66" t="s">
        <v>362</v>
      </c>
      <c r="DN7" s="66" t="s">
        <v>363</v>
      </c>
      <c r="DO7" s="66" t="s">
        <v>690</v>
      </c>
      <c r="DP7" s="66">
        <v>6.4</v>
      </c>
      <c r="DQ7" s="66">
        <v>979</v>
      </c>
      <c r="DR7" s="66">
        <v>34248</v>
      </c>
      <c r="DS7" s="66">
        <v>2.7</v>
      </c>
    </row>
    <row r="8" spans="1:123" ht="20.100000000000001" customHeight="1" outlineLevel="1" x14ac:dyDescent="0.25">
      <c r="A8" s="62">
        <v>5</v>
      </c>
      <c r="B8" s="63">
        <v>46011</v>
      </c>
      <c r="C8" s="62" t="s">
        <v>244</v>
      </c>
      <c r="D8" s="62" t="s">
        <v>669</v>
      </c>
      <c r="E8" s="62">
        <v>52</v>
      </c>
      <c r="F8" s="62">
        <v>69</v>
      </c>
      <c r="G8" s="62">
        <f>'Hikes - High'!L6</f>
        <v>145</v>
      </c>
      <c r="H8" s="62" t="s">
        <v>302</v>
      </c>
      <c r="I8" s="62" t="s">
        <v>306</v>
      </c>
      <c r="J8" s="62" t="s">
        <v>671</v>
      </c>
      <c r="K8" s="62">
        <v>10.67</v>
      </c>
      <c r="L8" s="62">
        <v>4098</v>
      </c>
      <c r="M8" s="62">
        <v>4134</v>
      </c>
      <c r="N8" s="62">
        <v>317</v>
      </c>
      <c r="O8" s="64">
        <v>0.38541666666666702</v>
      </c>
      <c r="P8" s="64">
        <v>0.60555555555555596</v>
      </c>
      <c r="Q8" s="62">
        <v>130</v>
      </c>
      <c r="R8" s="62">
        <v>157</v>
      </c>
      <c r="S8" s="65">
        <v>-6.7000000000000002E-3</v>
      </c>
      <c r="T8" s="62">
        <v>3.6</v>
      </c>
      <c r="U8" s="62">
        <v>0</v>
      </c>
      <c r="V8" s="62">
        <v>123</v>
      </c>
      <c r="W8" s="62">
        <v>6113</v>
      </c>
      <c r="X8" s="62">
        <v>10105</v>
      </c>
      <c r="Y8" s="62">
        <v>46</v>
      </c>
      <c r="Z8" s="62" t="s">
        <v>1646</v>
      </c>
      <c r="AA8" s="62">
        <v>54</v>
      </c>
      <c r="AB8" s="62">
        <v>79</v>
      </c>
      <c r="AC8" s="62">
        <v>68</v>
      </c>
      <c r="AD8" s="62" t="s">
        <v>211</v>
      </c>
      <c r="AE8" s="62" t="s">
        <v>365</v>
      </c>
      <c r="AF8" s="62" t="s">
        <v>107</v>
      </c>
      <c r="AG8" s="62" t="s">
        <v>593</v>
      </c>
      <c r="AH8" s="62" t="s">
        <v>151</v>
      </c>
      <c r="AI8" s="62" t="s">
        <v>366</v>
      </c>
      <c r="AJ8" s="62" t="s">
        <v>674</v>
      </c>
      <c r="AK8" s="62" t="s">
        <v>673</v>
      </c>
      <c r="AL8" s="62">
        <v>1.5</v>
      </c>
      <c r="AM8" s="62" t="s">
        <v>673</v>
      </c>
      <c r="AN8" s="62">
        <v>1.5</v>
      </c>
      <c r="AO8" s="62">
        <v>1.5</v>
      </c>
      <c r="AP8" s="62">
        <v>2.1</v>
      </c>
      <c r="AQ8" s="62">
        <v>7.1</v>
      </c>
      <c r="AR8" s="62">
        <v>1.5</v>
      </c>
      <c r="AS8" s="62" t="s">
        <v>260</v>
      </c>
      <c r="AT8" s="62" t="s">
        <v>28</v>
      </c>
      <c r="AU8" s="62" t="s">
        <v>37</v>
      </c>
      <c r="AV8" s="62" t="s">
        <v>52</v>
      </c>
      <c r="AW8" s="62" t="s">
        <v>59</v>
      </c>
      <c r="AX8" s="62" t="s">
        <v>66</v>
      </c>
      <c r="AY8" s="62" t="s">
        <v>77</v>
      </c>
      <c r="AZ8" s="62" t="s">
        <v>84</v>
      </c>
      <c r="BA8" s="62" t="s">
        <v>597</v>
      </c>
      <c r="BB8" s="62">
        <v>73</v>
      </c>
      <c r="BC8" s="62">
        <v>460</v>
      </c>
      <c r="BD8" s="62">
        <v>61</v>
      </c>
      <c r="BE8" s="62">
        <v>96</v>
      </c>
      <c r="BF8" s="62">
        <v>303</v>
      </c>
      <c r="BG8" s="62">
        <v>52</v>
      </c>
      <c r="BH8" s="62">
        <v>63</v>
      </c>
      <c r="BI8" s="62">
        <v>68</v>
      </c>
      <c r="BJ8" s="62">
        <v>34</v>
      </c>
      <c r="BK8" s="62">
        <v>15</v>
      </c>
      <c r="BL8" s="62">
        <v>21</v>
      </c>
      <c r="BM8" s="62">
        <v>0.4</v>
      </c>
      <c r="BN8" s="62" t="s">
        <v>309</v>
      </c>
      <c r="BO8" s="62" t="s">
        <v>666</v>
      </c>
      <c r="BP8" s="62" t="s">
        <v>180</v>
      </c>
      <c r="BQ8" s="62" t="s">
        <v>181</v>
      </c>
      <c r="BR8" s="62" t="s">
        <v>605</v>
      </c>
      <c r="BS8" s="62">
        <v>66</v>
      </c>
      <c r="BT8" s="62">
        <v>324</v>
      </c>
      <c r="BU8" s="62">
        <v>43</v>
      </c>
      <c r="BV8" s="62">
        <v>47</v>
      </c>
      <c r="BW8" s="62">
        <v>234</v>
      </c>
      <c r="BX8" s="62">
        <v>22</v>
      </c>
      <c r="BY8" s="62">
        <v>64</v>
      </c>
      <c r="BZ8" s="62">
        <v>70</v>
      </c>
      <c r="CA8" s="62">
        <v>29</v>
      </c>
      <c r="CB8" s="62">
        <v>17</v>
      </c>
      <c r="CC8" s="62">
        <v>25</v>
      </c>
      <c r="CD8" s="62">
        <v>0.3</v>
      </c>
      <c r="CE8" s="62" t="s">
        <v>199</v>
      </c>
      <c r="CF8" s="62" t="s">
        <v>200</v>
      </c>
      <c r="CG8" s="62" t="s">
        <v>201</v>
      </c>
      <c r="CH8" s="62" t="s">
        <v>181</v>
      </c>
      <c r="CI8" s="62" t="s">
        <v>613</v>
      </c>
      <c r="CJ8" s="62">
        <v>72</v>
      </c>
      <c r="CK8" s="62">
        <v>336</v>
      </c>
      <c r="CL8" s="62">
        <v>59</v>
      </c>
      <c r="CM8" s="62">
        <v>38</v>
      </c>
      <c r="CN8" s="62">
        <v>239</v>
      </c>
      <c r="CO8" s="62">
        <v>7</v>
      </c>
      <c r="CP8" s="62">
        <v>62</v>
      </c>
      <c r="CQ8" s="62">
        <v>66</v>
      </c>
      <c r="CR8" s="62">
        <v>47</v>
      </c>
      <c r="CS8" s="62">
        <v>16</v>
      </c>
      <c r="CT8" s="62">
        <v>12</v>
      </c>
      <c r="CU8" s="62">
        <v>-0.2</v>
      </c>
      <c r="CV8" s="62" t="s">
        <v>309</v>
      </c>
      <c r="CW8" s="62" t="s">
        <v>668</v>
      </c>
      <c r="CX8" s="62" t="s">
        <v>180</v>
      </c>
      <c r="CY8" s="62" t="s">
        <v>181</v>
      </c>
      <c r="CZ8" s="62" t="s">
        <v>621</v>
      </c>
      <c r="DA8" s="62">
        <v>8.5</v>
      </c>
      <c r="DB8" s="62">
        <v>8</v>
      </c>
      <c r="DC8" s="62">
        <v>9</v>
      </c>
      <c r="DD8" s="62">
        <v>8.5</v>
      </c>
      <c r="DE8" s="62">
        <v>7</v>
      </c>
      <c r="DF8" s="62">
        <v>6.5</v>
      </c>
      <c r="DG8" s="62">
        <v>8.5</v>
      </c>
      <c r="DH8" s="62" t="s">
        <v>628</v>
      </c>
      <c r="DI8" s="62" t="s">
        <v>629</v>
      </c>
      <c r="DJ8" s="62" t="s">
        <v>630</v>
      </c>
      <c r="DK8" s="62" t="s">
        <v>631</v>
      </c>
      <c r="DL8" s="62" t="s">
        <v>632</v>
      </c>
      <c r="DM8" s="62" t="s">
        <v>633</v>
      </c>
      <c r="DN8" s="62" t="s">
        <v>634</v>
      </c>
      <c r="DO8" s="62" t="s">
        <v>690</v>
      </c>
      <c r="DP8" s="62">
        <v>6.9</v>
      </c>
      <c r="DQ8" s="62">
        <v>1102</v>
      </c>
      <c r="DR8" s="62">
        <v>44353</v>
      </c>
      <c r="DS8" s="62">
        <v>2.58</v>
      </c>
    </row>
    <row r="9" spans="1:123" ht="20.100000000000001" customHeight="1" outlineLevel="1" x14ac:dyDescent="0.25">
      <c r="A9" s="66">
        <v>6</v>
      </c>
      <c r="B9" s="67">
        <v>46018</v>
      </c>
      <c r="C9" s="66" t="s">
        <v>246</v>
      </c>
      <c r="D9" s="66" t="s">
        <v>669</v>
      </c>
      <c r="E9" s="66">
        <v>52</v>
      </c>
      <c r="F9" s="66">
        <v>69</v>
      </c>
      <c r="G9" s="62">
        <f>'Hikes - High'!M6</f>
        <v>145</v>
      </c>
      <c r="H9" s="66" t="s">
        <v>242</v>
      </c>
      <c r="I9" s="66" t="s">
        <v>306</v>
      </c>
      <c r="J9" s="66" t="s">
        <v>670</v>
      </c>
      <c r="K9" s="66">
        <v>10.1</v>
      </c>
      <c r="L9" s="66">
        <v>3474</v>
      </c>
      <c r="M9" s="66">
        <v>3484</v>
      </c>
      <c r="N9" s="66">
        <v>264</v>
      </c>
      <c r="O9" s="68">
        <v>0.47916666666666702</v>
      </c>
      <c r="P9" s="68">
        <v>0.66249999999999998</v>
      </c>
      <c r="Q9" s="66">
        <v>128</v>
      </c>
      <c r="R9" s="66">
        <v>157</v>
      </c>
      <c r="S9" s="69">
        <v>-1.5900000000000001E-2</v>
      </c>
      <c r="T9" s="66">
        <v>4</v>
      </c>
      <c r="U9" s="66">
        <v>0</v>
      </c>
      <c r="V9" s="66">
        <v>139</v>
      </c>
      <c r="W9" s="66">
        <v>1070</v>
      </c>
      <c r="X9" s="66">
        <v>3893</v>
      </c>
      <c r="Y9" s="66">
        <v>46</v>
      </c>
      <c r="Z9" s="66" t="s">
        <v>1646</v>
      </c>
      <c r="AA9" s="66">
        <v>54</v>
      </c>
      <c r="AB9" s="66">
        <v>88</v>
      </c>
      <c r="AC9" s="66">
        <v>67</v>
      </c>
      <c r="AD9" s="66" t="s">
        <v>111</v>
      </c>
      <c r="AE9" s="66" t="s">
        <v>383</v>
      </c>
      <c r="AF9" s="66" t="s">
        <v>132</v>
      </c>
      <c r="AG9" s="66" t="s">
        <v>159</v>
      </c>
      <c r="AH9" s="66" t="s">
        <v>151</v>
      </c>
      <c r="AI9" s="66" t="s">
        <v>316</v>
      </c>
      <c r="AJ9" s="66" t="s">
        <v>672</v>
      </c>
      <c r="AK9" s="66" t="s">
        <v>672</v>
      </c>
      <c r="AL9" s="66">
        <v>2</v>
      </c>
      <c r="AM9" s="66" t="s">
        <v>673</v>
      </c>
      <c r="AN9" s="66">
        <v>1.9</v>
      </c>
      <c r="AO9" s="66">
        <v>1.9</v>
      </c>
      <c r="AP9" s="66">
        <v>2</v>
      </c>
      <c r="AQ9" s="66">
        <v>2.2000000000000002</v>
      </c>
      <c r="AR9" s="66">
        <v>1.3</v>
      </c>
      <c r="AS9" s="66" t="s">
        <v>260</v>
      </c>
      <c r="AT9" s="66" t="s">
        <v>32</v>
      </c>
      <c r="AU9" s="66" t="s">
        <v>37</v>
      </c>
      <c r="AV9" s="66" t="s">
        <v>48</v>
      </c>
      <c r="AW9" s="66" t="s">
        <v>61</v>
      </c>
      <c r="AX9" s="66" t="s">
        <v>72</v>
      </c>
      <c r="AY9" s="66" t="s">
        <v>75</v>
      </c>
      <c r="AZ9" s="66" t="s">
        <v>84</v>
      </c>
      <c r="BA9" s="66" t="s">
        <v>598</v>
      </c>
      <c r="BB9" s="66">
        <v>73</v>
      </c>
      <c r="BC9" s="66">
        <v>382</v>
      </c>
      <c r="BD9" s="66">
        <v>85</v>
      </c>
      <c r="BE9" s="66">
        <v>34</v>
      </c>
      <c r="BF9" s="66">
        <v>263</v>
      </c>
      <c r="BG9" s="66">
        <v>15</v>
      </c>
      <c r="BH9" s="66">
        <v>57</v>
      </c>
      <c r="BI9" s="66">
        <v>63</v>
      </c>
      <c r="BJ9" s="66">
        <v>38</v>
      </c>
      <c r="BK9" s="66">
        <v>16</v>
      </c>
      <c r="BL9" s="66">
        <v>15</v>
      </c>
      <c r="BM9" s="66">
        <v>-0.5</v>
      </c>
      <c r="BN9" s="66" t="s">
        <v>178</v>
      </c>
      <c r="BO9" s="66" t="s">
        <v>179</v>
      </c>
      <c r="BP9" s="66" t="s">
        <v>180</v>
      </c>
      <c r="BQ9" s="66" t="s">
        <v>181</v>
      </c>
      <c r="BR9" s="66" t="s">
        <v>606</v>
      </c>
      <c r="BS9" s="66">
        <v>55</v>
      </c>
      <c r="BT9" s="66">
        <v>326</v>
      </c>
      <c r="BU9" s="66">
        <v>100</v>
      </c>
      <c r="BV9" s="66">
        <v>38</v>
      </c>
      <c r="BW9" s="66">
        <v>188</v>
      </c>
      <c r="BX9" s="66">
        <v>60</v>
      </c>
      <c r="BY9" s="66">
        <v>64</v>
      </c>
      <c r="BZ9" s="66">
        <v>70</v>
      </c>
      <c r="CA9" s="66">
        <v>30</v>
      </c>
      <c r="CB9" s="66">
        <v>19</v>
      </c>
      <c r="CC9" s="66">
        <v>30</v>
      </c>
      <c r="CD9" s="66">
        <v>-0.9</v>
      </c>
      <c r="CE9" s="66" t="s">
        <v>199</v>
      </c>
      <c r="CF9" s="66" t="s">
        <v>200</v>
      </c>
      <c r="CG9" s="66" t="s">
        <v>201</v>
      </c>
      <c r="CH9" s="66" t="s">
        <v>181</v>
      </c>
      <c r="CI9" s="66" t="s">
        <v>202</v>
      </c>
      <c r="CJ9" s="66">
        <v>75</v>
      </c>
      <c r="CK9" s="66">
        <v>333</v>
      </c>
      <c r="CL9" s="66">
        <v>43</v>
      </c>
      <c r="CM9" s="66">
        <v>51</v>
      </c>
      <c r="CN9" s="66">
        <v>239</v>
      </c>
      <c r="CO9" s="66">
        <v>17</v>
      </c>
      <c r="CP9" s="66">
        <v>58</v>
      </c>
      <c r="CQ9" s="66">
        <v>63</v>
      </c>
      <c r="CR9" s="66">
        <v>46</v>
      </c>
      <c r="CS9" s="66">
        <v>15</v>
      </c>
      <c r="CT9" s="66">
        <v>10</v>
      </c>
      <c r="CU9" s="66">
        <v>0.2</v>
      </c>
      <c r="CV9" s="66" t="s">
        <v>178</v>
      </c>
      <c r="CW9" s="66" t="s">
        <v>666</v>
      </c>
      <c r="CX9" s="66" t="s">
        <v>180</v>
      </c>
      <c r="CY9" s="66" t="s">
        <v>181</v>
      </c>
      <c r="CZ9" s="66" t="s">
        <v>622</v>
      </c>
      <c r="DA9" s="66">
        <v>6.5</v>
      </c>
      <c r="DB9" s="66">
        <v>6</v>
      </c>
      <c r="DC9" s="66">
        <v>8</v>
      </c>
      <c r="DD9" s="66">
        <v>5.5</v>
      </c>
      <c r="DE9" s="66">
        <v>4</v>
      </c>
      <c r="DF9" s="66">
        <v>6.5</v>
      </c>
      <c r="DG9" s="66">
        <v>9</v>
      </c>
      <c r="DH9" s="66" t="s">
        <v>635</v>
      </c>
      <c r="DI9" s="66" t="s">
        <v>636</v>
      </c>
      <c r="DJ9" s="66" t="s">
        <v>637</v>
      </c>
      <c r="DK9" s="66" t="s">
        <v>638</v>
      </c>
      <c r="DL9" s="66" t="s">
        <v>639</v>
      </c>
      <c r="DM9" s="66" t="s">
        <v>640</v>
      </c>
      <c r="DN9" s="66" t="s">
        <v>641</v>
      </c>
      <c r="DO9" s="66" t="s">
        <v>691</v>
      </c>
      <c r="DP9" s="66">
        <v>7</v>
      </c>
      <c r="DQ9" s="66">
        <v>905</v>
      </c>
      <c r="DR9" s="66">
        <v>44233</v>
      </c>
      <c r="DS9" s="66">
        <v>2.64</v>
      </c>
    </row>
    <row r="10" spans="1:123" ht="20.100000000000001" customHeight="1" outlineLevel="1" x14ac:dyDescent="0.25">
      <c r="A10" s="62">
        <v>7</v>
      </c>
      <c r="B10" s="63">
        <v>46039</v>
      </c>
      <c r="C10" s="62" t="s">
        <v>245</v>
      </c>
      <c r="D10" s="62" t="s">
        <v>669</v>
      </c>
      <c r="E10" s="62">
        <v>52</v>
      </c>
      <c r="F10" s="62">
        <v>69</v>
      </c>
      <c r="G10" s="62">
        <f>'Hikes - High'!N6</f>
        <v>146</v>
      </c>
      <c r="H10" s="62" t="s">
        <v>242</v>
      </c>
      <c r="I10" s="62" t="s">
        <v>307</v>
      </c>
      <c r="J10" s="62" t="s">
        <v>670</v>
      </c>
      <c r="K10" s="62">
        <v>8.76</v>
      </c>
      <c r="L10" s="62">
        <v>4078</v>
      </c>
      <c r="M10" s="62">
        <v>4088</v>
      </c>
      <c r="N10" s="62">
        <v>345</v>
      </c>
      <c r="O10" s="64">
        <v>0.35416666666666702</v>
      </c>
      <c r="P10" s="64">
        <v>0.59375</v>
      </c>
      <c r="Q10" s="62">
        <v>128</v>
      </c>
      <c r="R10" s="62">
        <v>155</v>
      </c>
      <c r="S10" s="65">
        <v>-1.0500000000000001E-2</v>
      </c>
      <c r="T10" s="62">
        <v>3.2</v>
      </c>
      <c r="U10" s="62">
        <v>0</v>
      </c>
      <c r="V10" s="62">
        <v>81</v>
      </c>
      <c r="W10" s="62">
        <v>6123</v>
      </c>
      <c r="X10" s="62">
        <v>10078</v>
      </c>
      <c r="Y10" s="62">
        <v>46</v>
      </c>
      <c r="Z10" s="62" t="s">
        <v>1646</v>
      </c>
      <c r="AA10" s="62">
        <v>63</v>
      </c>
      <c r="AB10" s="62">
        <v>82</v>
      </c>
      <c r="AC10" s="62">
        <v>72</v>
      </c>
      <c r="AD10" s="62" t="s">
        <v>211</v>
      </c>
      <c r="AE10" s="62" t="s">
        <v>210</v>
      </c>
      <c r="AF10" s="62" t="s">
        <v>107</v>
      </c>
      <c r="AG10" s="62" t="s">
        <v>404</v>
      </c>
      <c r="AH10" s="62" t="s">
        <v>151</v>
      </c>
      <c r="AI10" s="62" t="s">
        <v>315</v>
      </c>
      <c r="AJ10" s="62" t="s">
        <v>673</v>
      </c>
      <c r="AK10" s="62" t="s">
        <v>674</v>
      </c>
      <c r="AL10" s="62">
        <v>1.5</v>
      </c>
      <c r="AM10" s="62" t="s">
        <v>669</v>
      </c>
      <c r="AN10" s="62">
        <v>1.7</v>
      </c>
      <c r="AO10" s="62">
        <v>1.7</v>
      </c>
      <c r="AP10" s="62">
        <v>2.2999999999999998</v>
      </c>
      <c r="AQ10" s="62">
        <v>6.2</v>
      </c>
      <c r="AR10" s="62">
        <v>1.5</v>
      </c>
      <c r="AS10" s="62">
        <v>1.6</v>
      </c>
      <c r="AT10" s="62" t="s">
        <v>28</v>
      </c>
      <c r="AU10" s="62" t="s">
        <v>37</v>
      </c>
      <c r="AV10" s="62" t="s">
        <v>52</v>
      </c>
      <c r="AW10" s="62" t="s">
        <v>59</v>
      </c>
      <c r="AX10" s="62" t="s">
        <v>66</v>
      </c>
      <c r="AY10" s="62" t="s">
        <v>77</v>
      </c>
      <c r="AZ10" s="62" t="s">
        <v>84</v>
      </c>
      <c r="BA10" s="62" t="s">
        <v>599</v>
      </c>
      <c r="BB10" s="62">
        <v>76</v>
      </c>
      <c r="BC10" s="62">
        <v>335</v>
      </c>
      <c r="BD10" s="62">
        <v>77</v>
      </c>
      <c r="BE10" s="62">
        <v>85</v>
      </c>
      <c r="BF10" s="62">
        <v>233</v>
      </c>
      <c r="BG10" s="62">
        <v>34</v>
      </c>
      <c r="BH10" s="62">
        <v>57</v>
      </c>
      <c r="BI10" s="62">
        <v>63</v>
      </c>
      <c r="BJ10" s="62">
        <v>41</v>
      </c>
      <c r="BK10" s="62">
        <v>16</v>
      </c>
      <c r="BL10" s="62">
        <v>14</v>
      </c>
      <c r="BM10" s="62">
        <v>0.3</v>
      </c>
      <c r="BN10" s="62" t="s">
        <v>309</v>
      </c>
      <c r="BO10" s="62" t="s">
        <v>666</v>
      </c>
      <c r="BP10" s="62" t="s">
        <v>180</v>
      </c>
      <c r="BQ10" s="62" t="s">
        <v>181</v>
      </c>
      <c r="BR10" s="62" t="s">
        <v>607</v>
      </c>
      <c r="BS10" s="62">
        <v>50</v>
      </c>
      <c r="BT10" s="62">
        <v>359</v>
      </c>
      <c r="BU10" s="62">
        <v>118</v>
      </c>
      <c r="BV10" s="62">
        <v>15</v>
      </c>
      <c r="BW10" s="62">
        <v>226</v>
      </c>
      <c r="BX10" s="62">
        <v>55</v>
      </c>
      <c r="BY10" s="62">
        <v>63</v>
      </c>
      <c r="BZ10" s="62">
        <v>69</v>
      </c>
      <c r="CA10" s="62">
        <v>25</v>
      </c>
      <c r="CB10" s="62">
        <v>18</v>
      </c>
      <c r="CC10" s="62">
        <v>25</v>
      </c>
      <c r="CD10" s="62">
        <v>-0.5</v>
      </c>
      <c r="CE10" s="62" t="s">
        <v>199</v>
      </c>
      <c r="CF10" s="62" t="s">
        <v>200</v>
      </c>
      <c r="CG10" s="62" t="s">
        <v>201</v>
      </c>
      <c r="CH10" s="62" t="s">
        <v>181</v>
      </c>
      <c r="CI10" s="62" t="s">
        <v>614</v>
      </c>
      <c r="CJ10" s="62">
        <v>39</v>
      </c>
      <c r="CK10" s="62">
        <v>291</v>
      </c>
      <c r="CL10" s="62">
        <v>28</v>
      </c>
      <c r="CM10" s="62">
        <v>0</v>
      </c>
      <c r="CN10" s="62">
        <v>263</v>
      </c>
      <c r="CO10" s="62">
        <v>81</v>
      </c>
      <c r="CP10" s="62">
        <v>63</v>
      </c>
      <c r="CQ10" s="62">
        <v>65</v>
      </c>
      <c r="CR10" s="62">
        <v>43</v>
      </c>
      <c r="CS10" s="62">
        <v>12</v>
      </c>
      <c r="CT10" s="62">
        <v>14</v>
      </c>
      <c r="CU10" s="62">
        <v>0.8</v>
      </c>
      <c r="CV10" s="62" t="s">
        <v>253</v>
      </c>
      <c r="CW10" s="62" t="s">
        <v>668</v>
      </c>
      <c r="CX10" s="62" t="s">
        <v>180</v>
      </c>
      <c r="CY10" s="62" t="s">
        <v>410</v>
      </c>
      <c r="CZ10" s="62" t="s">
        <v>623</v>
      </c>
      <c r="DA10" s="62">
        <v>8.5</v>
      </c>
      <c r="DB10" s="62">
        <v>8</v>
      </c>
      <c r="DC10" s="62">
        <v>9</v>
      </c>
      <c r="DD10" s="62">
        <v>8.5</v>
      </c>
      <c r="DE10" s="62">
        <v>7</v>
      </c>
      <c r="DF10" s="62">
        <v>6.5</v>
      </c>
      <c r="DG10" s="62">
        <v>8.5</v>
      </c>
      <c r="DH10" s="62" t="s">
        <v>642</v>
      </c>
      <c r="DI10" s="62" t="s">
        <v>643</v>
      </c>
      <c r="DJ10" s="62" t="s">
        <v>644</v>
      </c>
      <c r="DK10" s="62" t="s">
        <v>645</v>
      </c>
      <c r="DL10" s="62" t="s">
        <v>646</v>
      </c>
      <c r="DM10" s="62" t="s">
        <v>647</v>
      </c>
      <c r="DN10" s="62" t="s">
        <v>634</v>
      </c>
      <c r="DO10" s="62" t="s">
        <v>690</v>
      </c>
      <c r="DP10" s="62">
        <v>6.3</v>
      </c>
      <c r="DQ10" s="62">
        <v>343</v>
      </c>
      <c r="DR10" s="62">
        <v>24076</v>
      </c>
      <c r="DS10" s="62">
        <v>2.13</v>
      </c>
    </row>
    <row r="11" spans="1:123" ht="20.100000000000001" customHeight="1" outlineLevel="1" x14ac:dyDescent="0.25">
      <c r="A11" s="66">
        <v>8</v>
      </c>
      <c r="B11" s="67">
        <v>46047</v>
      </c>
      <c r="C11" s="66" t="s">
        <v>245</v>
      </c>
      <c r="D11" s="66" t="s">
        <v>669</v>
      </c>
      <c r="E11" s="66">
        <v>52</v>
      </c>
      <c r="F11" s="66">
        <v>69</v>
      </c>
      <c r="G11" s="62">
        <f>'Hikes - High'!O6</f>
        <v>146</v>
      </c>
      <c r="H11" s="66" t="s">
        <v>408</v>
      </c>
      <c r="I11" s="66" t="s">
        <v>307</v>
      </c>
      <c r="J11" s="66" t="s">
        <v>671</v>
      </c>
      <c r="K11" s="66">
        <v>8.3000000000000007</v>
      </c>
      <c r="L11" s="66">
        <v>3996</v>
      </c>
      <c r="M11" s="66">
        <v>4242</v>
      </c>
      <c r="N11" s="66">
        <v>341</v>
      </c>
      <c r="O11" s="68">
        <v>0.39583333333333298</v>
      </c>
      <c r="P11" s="68">
        <v>0.63263888888888897</v>
      </c>
      <c r="Q11" s="66">
        <v>128</v>
      </c>
      <c r="R11" s="66">
        <v>151</v>
      </c>
      <c r="S11" s="69">
        <v>-2.0000000000000001E-4</v>
      </c>
      <c r="T11" s="66">
        <v>3.3</v>
      </c>
      <c r="U11" s="66">
        <v>0.1</v>
      </c>
      <c r="V11" s="66">
        <v>85</v>
      </c>
      <c r="W11" s="66">
        <v>5909</v>
      </c>
      <c r="X11" s="66">
        <v>10072</v>
      </c>
      <c r="Y11" s="66">
        <v>46</v>
      </c>
      <c r="Z11" s="66" t="s">
        <v>1646</v>
      </c>
      <c r="AA11" s="66">
        <v>50</v>
      </c>
      <c r="AB11" s="66">
        <v>75</v>
      </c>
      <c r="AC11" s="66">
        <v>59</v>
      </c>
      <c r="AD11" s="66" t="s">
        <v>211</v>
      </c>
      <c r="AE11" s="66" t="s">
        <v>210</v>
      </c>
      <c r="AF11" s="66" t="s">
        <v>107</v>
      </c>
      <c r="AG11" s="66" t="s">
        <v>404</v>
      </c>
      <c r="AH11" s="66" t="s">
        <v>151</v>
      </c>
      <c r="AI11" s="66" t="s">
        <v>419</v>
      </c>
      <c r="AJ11" s="66" t="s">
        <v>673</v>
      </c>
      <c r="AK11" s="66" t="s">
        <v>674</v>
      </c>
      <c r="AL11" s="66">
        <v>2</v>
      </c>
      <c r="AM11" s="66" t="s">
        <v>673</v>
      </c>
      <c r="AN11" s="66">
        <v>2.1</v>
      </c>
      <c r="AO11" s="66">
        <v>2.1</v>
      </c>
      <c r="AP11" s="66">
        <v>2.6</v>
      </c>
      <c r="AQ11" s="66">
        <v>8.4</v>
      </c>
      <c r="AR11" s="66">
        <v>1.9</v>
      </c>
      <c r="AS11" s="66" t="s">
        <v>260</v>
      </c>
      <c r="AT11" s="66" t="s">
        <v>28</v>
      </c>
      <c r="AU11" s="66" t="s">
        <v>37</v>
      </c>
      <c r="AV11" s="66" t="s">
        <v>52</v>
      </c>
      <c r="AW11" s="66" t="s">
        <v>59</v>
      </c>
      <c r="AX11" s="66" t="s">
        <v>66</v>
      </c>
      <c r="AY11" s="66" t="s">
        <v>77</v>
      </c>
      <c r="AZ11" s="66" t="s">
        <v>84</v>
      </c>
      <c r="BA11" s="66" t="s">
        <v>600</v>
      </c>
      <c r="BB11" s="66">
        <v>91</v>
      </c>
      <c r="BC11" s="66">
        <v>441</v>
      </c>
      <c r="BD11" s="66">
        <v>104</v>
      </c>
      <c r="BE11" s="66">
        <v>90</v>
      </c>
      <c r="BF11" s="66">
        <v>248</v>
      </c>
      <c r="BG11" s="66">
        <v>10</v>
      </c>
      <c r="BH11" s="66">
        <v>61</v>
      </c>
      <c r="BI11" s="66">
        <v>66</v>
      </c>
      <c r="BJ11" s="66">
        <v>41</v>
      </c>
      <c r="BK11" s="66">
        <v>15</v>
      </c>
      <c r="BL11" s="66">
        <v>12</v>
      </c>
      <c r="BM11" s="66">
        <v>0.6</v>
      </c>
      <c r="BN11" s="66" t="s">
        <v>178</v>
      </c>
      <c r="BO11" s="66" t="s">
        <v>666</v>
      </c>
      <c r="BP11" s="66" t="s">
        <v>180</v>
      </c>
      <c r="BQ11" s="66" t="s">
        <v>181</v>
      </c>
      <c r="BR11" s="66" t="s">
        <v>608</v>
      </c>
      <c r="BS11" s="66">
        <v>62</v>
      </c>
      <c r="BT11" s="66">
        <v>405</v>
      </c>
      <c r="BU11" s="66">
        <v>92</v>
      </c>
      <c r="BV11" s="66">
        <v>52</v>
      </c>
      <c r="BW11" s="66">
        <v>261</v>
      </c>
      <c r="BX11" s="66">
        <v>64</v>
      </c>
      <c r="BY11" s="66">
        <v>61</v>
      </c>
      <c r="BZ11" s="66">
        <v>69</v>
      </c>
      <c r="CA11" s="66">
        <v>29</v>
      </c>
      <c r="CB11" s="66">
        <v>16</v>
      </c>
      <c r="CC11" s="66">
        <v>23</v>
      </c>
      <c r="CD11" s="66">
        <v>0.3</v>
      </c>
      <c r="CE11" s="66" t="s">
        <v>199</v>
      </c>
      <c r="CF11" s="66" t="s">
        <v>200</v>
      </c>
      <c r="CG11" s="66" t="s">
        <v>201</v>
      </c>
      <c r="CH11" s="66" t="s">
        <v>181</v>
      </c>
      <c r="CI11" s="66" t="s">
        <v>615</v>
      </c>
      <c r="CJ11" s="66">
        <v>71</v>
      </c>
      <c r="CK11" s="66">
        <v>334</v>
      </c>
      <c r="CL11" s="66">
        <v>60</v>
      </c>
      <c r="CM11" s="66">
        <v>62</v>
      </c>
      <c r="CN11" s="66">
        <v>212</v>
      </c>
      <c r="CO11" s="66">
        <v>26</v>
      </c>
      <c r="CP11" s="66">
        <v>60</v>
      </c>
      <c r="CQ11" s="66">
        <v>67</v>
      </c>
      <c r="CR11" s="66">
        <v>40</v>
      </c>
      <c r="CS11" s="66">
        <v>16</v>
      </c>
      <c r="CT11" s="66">
        <v>15</v>
      </c>
      <c r="CU11" s="66">
        <v>-0.6</v>
      </c>
      <c r="CV11" s="66" t="s">
        <v>309</v>
      </c>
      <c r="CW11" s="66" t="s">
        <v>668</v>
      </c>
      <c r="CX11" s="66" t="s">
        <v>180</v>
      </c>
      <c r="CY11" s="66" t="s">
        <v>181</v>
      </c>
      <c r="CZ11" s="66" t="s">
        <v>624</v>
      </c>
      <c r="DA11" s="66">
        <v>8.5</v>
      </c>
      <c r="DB11" s="66">
        <v>8</v>
      </c>
      <c r="DC11" s="66">
        <v>9</v>
      </c>
      <c r="DD11" s="66">
        <v>8.5</v>
      </c>
      <c r="DE11" s="66">
        <v>7</v>
      </c>
      <c r="DF11" s="66">
        <v>6.5</v>
      </c>
      <c r="DG11" s="66">
        <v>8.5</v>
      </c>
      <c r="DH11" s="66" t="s">
        <v>648</v>
      </c>
      <c r="DI11" s="66" t="s">
        <v>649</v>
      </c>
      <c r="DJ11" s="66" t="s">
        <v>650</v>
      </c>
      <c r="DK11" s="66" t="s">
        <v>651</v>
      </c>
      <c r="DL11" s="66" t="s">
        <v>652</v>
      </c>
      <c r="DM11" s="66" t="s">
        <v>653</v>
      </c>
      <c r="DN11" s="66" t="s">
        <v>654</v>
      </c>
      <c r="DO11" s="66" t="s">
        <v>690</v>
      </c>
      <c r="DP11" s="66">
        <v>6.2</v>
      </c>
      <c r="DQ11" s="66">
        <v>166</v>
      </c>
      <c r="DR11" s="66">
        <v>20150</v>
      </c>
      <c r="DS11" s="66">
        <v>2.4500000000000002</v>
      </c>
    </row>
    <row r="12" spans="1:123" ht="20.100000000000001" customHeight="1" outlineLevel="1" x14ac:dyDescent="0.25">
      <c r="A12" s="62">
        <v>9</v>
      </c>
      <c r="B12" s="63">
        <v>46053</v>
      </c>
      <c r="C12" s="62" t="s">
        <v>245</v>
      </c>
      <c r="D12" s="62" t="s">
        <v>669</v>
      </c>
      <c r="E12" s="62">
        <v>52</v>
      </c>
      <c r="F12" s="62">
        <v>69</v>
      </c>
      <c r="G12" s="62">
        <f>'Hikes - High'!P6</f>
        <v>146</v>
      </c>
      <c r="H12" s="62" t="s">
        <v>302</v>
      </c>
      <c r="I12" s="62" t="s">
        <v>306</v>
      </c>
      <c r="J12" s="62" t="s">
        <v>671</v>
      </c>
      <c r="K12" s="62">
        <v>8.65</v>
      </c>
      <c r="L12" s="62">
        <v>4042</v>
      </c>
      <c r="M12" s="62">
        <v>4035</v>
      </c>
      <c r="N12" s="62">
        <v>324</v>
      </c>
      <c r="O12" s="64">
        <v>0.375</v>
      </c>
      <c r="P12" s="64">
        <v>0.6</v>
      </c>
      <c r="Q12" s="62">
        <v>128</v>
      </c>
      <c r="R12" s="62">
        <v>150</v>
      </c>
      <c r="S12" s="65">
        <v>-1.52E-2</v>
      </c>
      <c r="T12" s="62">
        <v>3.2</v>
      </c>
      <c r="U12" s="62">
        <v>0</v>
      </c>
      <c r="V12" s="62">
        <v>76</v>
      </c>
      <c r="W12" s="62">
        <v>6129</v>
      </c>
      <c r="X12" s="62">
        <v>10111</v>
      </c>
      <c r="Y12" s="62">
        <v>46</v>
      </c>
      <c r="Z12" s="62" t="s">
        <v>1646</v>
      </c>
      <c r="AA12" s="62">
        <v>61</v>
      </c>
      <c r="AB12" s="62">
        <v>84</v>
      </c>
      <c r="AC12" s="62">
        <v>71</v>
      </c>
      <c r="AD12" s="62" t="s">
        <v>211</v>
      </c>
      <c r="AE12" s="62" t="s">
        <v>428</v>
      </c>
      <c r="AF12" s="62" t="s">
        <v>107</v>
      </c>
      <c r="AG12" s="62" t="s">
        <v>404</v>
      </c>
      <c r="AH12" s="62" t="s">
        <v>151</v>
      </c>
      <c r="AI12" s="62" t="s">
        <v>366</v>
      </c>
      <c r="AJ12" s="62" t="s">
        <v>675</v>
      </c>
      <c r="AK12" s="62" t="s">
        <v>674</v>
      </c>
      <c r="AL12" s="62">
        <v>2</v>
      </c>
      <c r="AM12" s="62" t="s">
        <v>673</v>
      </c>
      <c r="AN12" s="62">
        <v>2.2000000000000002</v>
      </c>
      <c r="AO12" s="62">
        <v>2.2000000000000002</v>
      </c>
      <c r="AP12" s="62">
        <v>1.9</v>
      </c>
      <c r="AQ12" s="62">
        <v>6.8</v>
      </c>
      <c r="AR12" s="62">
        <v>1.8</v>
      </c>
      <c r="AS12" s="62">
        <v>2.1</v>
      </c>
      <c r="AT12" s="62" t="s">
        <v>28</v>
      </c>
      <c r="AU12" s="62" t="s">
        <v>37</v>
      </c>
      <c r="AV12" s="62" t="s">
        <v>52</v>
      </c>
      <c r="AW12" s="62" t="s">
        <v>59</v>
      </c>
      <c r="AX12" s="62" t="s">
        <v>66</v>
      </c>
      <c r="AY12" s="62" t="s">
        <v>77</v>
      </c>
      <c r="AZ12" s="62" t="s">
        <v>84</v>
      </c>
      <c r="BA12" s="62" t="s">
        <v>601</v>
      </c>
      <c r="BB12" s="62">
        <v>52</v>
      </c>
      <c r="BC12" s="62">
        <v>419</v>
      </c>
      <c r="BD12" s="62">
        <v>64</v>
      </c>
      <c r="BE12" s="62">
        <v>75</v>
      </c>
      <c r="BF12" s="62">
        <v>261</v>
      </c>
      <c r="BG12" s="62">
        <v>102</v>
      </c>
      <c r="BH12" s="62">
        <v>61</v>
      </c>
      <c r="BI12" s="62">
        <v>66</v>
      </c>
      <c r="BJ12" s="62">
        <v>37</v>
      </c>
      <c r="BK12" s="62">
        <v>16</v>
      </c>
      <c r="BL12" s="62">
        <v>16</v>
      </c>
      <c r="BM12" s="62">
        <v>0.1</v>
      </c>
      <c r="BN12" s="62" t="s">
        <v>253</v>
      </c>
      <c r="BO12" s="62" t="s">
        <v>668</v>
      </c>
      <c r="BP12" s="62" t="s">
        <v>180</v>
      </c>
      <c r="BQ12" s="62" t="s">
        <v>432</v>
      </c>
      <c r="BR12" s="62" t="s">
        <v>609</v>
      </c>
      <c r="BS12" s="62">
        <v>56</v>
      </c>
      <c r="BT12" s="62">
        <v>369</v>
      </c>
      <c r="BU12" s="62">
        <v>72</v>
      </c>
      <c r="BV12" s="62">
        <v>5</v>
      </c>
      <c r="BW12" s="62">
        <v>292</v>
      </c>
      <c r="BX12" s="62">
        <v>38</v>
      </c>
      <c r="BY12" s="62">
        <v>62</v>
      </c>
      <c r="BZ12" s="62">
        <v>67</v>
      </c>
      <c r="CA12" s="62">
        <v>32</v>
      </c>
      <c r="CB12" s="62">
        <v>17</v>
      </c>
      <c r="CC12" s="62">
        <v>22</v>
      </c>
      <c r="CD12" s="62">
        <v>-0.6</v>
      </c>
      <c r="CE12" s="62" t="s">
        <v>199</v>
      </c>
      <c r="CF12" s="62" t="s">
        <v>200</v>
      </c>
      <c r="CG12" s="62" t="s">
        <v>201</v>
      </c>
      <c r="CH12" s="62" t="s">
        <v>181</v>
      </c>
      <c r="CI12" s="62" t="s">
        <v>614</v>
      </c>
      <c r="CJ12" s="62">
        <v>59</v>
      </c>
      <c r="CK12" s="62">
        <v>371</v>
      </c>
      <c r="CL12" s="62">
        <v>64</v>
      </c>
      <c r="CM12" s="62">
        <v>23</v>
      </c>
      <c r="CN12" s="62">
        <v>254</v>
      </c>
      <c r="CO12" s="62">
        <v>29</v>
      </c>
      <c r="CP12" s="62">
        <v>63</v>
      </c>
      <c r="CQ12" s="62">
        <v>68</v>
      </c>
      <c r="CR12" s="62">
        <v>31</v>
      </c>
      <c r="CS12" s="62">
        <v>16</v>
      </c>
      <c r="CT12" s="62">
        <v>22</v>
      </c>
      <c r="CU12" s="62">
        <v>0.1</v>
      </c>
      <c r="CV12" s="62" t="s">
        <v>309</v>
      </c>
      <c r="CW12" s="62" t="s">
        <v>668</v>
      </c>
      <c r="CX12" s="62" t="s">
        <v>180</v>
      </c>
      <c r="CY12" s="62" t="s">
        <v>181</v>
      </c>
      <c r="CZ12" s="62" t="s">
        <v>624</v>
      </c>
      <c r="DA12" s="62">
        <v>8.5</v>
      </c>
      <c r="DB12" s="62">
        <v>8</v>
      </c>
      <c r="DC12" s="62">
        <v>9</v>
      </c>
      <c r="DD12" s="62">
        <v>8.5</v>
      </c>
      <c r="DE12" s="62">
        <v>7</v>
      </c>
      <c r="DF12" s="62">
        <v>6.5</v>
      </c>
      <c r="DG12" s="62">
        <v>8.5</v>
      </c>
      <c r="DH12" s="62" t="s">
        <v>655</v>
      </c>
      <c r="DI12" s="62" t="s">
        <v>656</v>
      </c>
      <c r="DJ12" s="62" t="s">
        <v>657</v>
      </c>
      <c r="DK12" s="62" t="s">
        <v>631</v>
      </c>
      <c r="DL12" s="62" t="s">
        <v>658</v>
      </c>
      <c r="DM12" s="62" t="s">
        <v>659</v>
      </c>
      <c r="DN12" s="62" t="s">
        <v>660</v>
      </c>
      <c r="DO12" s="62" t="s">
        <v>690</v>
      </c>
      <c r="DP12" s="62">
        <v>5.8</v>
      </c>
      <c r="DQ12" s="62">
        <v>242</v>
      </c>
      <c r="DR12" s="62">
        <v>30261</v>
      </c>
      <c r="DS12" s="62">
        <v>2.27</v>
      </c>
    </row>
    <row r="13" spans="1:123" ht="20.100000000000001" customHeight="1" outlineLevel="1" x14ac:dyDescent="0.25">
      <c r="A13" s="70">
        <v>10</v>
      </c>
      <c r="B13" s="71">
        <v>46060</v>
      </c>
      <c r="C13" s="70" t="s">
        <v>245</v>
      </c>
      <c r="D13" s="70" t="s">
        <v>669</v>
      </c>
      <c r="E13" s="70">
        <v>52</v>
      </c>
      <c r="F13" s="70">
        <v>69</v>
      </c>
      <c r="G13" s="62">
        <f>'Hikes - High'!Q6</f>
        <v>146</v>
      </c>
      <c r="H13" s="70" t="s">
        <v>592</v>
      </c>
      <c r="I13" s="70" t="s">
        <v>306</v>
      </c>
      <c r="J13" s="70" t="s">
        <v>671</v>
      </c>
      <c r="K13" s="70">
        <v>8.83</v>
      </c>
      <c r="L13" s="70">
        <v>4121</v>
      </c>
      <c r="M13" s="70">
        <v>4117</v>
      </c>
      <c r="N13" s="70">
        <v>327</v>
      </c>
      <c r="O13" s="72">
        <v>0.35416666666666702</v>
      </c>
      <c r="P13" s="72">
        <v>0.58125000000000004</v>
      </c>
      <c r="Q13" s="70">
        <v>128</v>
      </c>
      <c r="R13" s="70">
        <v>150</v>
      </c>
      <c r="S13" s="73">
        <v>-1.7000000000000001E-2</v>
      </c>
      <c r="T13" s="70">
        <v>3</v>
      </c>
      <c r="U13" s="70">
        <v>0</v>
      </c>
      <c r="V13" s="70">
        <v>63</v>
      </c>
      <c r="W13" s="70">
        <v>6114</v>
      </c>
      <c r="X13" s="70">
        <v>10089</v>
      </c>
      <c r="Y13" s="70">
        <v>46</v>
      </c>
      <c r="Z13" s="70" t="s">
        <v>1646</v>
      </c>
      <c r="AA13" s="70">
        <v>45</v>
      </c>
      <c r="AB13" s="70">
        <v>77</v>
      </c>
      <c r="AC13" s="70">
        <v>60</v>
      </c>
      <c r="AD13" s="70" t="s">
        <v>211</v>
      </c>
      <c r="AE13" s="70" t="s">
        <v>449</v>
      </c>
      <c r="AF13" s="70" t="s">
        <v>107</v>
      </c>
      <c r="AG13" s="70" t="s">
        <v>450</v>
      </c>
      <c r="AH13" s="70" t="s">
        <v>151</v>
      </c>
      <c r="AI13" s="70" t="s">
        <v>315</v>
      </c>
      <c r="AJ13" s="70" t="s">
        <v>674</v>
      </c>
      <c r="AK13" s="70" t="s">
        <v>673</v>
      </c>
      <c r="AL13" s="70">
        <v>2</v>
      </c>
      <c r="AM13" s="70" t="s">
        <v>673</v>
      </c>
      <c r="AN13" s="70">
        <v>2.2000000000000002</v>
      </c>
      <c r="AO13" s="70">
        <v>2.2000000000000002</v>
      </c>
      <c r="AP13" s="70" t="s">
        <v>260</v>
      </c>
      <c r="AQ13" s="70">
        <v>7.8</v>
      </c>
      <c r="AR13" s="70">
        <v>2.1</v>
      </c>
      <c r="AS13" s="70">
        <v>2.1</v>
      </c>
      <c r="AT13" s="70" t="s">
        <v>28</v>
      </c>
      <c r="AU13" s="70" t="s">
        <v>37</v>
      </c>
      <c r="AV13" s="70" t="s">
        <v>52</v>
      </c>
      <c r="AW13" s="70" t="s">
        <v>59</v>
      </c>
      <c r="AX13" s="70" t="s">
        <v>66</v>
      </c>
      <c r="AY13" s="70" t="s">
        <v>77</v>
      </c>
      <c r="AZ13" s="70" t="s">
        <v>84</v>
      </c>
      <c r="BA13" s="70" t="s">
        <v>602</v>
      </c>
      <c r="BB13" s="70">
        <v>78</v>
      </c>
      <c r="BC13" s="70">
        <v>358</v>
      </c>
      <c r="BD13" s="70">
        <v>72</v>
      </c>
      <c r="BE13" s="70">
        <v>67</v>
      </c>
      <c r="BF13" s="70">
        <v>219</v>
      </c>
      <c r="BG13" s="70">
        <v>6</v>
      </c>
      <c r="BH13" s="70">
        <v>57</v>
      </c>
      <c r="BI13" s="70">
        <v>62</v>
      </c>
      <c r="BJ13" s="70">
        <v>36</v>
      </c>
      <c r="BK13" s="70">
        <v>15</v>
      </c>
      <c r="BL13" s="70">
        <v>12</v>
      </c>
      <c r="BM13" s="70">
        <v>-0.2</v>
      </c>
      <c r="BN13" s="70" t="s">
        <v>309</v>
      </c>
      <c r="BO13" s="70" t="s">
        <v>666</v>
      </c>
      <c r="BP13" s="70" t="s">
        <v>180</v>
      </c>
      <c r="BQ13" s="70" t="s">
        <v>432</v>
      </c>
      <c r="BR13" s="70" t="s">
        <v>610</v>
      </c>
      <c r="BS13" s="70">
        <v>71</v>
      </c>
      <c r="BT13" s="70">
        <v>308</v>
      </c>
      <c r="BU13" s="70">
        <v>89</v>
      </c>
      <c r="BV13" s="70">
        <v>63</v>
      </c>
      <c r="BW13" s="70">
        <v>216</v>
      </c>
      <c r="BX13" s="70">
        <v>29</v>
      </c>
      <c r="BY13" s="70">
        <v>63</v>
      </c>
      <c r="BZ13" s="70">
        <v>67</v>
      </c>
      <c r="CA13" s="70">
        <v>23</v>
      </c>
      <c r="CB13" s="70">
        <v>17</v>
      </c>
      <c r="CC13" s="70">
        <v>24</v>
      </c>
      <c r="CD13" s="70">
        <v>-0.1</v>
      </c>
      <c r="CE13" s="70" t="s">
        <v>199</v>
      </c>
      <c r="CF13" s="70" t="s">
        <v>200</v>
      </c>
      <c r="CG13" s="70" t="s">
        <v>201</v>
      </c>
      <c r="CH13" s="70" t="s">
        <v>181</v>
      </c>
      <c r="CI13" s="70" t="s">
        <v>616</v>
      </c>
      <c r="CJ13" s="70">
        <v>65</v>
      </c>
      <c r="CK13" s="70">
        <v>412</v>
      </c>
      <c r="CL13" s="70">
        <v>92</v>
      </c>
      <c r="CM13" s="70">
        <v>84</v>
      </c>
      <c r="CN13" s="70">
        <v>236</v>
      </c>
      <c r="CO13" s="70">
        <v>59</v>
      </c>
      <c r="CP13" s="70">
        <v>61</v>
      </c>
      <c r="CQ13" s="70">
        <v>66</v>
      </c>
      <c r="CR13" s="70">
        <v>39</v>
      </c>
      <c r="CS13" s="70">
        <v>15</v>
      </c>
      <c r="CT13" s="70">
        <v>16</v>
      </c>
      <c r="CU13" s="70">
        <v>0.3</v>
      </c>
      <c r="CV13" s="70" t="s">
        <v>309</v>
      </c>
      <c r="CW13" s="70" t="s">
        <v>668</v>
      </c>
      <c r="CX13" s="70" t="s">
        <v>180</v>
      </c>
      <c r="CY13" s="70" t="s">
        <v>181</v>
      </c>
      <c r="CZ13" s="70" t="s">
        <v>625</v>
      </c>
      <c r="DA13" s="70">
        <v>8.5</v>
      </c>
      <c r="DB13" s="70">
        <v>8</v>
      </c>
      <c r="DC13" s="70">
        <v>9</v>
      </c>
      <c r="DD13" s="70">
        <v>8.5</v>
      </c>
      <c r="DE13" s="70">
        <v>7</v>
      </c>
      <c r="DF13" s="70">
        <v>6.5</v>
      </c>
      <c r="DG13" s="70">
        <v>8.5</v>
      </c>
      <c r="DH13" s="70" t="s">
        <v>661</v>
      </c>
      <c r="DI13" s="70" t="s">
        <v>656</v>
      </c>
      <c r="DJ13" s="70" t="s">
        <v>662</v>
      </c>
      <c r="DK13" s="70" t="s">
        <v>663</v>
      </c>
      <c r="DL13" s="70" t="s">
        <v>658</v>
      </c>
      <c r="DM13" s="70" t="s">
        <v>664</v>
      </c>
      <c r="DN13" s="70" t="s">
        <v>660</v>
      </c>
      <c r="DO13" s="66" t="s">
        <v>690</v>
      </c>
      <c r="DP13" s="66">
        <v>6.4</v>
      </c>
      <c r="DQ13" s="66">
        <v>305</v>
      </c>
      <c r="DR13" s="66">
        <v>40350</v>
      </c>
      <c r="DS13" s="66">
        <v>2.27</v>
      </c>
    </row>
    <row r="14" spans="1:123" outlineLevel="1" x14ac:dyDescent="0.25">
      <c r="A14" s="62">
        <v>11</v>
      </c>
      <c r="B14" s="63">
        <v>46068</v>
      </c>
      <c r="C14" s="62" t="s">
        <v>695</v>
      </c>
      <c r="D14" s="62" t="s">
        <v>669</v>
      </c>
      <c r="E14" s="62">
        <v>52</v>
      </c>
      <c r="F14" s="62">
        <v>69</v>
      </c>
      <c r="G14" s="62">
        <f>'Hikes - High'!R6</f>
        <v>146</v>
      </c>
      <c r="H14" s="62" t="s">
        <v>694</v>
      </c>
      <c r="I14" s="62" t="s">
        <v>306</v>
      </c>
      <c r="J14" s="62" t="s">
        <v>671</v>
      </c>
      <c r="K14" s="62">
        <v>15</v>
      </c>
      <c r="L14" s="62">
        <v>4770</v>
      </c>
      <c r="M14" s="62">
        <v>4738</v>
      </c>
      <c r="N14" s="62">
        <v>339</v>
      </c>
      <c r="O14" s="64">
        <v>0.27083333333333298</v>
      </c>
      <c r="P14" s="64">
        <v>0.50624999999999998</v>
      </c>
      <c r="Q14" s="62">
        <v>128</v>
      </c>
      <c r="R14" s="62">
        <v>165</v>
      </c>
      <c r="S14" s="65">
        <v>-9.1999999999999998E-3</v>
      </c>
      <c r="T14" s="62">
        <v>3.7</v>
      </c>
      <c r="U14" s="62">
        <v>0.1</v>
      </c>
      <c r="V14" s="62">
        <v>121</v>
      </c>
      <c r="W14" s="62">
        <v>1806</v>
      </c>
      <c r="X14" s="62">
        <v>5762</v>
      </c>
      <c r="Y14" s="62">
        <v>46</v>
      </c>
      <c r="Z14" s="62" t="s">
        <v>1646</v>
      </c>
      <c r="AA14" s="62">
        <v>54</v>
      </c>
      <c r="AB14" s="62">
        <v>77</v>
      </c>
      <c r="AC14" s="62">
        <v>60</v>
      </c>
      <c r="AD14" s="62" t="s">
        <v>696</v>
      </c>
      <c r="AE14" s="62" t="s">
        <v>697</v>
      </c>
      <c r="AF14" s="62" t="s">
        <v>107</v>
      </c>
      <c r="AG14" s="62" t="s">
        <v>159</v>
      </c>
      <c r="AH14" s="62" t="s">
        <v>151</v>
      </c>
      <c r="AI14" s="62" t="s">
        <v>315</v>
      </c>
      <c r="AJ14" s="62" t="s">
        <v>674</v>
      </c>
      <c r="AK14" s="62" t="s">
        <v>712</v>
      </c>
      <c r="AL14" s="62">
        <v>2</v>
      </c>
      <c r="AM14" s="62" t="s">
        <v>673</v>
      </c>
      <c r="AN14" s="62">
        <v>2.1</v>
      </c>
      <c r="AO14" s="62">
        <v>2.1</v>
      </c>
      <c r="AP14" t="s">
        <v>260</v>
      </c>
      <c r="AQ14" s="62">
        <v>11</v>
      </c>
      <c r="AR14" s="62">
        <v>2.4</v>
      </c>
      <c r="AS14" s="62">
        <v>2.2000000000000002</v>
      </c>
      <c r="AT14" s="62" t="s">
        <v>665</v>
      </c>
      <c r="AU14" s="62" t="s">
        <v>37</v>
      </c>
      <c r="AV14" s="62" t="s">
        <v>48</v>
      </c>
      <c r="AW14" s="62" t="s">
        <v>59</v>
      </c>
      <c r="AX14" s="62" t="s">
        <v>66</v>
      </c>
      <c r="AY14" s="62" t="s">
        <v>77</v>
      </c>
      <c r="AZ14" s="62" t="s">
        <v>84</v>
      </c>
      <c r="BA14" s="62" t="s">
        <v>699</v>
      </c>
      <c r="BB14" s="62">
        <v>57</v>
      </c>
      <c r="BC14" s="62">
        <v>254</v>
      </c>
      <c r="BD14" s="62">
        <v>70</v>
      </c>
      <c r="BE14" s="62">
        <v>48</v>
      </c>
      <c r="BF14" s="62">
        <v>136</v>
      </c>
      <c r="BG14" s="62">
        <v>5</v>
      </c>
      <c r="BH14" s="62">
        <v>57</v>
      </c>
      <c r="BI14" s="62">
        <v>62</v>
      </c>
      <c r="BJ14" s="62">
        <v>36</v>
      </c>
      <c r="BK14" s="62">
        <v>15</v>
      </c>
      <c r="BL14" s="62">
        <v>14</v>
      </c>
      <c r="BM14" s="62">
        <v>0.2</v>
      </c>
      <c r="BN14" s="62" t="s">
        <v>253</v>
      </c>
      <c r="BO14" s="62" t="s">
        <v>668</v>
      </c>
      <c r="BP14" s="62" t="s">
        <v>180</v>
      </c>
      <c r="BQ14" s="62" t="s">
        <v>432</v>
      </c>
      <c r="BR14" s="62" t="s">
        <v>713</v>
      </c>
      <c r="BS14" s="62">
        <v>54</v>
      </c>
      <c r="BT14" s="62">
        <v>227</v>
      </c>
      <c r="BU14" s="62">
        <v>118</v>
      </c>
      <c r="BV14" s="62">
        <v>25</v>
      </c>
      <c r="BW14" s="62">
        <v>184</v>
      </c>
      <c r="BX14" s="62">
        <v>50</v>
      </c>
      <c r="BY14" s="62">
        <v>65</v>
      </c>
      <c r="BZ14" s="62">
        <v>72</v>
      </c>
      <c r="CA14" s="62">
        <v>24</v>
      </c>
      <c r="CB14" s="62">
        <v>19</v>
      </c>
      <c r="CC14" s="62">
        <v>30</v>
      </c>
      <c r="CD14" s="62">
        <v>-0.5</v>
      </c>
      <c r="CE14" s="62" t="s">
        <v>199</v>
      </c>
      <c r="CF14" s="62" t="s">
        <v>200</v>
      </c>
      <c r="CG14" s="62" t="s">
        <v>201</v>
      </c>
      <c r="CH14" s="62" t="s">
        <v>181</v>
      </c>
      <c r="CI14" s="62" t="s">
        <v>700</v>
      </c>
      <c r="CJ14" s="62">
        <v>64</v>
      </c>
      <c r="CK14" s="62">
        <v>328</v>
      </c>
      <c r="CL14" s="62">
        <v>58</v>
      </c>
      <c r="CM14" s="62">
        <v>19</v>
      </c>
      <c r="CN14" s="62">
        <v>311</v>
      </c>
      <c r="CO14" s="62">
        <v>6</v>
      </c>
      <c r="CP14" s="62">
        <v>63</v>
      </c>
      <c r="CQ14" s="62">
        <v>68</v>
      </c>
      <c r="CR14" s="62">
        <v>35</v>
      </c>
      <c r="CS14" s="62">
        <v>17</v>
      </c>
      <c r="CT14" s="62">
        <v>21</v>
      </c>
      <c r="CU14" s="62">
        <v>0.7</v>
      </c>
      <c r="CV14" s="62" t="s">
        <v>309</v>
      </c>
      <c r="CW14" s="62" t="s">
        <v>668</v>
      </c>
      <c r="CX14" s="62" t="s">
        <v>180</v>
      </c>
      <c r="CY14" s="62" t="s">
        <v>432</v>
      </c>
      <c r="CZ14" s="62" t="s">
        <v>701</v>
      </c>
      <c r="DA14" s="62">
        <v>9</v>
      </c>
      <c r="DB14" s="62">
        <v>9</v>
      </c>
      <c r="DC14" s="62">
        <v>8</v>
      </c>
      <c r="DD14" s="62">
        <v>6</v>
      </c>
      <c r="DE14" s="62">
        <v>7</v>
      </c>
      <c r="DF14" s="62">
        <v>7.5</v>
      </c>
      <c r="DG14" s="62">
        <v>8</v>
      </c>
      <c r="DH14" s="62" t="s">
        <v>702</v>
      </c>
      <c r="DI14" s="62" t="s">
        <v>703</v>
      </c>
      <c r="DJ14" s="62" t="s">
        <v>714</v>
      </c>
      <c r="DK14" s="62" t="s">
        <v>705</v>
      </c>
      <c r="DL14" s="62" t="s">
        <v>715</v>
      </c>
      <c r="DM14" s="62" t="s">
        <v>707</v>
      </c>
      <c r="DN14" s="62" t="s">
        <v>708</v>
      </c>
      <c r="DO14" s="62" t="s">
        <v>689</v>
      </c>
      <c r="DP14" s="62">
        <v>7</v>
      </c>
      <c r="DQ14" s="62">
        <v>345</v>
      </c>
      <c r="DR14" s="62">
        <v>36034</v>
      </c>
      <c r="DS14" s="62">
        <v>2.25</v>
      </c>
    </row>
    <row r="15" spans="1:123" outlineLevel="1" x14ac:dyDescent="0.25">
      <c r="A15" s="66">
        <v>12</v>
      </c>
      <c r="B15" s="67">
        <v>46075</v>
      </c>
      <c r="C15" s="66" t="s">
        <v>695</v>
      </c>
      <c r="D15" s="66" t="s">
        <v>669</v>
      </c>
      <c r="E15" s="66">
        <v>52</v>
      </c>
      <c r="F15" s="66">
        <v>69</v>
      </c>
      <c r="G15" s="62">
        <f>'Hikes - High'!S6</f>
        <v>145</v>
      </c>
      <c r="H15" s="66" t="s">
        <v>709</v>
      </c>
      <c r="I15" s="66" t="s">
        <v>306</v>
      </c>
      <c r="J15" s="66" t="s">
        <v>671</v>
      </c>
      <c r="K15" s="66">
        <v>13.6</v>
      </c>
      <c r="L15" s="66">
        <v>4501</v>
      </c>
      <c r="M15" s="66">
        <v>4465</v>
      </c>
      <c r="N15" s="66">
        <v>335</v>
      </c>
      <c r="O15" s="68">
        <v>0.26388888888888901</v>
      </c>
      <c r="P15" s="68">
        <v>0.49652777777777801</v>
      </c>
      <c r="Q15" s="66">
        <v>126</v>
      </c>
      <c r="R15" s="66">
        <v>153</v>
      </c>
      <c r="S15" s="69">
        <v>0.01</v>
      </c>
      <c r="T15" s="66">
        <v>3.2</v>
      </c>
      <c r="U15" s="66">
        <v>0</v>
      </c>
      <c r="V15" s="66">
        <v>79</v>
      </c>
      <c r="W15" s="66">
        <v>1806</v>
      </c>
      <c r="X15" s="66">
        <v>5693</v>
      </c>
      <c r="Y15" s="66">
        <v>46</v>
      </c>
      <c r="Z15" s="66" t="s">
        <v>1646</v>
      </c>
      <c r="AA15" s="66">
        <v>48</v>
      </c>
      <c r="AB15" s="66">
        <v>84</v>
      </c>
      <c r="AC15" s="66">
        <v>64</v>
      </c>
      <c r="AD15" s="66" t="s">
        <v>696</v>
      </c>
      <c r="AE15" s="66" t="s">
        <v>710</v>
      </c>
      <c r="AF15" s="66" t="s">
        <v>107</v>
      </c>
      <c r="AG15" s="66" t="s">
        <v>159</v>
      </c>
      <c r="AH15" s="66" t="s">
        <v>151</v>
      </c>
      <c r="AI15" s="66" t="s">
        <v>711</v>
      </c>
      <c r="AJ15" s="66" t="s">
        <v>675</v>
      </c>
      <c r="AK15" s="66" t="s">
        <v>673</v>
      </c>
      <c r="AL15" s="66">
        <v>2</v>
      </c>
      <c r="AM15" s="66" t="s">
        <v>673</v>
      </c>
      <c r="AN15" s="66">
        <v>2.2000000000000002</v>
      </c>
      <c r="AO15" s="66">
        <v>2.2000000000000002</v>
      </c>
      <c r="AP15" t="s">
        <v>260</v>
      </c>
      <c r="AQ15" s="66">
        <v>5.3</v>
      </c>
      <c r="AR15" s="66">
        <v>2.1</v>
      </c>
      <c r="AS15" s="66">
        <v>2</v>
      </c>
      <c r="AT15" s="66" t="s">
        <v>734</v>
      </c>
      <c r="AU15" s="66" t="s">
        <v>37</v>
      </c>
      <c r="AV15" s="66" t="s">
        <v>48</v>
      </c>
      <c r="AW15" s="66" t="s">
        <v>59</v>
      </c>
      <c r="AX15" s="66" t="s">
        <v>66</v>
      </c>
      <c r="AY15" s="66" t="s">
        <v>77</v>
      </c>
      <c r="AZ15" s="66" t="s">
        <v>84</v>
      </c>
      <c r="BA15" s="66" t="s">
        <v>719</v>
      </c>
      <c r="BB15" s="66">
        <v>60</v>
      </c>
      <c r="BC15" s="66">
        <v>352</v>
      </c>
      <c r="BD15" s="66">
        <v>37</v>
      </c>
      <c r="BE15" s="66">
        <v>27</v>
      </c>
      <c r="BF15" s="66">
        <v>288</v>
      </c>
      <c r="BG15" s="66">
        <v>49</v>
      </c>
      <c r="BH15" s="66">
        <v>61</v>
      </c>
      <c r="BI15" s="66">
        <v>65</v>
      </c>
      <c r="BJ15" s="66">
        <v>34</v>
      </c>
      <c r="BK15" s="66">
        <v>17</v>
      </c>
      <c r="BL15" s="66">
        <v>19</v>
      </c>
      <c r="BM15" t="s">
        <v>260</v>
      </c>
      <c r="BN15" s="66" t="s">
        <v>253</v>
      </c>
      <c r="BO15" s="66" t="s">
        <v>668</v>
      </c>
      <c r="BP15" s="66" t="s">
        <v>180</v>
      </c>
      <c r="BQ15" s="66" t="s">
        <v>410</v>
      </c>
      <c r="BR15" s="66" t="s">
        <v>735</v>
      </c>
      <c r="BS15" s="66" t="s">
        <v>260</v>
      </c>
      <c r="BT15" s="66" t="s">
        <v>260</v>
      </c>
      <c r="BU15" s="66" t="s">
        <v>260</v>
      </c>
      <c r="BV15" s="66" t="s">
        <v>260</v>
      </c>
      <c r="BW15" s="66" t="s">
        <v>260</v>
      </c>
      <c r="BX15" s="66" t="s">
        <v>260</v>
      </c>
      <c r="BY15" s="66" t="s">
        <v>260</v>
      </c>
      <c r="BZ15" s="66" t="s">
        <v>260</v>
      </c>
      <c r="CA15" s="66" t="s">
        <v>260</v>
      </c>
      <c r="CB15" s="66" t="s">
        <v>260</v>
      </c>
      <c r="CC15" s="66" t="s">
        <v>260</v>
      </c>
      <c r="CD15" s="66" t="s">
        <v>260</v>
      </c>
      <c r="CE15" s="66" t="s">
        <v>721</v>
      </c>
      <c r="CF15" s="66" t="s">
        <v>722</v>
      </c>
      <c r="CG15" s="66" t="s">
        <v>723</v>
      </c>
      <c r="CH15" s="66" t="s">
        <v>724</v>
      </c>
      <c r="CI15" s="66" t="s">
        <v>725</v>
      </c>
      <c r="CJ15" s="66">
        <v>47</v>
      </c>
      <c r="CK15" s="66">
        <v>254</v>
      </c>
      <c r="CL15" s="66">
        <v>96</v>
      </c>
      <c r="CM15" s="66">
        <v>0</v>
      </c>
      <c r="CN15" s="66">
        <v>158</v>
      </c>
      <c r="CO15" s="66">
        <v>6</v>
      </c>
      <c r="CP15" s="66">
        <v>63</v>
      </c>
      <c r="CQ15" s="66">
        <v>67</v>
      </c>
      <c r="CR15" s="66">
        <v>34</v>
      </c>
      <c r="CS15" s="66">
        <v>16</v>
      </c>
      <c r="CT15" s="66">
        <v>19</v>
      </c>
      <c r="CU15" t="s">
        <v>260</v>
      </c>
      <c r="CV15" s="66" t="s">
        <v>253</v>
      </c>
      <c r="CW15" s="66" t="s">
        <v>668</v>
      </c>
      <c r="CX15" s="66" t="s">
        <v>180</v>
      </c>
      <c r="CY15" s="66" t="s">
        <v>181</v>
      </c>
      <c r="CZ15" s="66" t="s">
        <v>736</v>
      </c>
      <c r="DA15" s="66">
        <v>7.5</v>
      </c>
      <c r="DB15" s="66">
        <v>7</v>
      </c>
      <c r="DC15" s="66">
        <v>8.5</v>
      </c>
      <c r="DD15" s="66">
        <v>6</v>
      </c>
      <c r="DE15" s="66">
        <v>6.5</v>
      </c>
      <c r="DF15" s="66">
        <v>6.5</v>
      </c>
      <c r="DG15" s="66">
        <v>8.5</v>
      </c>
      <c r="DH15" s="66" t="s">
        <v>727</v>
      </c>
      <c r="DI15" s="66" t="s">
        <v>728</v>
      </c>
      <c r="DJ15" s="66" t="s">
        <v>729</v>
      </c>
      <c r="DK15" s="66" t="s">
        <v>730</v>
      </c>
      <c r="DL15" s="66" t="s">
        <v>731</v>
      </c>
      <c r="DM15" s="66" t="s">
        <v>732</v>
      </c>
      <c r="DN15" s="66" t="s">
        <v>733</v>
      </c>
      <c r="DO15" s="66" t="s">
        <v>690</v>
      </c>
      <c r="DP15" s="66">
        <v>7.2</v>
      </c>
      <c r="DQ15" s="66">
        <v>424</v>
      </c>
      <c r="DR15" s="66">
        <v>41727</v>
      </c>
      <c r="DS15" s="66">
        <v>2.25</v>
      </c>
    </row>
    <row r="16" spans="1:123" outlineLevel="1" x14ac:dyDescent="0.25">
      <c r="A16" s="62">
        <v>13</v>
      </c>
      <c r="B16" s="63">
        <v>46082</v>
      </c>
      <c r="C16" s="62" t="s">
        <v>737</v>
      </c>
      <c r="D16" s="62" t="s">
        <v>669</v>
      </c>
      <c r="E16" s="62">
        <v>52</v>
      </c>
      <c r="F16" s="62">
        <v>69</v>
      </c>
      <c r="G16" s="62">
        <f>'Hikes - High'!T6</f>
        <v>145</v>
      </c>
      <c r="H16" s="62" t="s">
        <v>739</v>
      </c>
      <c r="I16" s="62" t="s">
        <v>306</v>
      </c>
      <c r="J16" s="62" t="s">
        <v>671</v>
      </c>
      <c r="K16" s="62">
        <v>9.5</v>
      </c>
      <c r="L16" s="62">
        <v>3235</v>
      </c>
      <c r="M16" s="62">
        <v>3248</v>
      </c>
      <c r="N16" s="62">
        <v>285</v>
      </c>
      <c r="O16" s="64">
        <v>0.45833333333333298</v>
      </c>
      <c r="P16" s="64">
        <v>0.65625</v>
      </c>
      <c r="Q16" s="62">
        <v>130</v>
      </c>
      <c r="R16" s="62">
        <v>159</v>
      </c>
      <c r="S16" s="65">
        <v>-2.8299999999999999E-2</v>
      </c>
      <c r="T16" s="62">
        <v>3.7</v>
      </c>
      <c r="U16" s="62">
        <v>0</v>
      </c>
      <c r="V16" s="62">
        <v>115</v>
      </c>
      <c r="W16" s="62">
        <v>1089</v>
      </c>
      <c r="X16" s="62">
        <v>3898</v>
      </c>
      <c r="Y16" s="62">
        <v>46</v>
      </c>
      <c r="Z16" s="62" t="s">
        <v>1646</v>
      </c>
      <c r="AA16" s="62">
        <v>79</v>
      </c>
      <c r="AB16" s="62">
        <v>97</v>
      </c>
      <c r="AC16" s="62">
        <v>87</v>
      </c>
      <c r="AD16" s="62" t="s">
        <v>111</v>
      </c>
      <c r="AE16" s="62" t="s">
        <v>740</v>
      </c>
      <c r="AF16" s="62" t="s">
        <v>132</v>
      </c>
      <c r="AG16" s="62" t="s">
        <v>159</v>
      </c>
      <c r="AH16" s="62" t="s">
        <v>151</v>
      </c>
      <c r="AI16" s="62" t="s">
        <v>741</v>
      </c>
      <c r="AJ16" s="62" t="s">
        <v>672</v>
      </c>
      <c r="AK16" s="62" t="s">
        <v>674</v>
      </c>
      <c r="AL16" s="62">
        <v>2</v>
      </c>
      <c r="AM16" s="62" t="s">
        <v>673</v>
      </c>
      <c r="AN16" s="62">
        <v>2.4</v>
      </c>
      <c r="AO16" s="62">
        <v>2.4</v>
      </c>
      <c r="AP16" t="s">
        <v>260</v>
      </c>
      <c r="AQ16" s="62">
        <v>5.7</v>
      </c>
      <c r="AR16" s="62">
        <v>2.2000000000000002</v>
      </c>
      <c r="AS16" s="62">
        <v>2.5</v>
      </c>
      <c r="AT16" s="62" t="s">
        <v>30</v>
      </c>
      <c r="AU16" s="62" t="s">
        <v>37</v>
      </c>
      <c r="AV16" s="62" t="s">
        <v>48</v>
      </c>
      <c r="AW16" s="62" t="s">
        <v>59</v>
      </c>
      <c r="AX16" s="62" t="s">
        <v>66</v>
      </c>
      <c r="AY16" s="62" t="s">
        <v>77</v>
      </c>
      <c r="AZ16" s="62" t="s">
        <v>84</v>
      </c>
      <c r="BA16" s="62" t="s">
        <v>742</v>
      </c>
      <c r="BB16" s="62">
        <v>55</v>
      </c>
      <c r="BC16" s="62">
        <v>444</v>
      </c>
      <c r="BD16" s="62">
        <v>121</v>
      </c>
      <c r="BE16" s="62">
        <v>38</v>
      </c>
      <c r="BF16" s="62">
        <v>285</v>
      </c>
      <c r="BG16" s="62">
        <v>72</v>
      </c>
      <c r="BH16" s="62">
        <v>61</v>
      </c>
      <c r="BI16" s="62">
        <v>66</v>
      </c>
      <c r="BJ16" s="62">
        <v>29</v>
      </c>
      <c r="BK16" s="62">
        <v>16</v>
      </c>
      <c r="BL16" s="62">
        <v>21</v>
      </c>
      <c r="BM16" s="62">
        <v>-0.1</v>
      </c>
      <c r="BN16" s="62" t="s">
        <v>253</v>
      </c>
      <c r="BO16" s="62" t="s">
        <v>668</v>
      </c>
      <c r="BP16" s="62" t="s">
        <v>201</v>
      </c>
      <c r="BQ16" s="62" t="s">
        <v>181</v>
      </c>
      <c r="BR16" s="62" t="s">
        <v>743</v>
      </c>
      <c r="BS16" s="62">
        <v>52</v>
      </c>
      <c r="BT16" s="62">
        <v>356</v>
      </c>
      <c r="BU16" s="62">
        <v>67</v>
      </c>
      <c r="BV16" s="62">
        <v>30</v>
      </c>
      <c r="BW16" s="62">
        <v>259</v>
      </c>
      <c r="BX16" s="62">
        <v>91</v>
      </c>
      <c r="BY16" s="62">
        <v>60</v>
      </c>
      <c r="BZ16" s="62">
        <v>70</v>
      </c>
      <c r="CA16" s="62">
        <v>31</v>
      </c>
      <c r="CB16" s="62">
        <v>17</v>
      </c>
      <c r="CC16" s="62">
        <v>25</v>
      </c>
      <c r="CD16" s="62">
        <v>0.1</v>
      </c>
      <c r="CE16" s="62" t="s">
        <v>199</v>
      </c>
      <c r="CF16" s="62" t="s">
        <v>200</v>
      </c>
      <c r="CG16" s="62" t="s">
        <v>201</v>
      </c>
      <c r="CH16" s="62" t="s">
        <v>432</v>
      </c>
      <c r="CI16" s="62" t="s">
        <v>744</v>
      </c>
      <c r="CJ16" s="62">
        <v>78</v>
      </c>
      <c r="CK16" s="62">
        <v>501</v>
      </c>
      <c r="CL16" s="62">
        <v>70</v>
      </c>
      <c r="CM16" s="62">
        <v>102</v>
      </c>
      <c r="CN16" s="62">
        <v>319</v>
      </c>
      <c r="CO16" s="62">
        <v>65</v>
      </c>
      <c r="CP16" s="62">
        <v>59</v>
      </c>
      <c r="CQ16" s="62">
        <v>64</v>
      </c>
      <c r="CR16" s="62">
        <v>39</v>
      </c>
      <c r="CS16" s="62">
        <v>15</v>
      </c>
      <c r="CT16" s="62">
        <v>14</v>
      </c>
      <c r="CU16" s="62">
        <v>-0.4</v>
      </c>
      <c r="CV16" s="62" t="s">
        <v>178</v>
      </c>
      <c r="CW16" s="62" t="s">
        <v>666</v>
      </c>
      <c r="CX16" s="62" t="s">
        <v>180</v>
      </c>
      <c r="CY16" s="62" t="s">
        <v>181</v>
      </c>
      <c r="CZ16" s="62" t="s">
        <v>782</v>
      </c>
      <c r="DA16" s="62">
        <v>7</v>
      </c>
      <c r="DB16" s="62">
        <v>6.5</v>
      </c>
      <c r="DC16" s="62">
        <v>7.5</v>
      </c>
      <c r="DD16" s="62">
        <v>5.5</v>
      </c>
      <c r="DE16" s="62">
        <v>4.5</v>
      </c>
      <c r="DF16" s="62">
        <v>6</v>
      </c>
      <c r="DG16" s="62">
        <v>9</v>
      </c>
      <c r="DH16" s="62" t="s">
        <v>783</v>
      </c>
      <c r="DI16" s="62" t="s">
        <v>784</v>
      </c>
      <c r="DJ16" s="62" t="s">
        <v>785</v>
      </c>
      <c r="DK16" s="62" t="s">
        <v>786</v>
      </c>
      <c r="DL16" s="62" t="s">
        <v>787</v>
      </c>
      <c r="DM16" s="62" t="s">
        <v>788</v>
      </c>
      <c r="DN16" s="62" t="s">
        <v>789</v>
      </c>
      <c r="DO16" s="62" t="s">
        <v>690</v>
      </c>
      <c r="DP16" s="62">
        <v>7.5</v>
      </c>
      <c r="DQ16" s="62">
        <v>378</v>
      </c>
      <c r="DR16" s="62">
        <v>25442</v>
      </c>
      <c r="DS16" s="62">
        <v>2.25</v>
      </c>
    </row>
    <row r="17" spans="1:123" x14ac:dyDescent="0.25">
      <c r="A17">
        <v>14</v>
      </c>
      <c r="B17" s="110">
        <v>46095</v>
      </c>
      <c r="C17" t="s">
        <v>1345</v>
      </c>
      <c r="D17" t="s">
        <v>669</v>
      </c>
      <c r="E17">
        <v>52</v>
      </c>
      <c r="F17">
        <v>69</v>
      </c>
      <c r="G17" s="62">
        <f>'Hikes - High'!U6</f>
        <v>145</v>
      </c>
      <c r="H17" s="66" t="s">
        <v>739</v>
      </c>
      <c r="I17" s="66" t="s">
        <v>306</v>
      </c>
      <c r="J17" t="s">
        <v>306</v>
      </c>
      <c r="K17">
        <v>14.8</v>
      </c>
      <c r="L17">
        <v>5049</v>
      </c>
      <c r="M17">
        <v>5052</v>
      </c>
      <c r="N17">
        <v>396</v>
      </c>
      <c r="O17" s="111">
        <v>0.28125</v>
      </c>
      <c r="P17" s="111">
        <v>0.55625000000000002</v>
      </c>
      <c r="Q17">
        <v>130</v>
      </c>
      <c r="R17">
        <v>158</v>
      </c>
      <c r="S17" s="112">
        <v>-6.7000000000000002E-3</v>
      </c>
      <c r="T17">
        <v>3.4</v>
      </c>
      <c r="U17">
        <v>0</v>
      </c>
      <c r="V17">
        <v>94</v>
      </c>
      <c r="W17">
        <v>991</v>
      </c>
      <c r="X17">
        <v>5694</v>
      </c>
      <c r="Y17">
        <v>46</v>
      </c>
      <c r="Z17" t="s">
        <v>1646</v>
      </c>
      <c r="AA17">
        <v>61</v>
      </c>
      <c r="AB17">
        <v>91</v>
      </c>
      <c r="AC17">
        <v>75</v>
      </c>
      <c r="AD17" t="s">
        <v>1347</v>
      </c>
      <c r="AE17" t="s">
        <v>157</v>
      </c>
      <c r="AF17" t="s">
        <v>132</v>
      </c>
      <c r="AG17" t="s">
        <v>159</v>
      </c>
      <c r="AH17" t="s">
        <v>158</v>
      </c>
      <c r="AI17" t="s">
        <v>1348</v>
      </c>
      <c r="AJ17" t="s">
        <v>319</v>
      </c>
      <c r="AK17" t="s">
        <v>322</v>
      </c>
      <c r="AL17">
        <v>2</v>
      </c>
      <c r="AM17" t="s">
        <v>325</v>
      </c>
      <c r="AN17">
        <v>2.1</v>
      </c>
      <c r="AO17">
        <v>2.1</v>
      </c>
      <c r="AP17" t="s">
        <v>451</v>
      </c>
      <c r="AQ17">
        <v>9.1</v>
      </c>
      <c r="AR17">
        <v>2.2999999999999998</v>
      </c>
      <c r="AS17">
        <v>2.2999999999999998</v>
      </c>
      <c r="AT17" t="s">
        <v>212</v>
      </c>
      <c r="AU17" t="s">
        <v>37</v>
      </c>
      <c r="AV17" t="s">
        <v>48</v>
      </c>
      <c r="AW17" t="s">
        <v>59</v>
      </c>
      <c r="AX17" t="s">
        <v>66</v>
      </c>
      <c r="AY17" t="s">
        <v>77</v>
      </c>
      <c r="AZ17" t="s">
        <v>84</v>
      </c>
      <c r="BA17" t="s">
        <v>1349</v>
      </c>
      <c r="BB17">
        <v>77</v>
      </c>
      <c r="BC17">
        <v>359</v>
      </c>
      <c r="BD17">
        <v>66</v>
      </c>
      <c r="BE17">
        <v>43</v>
      </c>
      <c r="BF17">
        <v>250</v>
      </c>
      <c r="BG17">
        <v>25</v>
      </c>
      <c r="BH17">
        <v>59</v>
      </c>
      <c r="BI17">
        <v>64</v>
      </c>
      <c r="BJ17">
        <v>34</v>
      </c>
      <c r="BK17">
        <v>16</v>
      </c>
      <c r="BL17">
        <v>17</v>
      </c>
      <c r="BM17">
        <v>0.1</v>
      </c>
      <c r="BN17" t="s">
        <v>309</v>
      </c>
      <c r="BO17" t="s">
        <v>666</v>
      </c>
      <c r="BP17" t="s">
        <v>180</v>
      </c>
      <c r="BQ17" t="s">
        <v>432</v>
      </c>
      <c r="BR17" t="s">
        <v>1350</v>
      </c>
      <c r="BS17">
        <v>45</v>
      </c>
      <c r="BT17">
        <v>338</v>
      </c>
      <c r="BU17">
        <v>105</v>
      </c>
      <c r="BV17">
        <v>13</v>
      </c>
      <c r="BW17">
        <v>220</v>
      </c>
      <c r="BX17">
        <v>92</v>
      </c>
      <c r="BY17">
        <v>63</v>
      </c>
      <c r="BZ17">
        <v>69</v>
      </c>
      <c r="CA17">
        <v>25</v>
      </c>
      <c r="CB17">
        <v>18</v>
      </c>
      <c r="CC17">
        <v>27</v>
      </c>
      <c r="CD17">
        <v>0.4</v>
      </c>
      <c r="CE17" t="s">
        <v>199</v>
      </c>
      <c r="CF17" t="s">
        <v>200</v>
      </c>
      <c r="CG17" t="s">
        <v>201</v>
      </c>
      <c r="CH17" t="s">
        <v>181</v>
      </c>
      <c r="CI17" t="s">
        <v>1351</v>
      </c>
      <c r="CJ17">
        <v>66</v>
      </c>
      <c r="CK17">
        <v>339</v>
      </c>
      <c r="CL17">
        <v>78</v>
      </c>
      <c r="CM17">
        <v>19</v>
      </c>
      <c r="CN17">
        <v>242</v>
      </c>
      <c r="CO17">
        <v>13</v>
      </c>
      <c r="CP17">
        <v>59</v>
      </c>
      <c r="CQ17">
        <v>65</v>
      </c>
      <c r="CR17">
        <v>34</v>
      </c>
      <c r="CS17">
        <v>16</v>
      </c>
      <c r="CT17">
        <v>17</v>
      </c>
      <c r="CU17">
        <v>-0.1</v>
      </c>
      <c r="CV17" t="s">
        <v>309</v>
      </c>
      <c r="CW17" t="s">
        <v>668</v>
      </c>
      <c r="CX17" t="s">
        <v>180</v>
      </c>
      <c r="CY17" t="s">
        <v>181</v>
      </c>
      <c r="CZ17" t="s">
        <v>1352</v>
      </c>
      <c r="DA17">
        <v>8.5</v>
      </c>
      <c r="DB17">
        <v>8.5</v>
      </c>
      <c r="DC17">
        <v>8.5</v>
      </c>
      <c r="DD17">
        <v>6</v>
      </c>
      <c r="DE17">
        <v>7</v>
      </c>
      <c r="DF17">
        <v>7.5</v>
      </c>
      <c r="DG17">
        <v>8</v>
      </c>
      <c r="DH17" t="s">
        <v>1353</v>
      </c>
      <c r="DI17" t="s">
        <v>1354</v>
      </c>
      <c r="DJ17" t="s">
        <v>1355</v>
      </c>
      <c r="DK17" t="s">
        <v>1356</v>
      </c>
      <c r="DL17" t="s">
        <v>1357</v>
      </c>
      <c r="DM17" t="s">
        <v>1358</v>
      </c>
      <c r="DN17" t="s">
        <v>1359</v>
      </c>
      <c r="DO17" t="s">
        <v>689</v>
      </c>
      <c r="DP17">
        <v>7.7</v>
      </c>
      <c r="DQ17">
        <v>409</v>
      </c>
      <c r="DR17">
        <v>19251</v>
      </c>
      <c r="DS17">
        <v>2.25</v>
      </c>
    </row>
    <row r="18" spans="1:123" x14ac:dyDescent="0.25">
      <c r="A18" s="62">
        <v>15</v>
      </c>
      <c r="B18" s="63">
        <v>46102</v>
      </c>
      <c r="C18" s="62" t="s">
        <v>245</v>
      </c>
      <c r="D18" s="62" t="s">
        <v>669</v>
      </c>
      <c r="E18" s="62">
        <v>52</v>
      </c>
      <c r="F18" s="62">
        <v>69</v>
      </c>
      <c r="G18" s="62">
        <v>146</v>
      </c>
      <c r="H18" s="62" t="s">
        <v>739</v>
      </c>
      <c r="I18" s="62" t="s">
        <v>306</v>
      </c>
      <c r="J18" s="62" t="s">
        <v>386</v>
      </c>
      <c r="K18" s="62">
        <v>8.9</v>
      </c>
      <c r="L18" s="62">
        <v>4121</v>
      </c>
      <c r="M18" s="62">
        <v>4098</v>
      </c>
      <c r="N18" s="62">
        <v>328</v>
      </c>
      <c r="O18" s="64">
        <v>0.32291666666666702</v>
      </c>
      <c r="P18" s="64">
        <v>0.55069444444444404</v>
      </c>
      <c r="Q18" s="62">
        <v>126</v>
      </c>
      <c r="R18" s="62">
        <v>157</v>
      </c>
      <c r="S18" s="65">
        <v>-5.0000000000000001E-4</v>
      </c>
      <c r="T18" s="62">
        <v>3</v>
      </c>
      <c r="U18" s="62">
        <v>0</v>
      </c>
      <c r="V18" s="62">
        <v>62</v>
      </c>
      <c r="W18" s="62">
        <v>6136</v>
      </c>
      <c r="X18" s="62">
        <v>10112</v>
      </c>
      <c r="Y18" s="62">
        <v>46</v>
      </c>
      <c r="Z18" s="62" t="s">
        <v>1646</v>
      </c>
      <c r="AA18" s="62">
        <v>59</v>
      </c>
      <c r="AB18" s="62">
        <v>86</v>
      </c>
      <c r="AC18" s="62">
        <v>71</v>
      </c>
      <c r="AD18" s="62" t="s">
        <v>211</v>
      </c>
      <c r="AE18" s="62" t="s">
        <v>365</v>
      </c>
      <c r="AF18" s="62" t="s">
        <v>110</v>
      </c>
      <c r="AG18" s="62" t="s">
        <v>159</v>
      </c>
      <c r="AH18" s="62" t="s">
        <v>158</v>
      </c>
      <c r="AI18" s="62" t="s">
        <v>1471</v>
      </c>
      <c r="AJ18" s="62" t="s">
        <v>319</v>
      </c>
      <c r="AK18" s="62" t="s">
        <v>321</v>
      </c>
      <c r="AL18" s="62">
        <v>2</v>
      </c>
      <c r="AM18" s="62" t="s">
        <v>325</v>
      </c>
      <c r="AN18" s="62">
        <v>2.6</v>
      </c>
      <c r="AO18" s="62">
        <v>2.6</v>
      </c>
      <c r="AP18" t="s">
        <v>451</v>
      </c>
      <c r="AQ18" s="62">
        <v>9</v>
      </c>
      <c r="AR18" s="62">
        <v>1.8</v>
      </c>
      <c r="AS18" s="62">
        <v>2.8</v>
      </c>
      <c r="AT18" s="62" t="s">
        <v>212</v>
      </c>
      <c r="AU18" s="62" t="s">
        <v>37</v>
      </c>
      <c r="AV18" s="62" t="s">
        <v>368</v>
      </c>
      <c r="AW18" s="62" t="s">
        <v>59</v>
      </c>
      <c r="AX18" s="62" t="s">
        <v>66</v>
      </c>
      <c r="AY18" s="62" t="s">
        <v>77</v>
      </c>
      <c r="AZ18" s="62" t="s">
        <v>84</v>
      </c>
      <c r="BA18" s="62" t="s">
        <v>1472</v>
      </c>
      <c r="BB18" s="62">
        <v>79</v>
      </c>
      <c r="BC18" s="62">
        <v>414</v>
      </c>
      <c r="BD18" s="62">
        <v>112</v>
      </c>
      <c r="BE18" s="62">
        <v>54</v>
      </c>
      <c r="BF18" s="62">
        <v>248</v>
      </c>
      <c r="BG18" s="62">
        <v>22</v>
      </c>
      <c r="BH18" s="62">
        <v>58</v>
      </c>
      <c r="BI18" s="62">
        <v>64</v>
      </c>
      <c r="BJ18" s="62">
        <v>30</v>
      </c>
      <c r="BK18" s="62">
        <v>17</v>
      </c>
      <c r="BL18" s="62">
        <v>18</v>
      </c>
      <c r="BM18" s="62">
        <v>-0.2</v>
      </c>
      <c r="BN18" s="62" t="s">
        <v>309</v>
      </c>
      <c r="BO18" s="62" t="s">
        <v>215</v>
      </c>
      <c r="BP18" s="62" t="s">
        <v>180</v>
      </c>
      <c r="BQ18" s="62" t="s">
        <v>181</v>
      </c>
      <c r="BR18" s="62" t="s">
        <v>1473</v>
      </c>
      <c r="BS18" s="62">
        <v>66</v>
      </c>
      <c r="BT18" s="62">
        <v>343</v>
      </c>
      <c r="BU18" s="62">
        <v>60</v>
      </c>
      <c r="BV18" s="62">
        <v>25</v>
      </c>
      <c r="BW18" s="62">
        <v>258</v>
      </c>
      <c r="BX18" s="62">
        <v>13</v>
      </c>
      <c r="BY18" s="62">
        <v>63</v>
      </c>
      <c r="BZ18" s="62">
        <v>68</v>
      </c>
      <c r="CA18" s="62">
        <v>25</v>
      </c>
      <c r="CB18" s="62">
        <v>18</v>
      </c>
      <c r="CC18" s="62">
        <v>24</v>
      </c>
      <c r="CD18" s="62">
        <v>0.2</v>
      </c>
      <c r="CE18" s="62" t="s">
        <v>199</v>
      </c>
      <c r="CF18" s="62" t="s">
        <v>200</v>
      </c>
      <c r="CG18" s="62" t="s">
        <v>201</v>
      </c>
      <c r="CH18" s="62" t="s">
        <v>432</v>
      </c>
      <c r="CI18" s="62" t="s">
        <v>1482</v>
      </c>
      <c r="CJ18" s="62" t="s">
        <v>451</v>
      </c>
      <c r="CK18" s="62" t="s">
        <v>451</v>
      </c>
      <c r="CL18" s="62" t="s">
        <v>451</v>
      </c>
      <c r="CM18" s="62" t="s">
        <v>451</v>
      </c>
      <c r="CN18" s="62" t="s">
        <v>451</v>
      </c>
      <c r="CO18" s="62" t="s">
        <v>451</v>
      </c>
      <c r="CP18" s="62" t="s">
        <v>451</v>
      </c>
      <c r="CQ18" s="62" t="s">
        <v>451</v>
      </c>
      <c r="CR18" s="62" t="s">
        <v>451</v>
      </c>
      <c r="CS18" s="62" t="s">
        <v>451</v>
      </c>
      <c r="CT18" s="62" t="s">
        <v>451</v>
      </c>
      <c r="CU18" s="62" t="s">
        <v>451</v>
      </c>
      <c r="CV18" s="62" t="s">
        <v>721</v>
      </c>
      <c r="CW18" s="62" t="s">
        <v>722</v>
      </c>
      <c r="CX18" s="62" t="s">
        <v>723</v>
      </c>
      <c r="CY18" s="62" t="s">
        <v>724</v>
      </c>
      <c r="CZ18" s="62" t="s">
        <v>1483</v>
      </c>
      <c r="DA18" s="62">
        <v>8.5</v>
      </c>
      <c r="DB18" s="62">
        <v>8.5</v>
      </c>
      <c r="DC18" s="62">
        <v>9</v>
      </c>
      <c r="DD18" s="62">
        <v>8.5</v>
      </c>
      <c r="DE18" s="62">
        <v>6</v>
      </c>
      <c r="DF18" s="62">
        <v>6.5</v>
      </c>
      <c r="DG18" s="62">
        <v>8.5</v>
      </c>
      <c r="DH18" s="62" t="s">
        <v>1475</v>
      </c>
      <c r="DI18" s="62" t="s">
        <v>1476</v>
      </c>
      <c r="DJ18" s="62" t="s">
        <v>1477</v>
      </c>
      <c r="DK18" s="62" t="s">
        <v>1478</v>
      </c>
      <c r="DL18" s="62" t="s">
        <v>1479</v>
      </c>
      <c r="DM18" s="62" t="s">
        <v>1480</v>
      </c>
      <c r="DN18" s="62" t="s">
        <v>1481</v>
      </c>
      <c r="DO18" s="62" t="s">
        <v>689</v>
      </c>
      <c r="DP18" s="62">
        <v>7.8</v>
      </c>
      <c r="DQ18" s="62">
        <v>350</v>
      </c>
      <c r="DR18" s="62">
        <v>25397</v>
      </c>
      <c r="DS18" s="62">
        <v>2.1</v>
      </c>
    </row>
    <row r="19" spans="1:123" x14ac:dyDescent="0.25">
      <c r="A19" s="62">
        <v>16</v>
      </c>
      <c r="B19" s="63">
        <v>46110</v>
      </c>
      <c r="C19" s="62" t="s">
        <v>244</v>
      </c>
      <c r="D19" s="62" t="s">
        <v>669</v>
      </c>
      <c r="E19" s="62">
        <v>52</v>
      </c>
      <c r="F19" s="62">
        <v>69</v>
      </c>
      <c r="G19" s="62">
        <v>145</v>
      </c>
      <c r="H19" s="66" t="s">
        <v>739</v>
      </c>
      <c r="I19" s="66" t="s">
        <v>306</v>
      </c>
      <c r="J19" s="62" t="s">
        <v>386</v>
      </c>
      <c r="K19" s="62">
        <v>9.8000000000000007</v>
      </c>
      <c r="L19" s="62">
        <v>3907</v>
      </c>
      <c r="M19" s="62">
        <v>3586</v>
      </c>
      <c r="N19" s="62">
        <v>310</v>
      </c>
      <c r="O19" s="64">
        <v>0.32291666666666702</v>
      </c>
      <c r="P19" s="64">
        <v>0.53819444444444398</v>
      </c>
      <c r="Q19" s="62">
        <v>129</v>
      </c>
      <c r="R19" s="62">
        <v>155</v>
      </c>
      <c r="S19" s="65">
        <v>-5.0000000000000001E-3</v>
      </c>
      <c r="T19" s="62">
        <v>3.2</v>
      </c>
      <c r="U19" s="62">
        <v>0</v>
      </c>
      <c r="V19" s="62">
        <v>79</v>
      </c>
      <c r="W19" s="62">
        <v>6133</v>
      </c>
      <c r="X19" s="62">
        <v>10080</v>
      </c>
      <c r="Y19" s="62">
        <v>46</v>
      </c>
      <c r="Z19" s="62" t="s">
        <v>1646</v>
      </c>
      <c r="AA19" s="62">
        <v>57</v>
      </c>
      <c r="AB19" s="62">
        <v>86</v>
      </c>
      <c r="AC19" s="62">
        <v>70</v>
      </c>
      <c r="AD19" s="62" t="s">
        <v>211</v>
      </c>
      <c r="AE19" s="62" t="s">
        <v>365</v>
      </c>
      <c r="AF19" s="62" t="s">
        <v>110</v>
      </c>
      <c r="AG19" s="62" t="s">
        <v>159</v>
      </c>
      <c r="AH19" s="62" t="s">
        <v>158</v>
      </c>
      <c r="AI19" s="62" t="s">
        <v>1658</v>
      </c>
      <c r="AJ19" s="62" t="s">
        <v>321</v>
      </c>
      <c r="AK19" s="62" t="s">
        <v>321</v>
      </c>
      <c r="AL19" s="62">
        <v>2</v>
      </c>
      <c r="AM19" s="62" t="s">
        <v>325</v>
      </c>
      <c r="AN19" s="62">
        <v>2.6</v>
      </c>
      <c r="AO19" s="62">
        <v>2.6</v>
      </c>
      <c r="AP19" t="s">
        <v>451</v>
      </c>
      <c r="AQ19" s="62">
        <v>12</v>
      </c>
      <c r="AR19" s="62">
        <v>2.4</v>
      </c>
      <c r="AS19" s="62">
        <v>2.2999999999999998</v>
      </c>
      <c r="AT19" s="62" t="s">
        <v>212</v>
      </c>
      <c r="AU19" s="62" t="s">
        <v>37</v>
      </c>
      <c r="AV19" s="62" t="s">
        <v>368</v>
      </c>
      <c r="AW19" s="62" t="s">
        <v>59</v>
      </c>
      <c r="AX19" s="62" t="s">
        <v>66</v>
      </c>
      <c r="AY19" s="62" t="s">
        <v>77</v>
      </c>
      <c r="AZ19" s="62" t="s">
        <v>84</v>
      </c>
      <c r="BA19" s="62" t="s">
        <v>1659</v>
      </c>
      <c r="BB19" s="62">
        <v>55</v>
      </c>
      <c r="BC19" s="62">
        <v>333</v>
      </c>
      <c r="BD19" s="62">
        <v>32</v>
      </c>
      <c r="BE19" s="62">
        <v>37</v>
      </c>
      <c r="BF19" s="62">
        <v>264</v>
      </c>
      <c r="BG19" s="62">
        <v>67</v>
      </c>
      <c r="BH19" s="62">
        <v>57</v>
      </c>
      <c r="BI19" s="62">
        <v>61</v>
      </c>
      <c r="BJ19" s="62">
        <v>42</v>
      </c>
      <c r="BK19" s="62">
        <v>15</v>
      </c>
      <c r="BL19" s="62">
        <v>15</v>
      </c>
      <c r="BM19" s="62">
        <v>0.9</v>
      </c>
      <c r="BN19" s="62" t="s">
        <v>253</v>
      </c>
      <c r="BO19" s="62" t="s">
        <v>355</v>
      </c>
      <c r="BP19" s="62" t="s">
        <v>180</v>
      </c>
      <c r="BQ19" s="62" t="s">
        <v>410</v>
      </c>
      <c r="BR19" s="62" t="s">
        <v>1671</v>
      </c>
      <c r="BS19" s="62">
        <v>64</v>
      </c>
      <c r="BT19" s="62">
        <v>310</v>
      </c>
      <c r="BU19" s="62">
        <v>113</v>
      </c>
      <c r="BV19" s="62">
        <v>52</v>
      </c>
      <c r="BW19" s="62">
        <v>145</v>
      </c>
      <c r="BX19" s="62">
        <v>41</v>
      </c>
      <c r="BY19" s="62">
        <v>58</v>
      </c>
      <c r="BZ19" s="62">
        <v>65</v>
      </c>
      <c r="CA19" s="62">
        <v>32</v>
      </c>
      <c r="CB19" s="62">
        <v>17</v>
      </c>
      <c r="CC19" s="62">
        <v>21</v>
      </c>
      <c r="CD19" s="62">
        <v>-0.2</v>
      </c>
      <c r="CE19" s="62" t="s">
        <v>199</v>
      </c>
      <c r="CF19" s="62" t="s">
        <v>667</v>
      </c>
      <c r="CG19" s="62" t="s">
        <v>180</v>
      </c>
      <c r="CH19" s="62" t="s">
        <v>181</v>
      </c>
      <c r="CI19" s="62" t="s">
        <v>1672</v>
      </c>
      <c r="CJ19" s="62">
        <v>87</v>
      </c>
      <c r="CK19" s="62">
        <v>426</v>
      </c>
      <c r="CL19" s="62">
        <v>93</v>
      </c>
      <c r="CM19" s="62">
        <v>100</v>
      </c>
      <c r="CN19" s="62">
        <v>233</v>
      </c>
      <c r="CO19" s="62">
        <v>24</v>
      </c>
      <c r="CP19" s="62">
        <v>55</v>
      </c>
      <c r="CQ19" s="62">
        <v>61</v>
      </c>
      <c r="CR19" s="62">
        <v>42</v>
      </c>
      <c r="CS19" s="62">
        <v>15</v>
      </c>
      <c r="CT19" s="62">
        <v>13</v>
      </c>
      <c r="CU19" s="62">
        <v>0.1</v>
      </c>
      <c r="CV19" s="62" t="s">
        <v>178</v>
      </c>
      <c r="CW19" s="62" t="s">
        <v>179</v>
      </c>
      <c r="CX19" s="62" t="s">
        <v>1662</v>
      </c>
      <c r="CY19" s="62" t="s">
        <v>181</v>
      </c>
      <c r="CZ19" s="62" t="s">
        <v>1673</v>
      </c>
      <c r="DA19" s="62">
        <v>9</v>
      </c>
      <c r="DB19" s="62">
        <v>9</v>
      </c>
      <c r="DC19" s="62">
        <v>9</v>
      </c>
      <c r="DD19" s="62">
        <v>8.5</v>
      </c>
      <c r="DE19" s="62">
        <v>3</v>
      </c>
      <c r="DF19" s="62">
        <v>7</v>
      </c>
      <c r="DG19" s="62">
        <v>9.5</v>
      </c>
      <c r="DH19" s="62" t="s">
        <v>1664</v>
      </c>
      <c r="DI19" s="62" t="s">
        <v>1665</v>
      </c>
      <c r="DJ19" s="62" t="s">
        <v>1666</v>
      </c>
      <c r="DK19" s="62" t="s">
        <v>1667</v>
      </c>
      <c r="DL19" s="62" t="s">
        <v>1674</v>
      </c>
      <c r="DM19" s="62" t="s">
        <v>1669</v>
      </c>
      <c r="DN19" s="62" t="s">
        <v>1675</v>
      </c>
      <c r="DO19" s="62" t="s">
        <v>689</v>
      </c>
      <c r="DP19" s="62">
        <v>8.5</v>
      </c>
      <c r="DQ19" s="62">
        <v>350</v>
      </c>
      <c r="DR19" s="62">
        <v>29784</v>
      </c>
      <c r="DS19" s="62">
        <v>8.9499999999999993</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F24D6-F926-4573-B2DC-6FC7FF643627}">
  <dimension ref="A1:H95"/>
  <sheetViews>
    <sheetView showGridLines="0" topLeftCell="A5" zoomScale="90" zoomScaleNormal="90" workbookViewId="0">
      <selection activeCell="C11" sqref="C11"/>
    </sheetView>
  </sheetViews>
  <sheetFormatPr defaultRowHeight="15" x14ac:dyDescent="0.25"/>
  <cols>
    <col min="1" max="1" width="50.140625" customWidth="1"/>
    <col min="2" max="2" width="38.140625" customWidth="1"/>
    <col min="3" max="3" width="24.7109375" customWidth="1"/>
    <col min="4" max="4" width="26.7109375" customWidth="1"/>
    <col min="5" max="5" width="22.85546875" customWidth="1"/>
  </cols>
  <sheetData>
    <row r="1" spans="1:8" ht="21" x14ac:dyDescent="0.35">
      <c r="A1" s="113" t="s">
        <v>1676</v>
      </c>
    </row>
    <row r="2" spans="1:8" x14ac:dyDescent="0.25">
      <c r="A2" s="114" t="s">
        <v>1677</v>
      </c>
    </row>
    <row r="4" spans="1:8" ht="17.25" x14ac:dyDescent="0.3">
      <c r="A4" s="211" t="s">
        <v>1360</v>
      </c>
      <c r="B4" s="211"/>
      <c r="C4" s="211"/>
      <c r="D4" s="211"/>
      <c r="E4" s="211"/>
      <c r="F4" s="211"/>
      <c r="G4" s="211"/>
      <c r="H4" s="211"/>
    </row>
    <row r="5" spans="1:8" ht="80.099999999999994" customHeight="1" x14ac:dyDescent="0.25">
      <c r="A5" s="212" t="s">
        <v>1678</v>
      </c>
      <c r="B5" s="210"/>
      <c r="C5" s="210"/>
      <c r="D5" s="210"/>
      <c r="E5" s="210"/>
      <c r="F5" s="210"/>
      <c r="G5" s="210"/>
      <c r="H5" s="210"/>
    </row>
    <row r="7" spans="1:8" x14ac:dyDescent="0.25">
      <c r="A7" s="209" t="s">
        <v>1361</v>
      </c>
      <c r="B7" s="210"/>
      <c r="C7" s="210"/>
      <c r="D7" s="210"/>
      <c r="E7" s="210"/>
      <c r="F7" s="210"/>
      <c r="G7" s="210"/>
      <c r="H7" s="210"/>
    </row>
    <row r="8" spans="1:8" x14ac:dyDescent="0.25">
      <c r="A8" s="116" t="s">
        <v>1362</v>
      </c>
      <c r="B8" s="150" t="s">
        <v>1363</v>
      </c>
      <c r="C8" s="150" t="s">
        <v>1364</v>
      </c>
      <c r="D8" s="150" t="s">
        <v>1365</v>
      </c>
    </row>
    <row r="9" spans="1:8" x14ac:dyDescent="0.25">
      <c r="A9" s="117" t="s">
        <v>805</v>
      </c>
      <c r="B9" s="153">
        <v>-9.1899999999999996E-2</v>
      </c>
      <c r="C9" s="153">
        <v>-2E-3</v>
      </c>
      <c r="D9" s="151" t="s">
        <v>1679</v>
      </c>
    </row>
    <row r="10" spans="1:8" x14ac:dyDescent="0.25">
      <c r="A10" s="117" t="s">
        <v>1366</v>
      </c>
      <c r="B10" s="151">
        <v>0</v>
      </c>
      <c r="C10" s="151">
        <v>2.5</v>
      </c>
      <c r="D10" s="151" t="s">
        <v>1680</v>
      </c>
    </row>
    <row r="11" spans="1:8" x14ac:dyDescent="0.25">
      <c r="A11" s="117" t="s">
        <v>1367</v>
      </c>
      <c r="B11" s="151">
        <v>8</v>
      </c>
      <c r="C11" s="151">
        <v>9.5</v>
      </c>
      <c r="D11" s="151" t="s">
        <v>1681</v>
      </c>
    </row>
    <row r="13" spans="1:8" ht="17.25" x14ac:dyDescent="0.3">
      <c r="A13" s="211" t="s">
        <v>1682</v>
      </c>
      <c r="B13" s="211"/>
      <c r="C13" s="211"/>
      <c r="D13" s="211"/>
      <c r="E13" s="211"/>
      <c r="F13" s="211"/>
      <c r="G13" s="211"/>
      <c r="H13" s="211"/>
    </row>
    <row r="14" spans="1:8" ht="60.75" customHeight="1" x14ac:dyDescent="0.25">
      <c r="A14" s="212" t="s">
        <v>1683</v>
      </c>
      <c r="B14" s="210"/>
      <c r="C14" s="210"/>
      <c r="D14" s="210"/>
      <c r="E14" s="210"/>
      <c r="F14" s="210"/>
      <c r="G14" s="210"/>
      <c r="H14" s="210"/>
    </row>
    <row r="16" spans="1:8" ht="80.099999999999994" customHeight="1" x14ac:dyDescent="0.25">
      <c r="A16" s="209" t="s">
        <v>1361</v>
      </c>
      <c r="B16" s="210"/>
      <c r="C16" s="210"/>
      <c r="D16" s="210"/>
      <c r="E16" s="210"/>
      <c r="F16" s="210"/>
      <c r="G16" s="210"/>
      <c r="H16" s="210"/>
    </row>
    <row r="17" spans="1:8" x14ac:dyDescent="0.25">
      <c r="A17" s="116" t="s">
        <v>1368</v>
      </c>
      <c r="B17" s="116" t="s">
        <v>1369</v>
      </c>
      <c r="C17" s="150" t="s">
        <v>1370</v>
      </c>
      <c r="D17" s="150" t="s">
        <v>1371</v>
      </c>
    </row>
    <row r="18" spans="1:8" x14ac:dyDescent="0.25">
      <c r="A18" s="117" t="s">
        <v>1372</v>
      </c>
      <c r="B18" s="117" t="s">
        <v>1373</v>
      </c>
      <c r="C18" s="151">
        <v>13</v>
      </c>
      <c r="D18" s="151" t="s">
        <v>689</v>
      </c>
    </row>
    <row r="19" spans="1:8" x14ac:dyDescent="0.25">
      <c r="A19" s="117" t="s">
        <v>1374</v>
      </c>
      <c r="B19" s="117" t="s">
        <v>1375</v>
      </c>
      <c r="C19" s="151">
        <v>11</v>
      </c>
      <c r="D19" s="151" t="s">
        <v>689</v>
      </c>
    </row>
    <row r="20" spans="1:8" x14ac:dyDescent="0.25">
      <c r="A20" s="117" t="s">
        <v>1376</v>
      </c>
      <c r="B20" s="117" t="s">
        <v>1377</v>
      </c>
      <c r="C20" s="151">
        <v>9.1</v>
      </c>
      <c r="D20" s="151" t="s">
        <v>689</v>
      </c>
    </row>
    <row r="21" spans="1:8" x14ac:dyDescent="0.25">
      <c r="A21" s="117" t="s">
        <v>1378</v>
      </c>
      <c r="B21" s="117" t="s">
        <v>1375</v>
      </c>
      <c r="C21" s="151">
        <v>5.3</v>
      </c>
      <c r="D21" s="151" t="s">
        <v>690</v>
      </c>
    </row>
    <row r="22" spans="1:8" x14ac:dyDescent="0.25">
      <c r="A22" s="117" t="s">
        <v>1484</v>
      </c>
      <c r="B22" s="117" t="s">
        <v>1485</v>
      </c>
      <c r="C22" s="151">
        <v>9</v>
      </c>
      <c r="D22" s="151" t="s">
        <v>689</v>
      </c>
    </row>
    <row r="23" spans="1:8" x14ac:dyDescent="0.25">
      <c r="A23" s="184" t="s">
        <v>1684</v>
      </c>
      <c r="B23" s="185" t="s">
        <v>1685</v>
      </c>
      <c r="C23" s="185">
        <v>12</v>
      </c>
      <c r="D23" s="185" t="s">
        <v>689</v>
      </c>
    </row>
    <row r="25" spans="1:8" ht="17.25" x14ac:dyDescent="0.3">
      <c r="A25" s="211" t="s">
        <v>1686</v>
      </c>
      <c r="B25" s="211"/>
      <c r="C25" s="211"/>
      <c r="D25" s="211"/>
      <c r="E25" s="211"/>
      <c r="F25" s="211"/>
      <c r="G25" s="211"/>
      <c r="H25" s="211"/>
    </row>
    <row r="26" spans="1:8" ht="71.25" customHeight="1" x14ac:dyDescent="0.25">
      <c r="A26" s="212" t="s">
        <v>1687</v>
      </c>
      <c r="B26" s="210"/>
      <c r="C26" s="210"/>
      <c r="D26" s="210"/>
      <c r="E26" s="210"/>
      <c r="F26" s="210"/>
      <c r="G26" s="210"/>
      <c r="H26" s="210"/>
    </row>
    <row r="28" spans="1:8" x14ac:dyDescent="0.25">
      <c r="A28" s="209" t="s">
        <v>1361</v>
      </c>
      <c r="B28" s="210"/>
      <c r="C28" s="210"/>
      <c r="D28" s="210"/>
      <c r="E28" s="210"/>
      <c r="F28" s="210"/>
      <c r="G28" s="210"/>
      <c r="H28" s="210"/>
    </row>
    <row r="29" spans="1:8" ht="80.099999999999994" customHeight="1" x14ac:dyDescent="0.25">
      <c r="A29" s="116" t="s">
        <v>1379</v>
      </c>
      <c r="B29" s="150" t="s">
        <v>1380</v>
      </c>
      <c r="C29" s="150" t="s">
        <v>1381</v>
      </c>
      <c r="D29" s="150" t="s">
        <v>1382</v>
      </c>
      <c r="E29" s="150" t="s">
        <v>1383</v>
      </c>
    </row>
    <row r="30" spans="1:8" x14ac:dyDescent="0.25">
      <c r="A30" s="117" t="s">
        <v>1384</v>
      </c>
      <c r="B30" s="151">
        <v>72</v>
      </c>
      <c r="C30" s="151">
        <v>72</v>
      </c>
      <c r="D30" s="151">
        <v>36</v>
      </c>
      <c r="E30" s="151" t="s">
        <v>1385</v>
      </c>
    </row>
    <row r="31" spans="1:8" x14ac:dyDescent="0.25">
      <c r="A31" s="117" t="s">
        <v>1386</v>
      </c>
      <c r="B31" s="151">
        <v>85</v>
      </c>
      <c r="C31" s="151">
        <v>30</v>
      </c>
      <c r="D31" s="151">
        <v>27</v>
      </c>
      <c r="E31" s="151" t="s">
        <v>1688</v>
      </c>
    </row>
    <row r="32" spans="1:8" x14ac:dyDescent="0.25">
      <c r="A32" s="117" t="s">
        <v>1387</v>
      </c>
      <c r="B32" s="151">
        <v>64</v>
      </c>
      <c r="C32" s="151">
        <v>44</v>
      </c>
      <c r="D32" s="151">
        <v>36</v>
      </c>
      <c r="E32" s="151" t="s">
        <v>1689</v>
      </c>
    </row>
    <row r="34" spans="1:8" ht="17.25" x14ac:dyDescent="0.3">
      <c r="A34" s="211" t="s">
        <v>1388</v>
      </c>
      <c r="B34" s="211"/>
      <c r="C34" s="211"/>
      <c r="D34" s="211"/>
      <c r="E34" s="211"/>
      <c r="F34" s="211"/>
      <c r="G34" s="211"/>
      <c r="H34" s="211"/>
    </row>
    <row r="35" spans="1:8" x14ac:dyDescent="0.25">
      <c r="A35" s="212" t="s">
        <v>1690</v>
      </c>
      <c r="B35" s="210"/>
      <c r="C35" s="210"/>
      <c r="D35" s="210"/>
      <c r="E35" s="210"/>
      <c r="F35" s="210"/>
      <c r="G35" s="210"/>
      <c r="H35" s="210"/>
    </row>
    <row r="37" spans="1:8" x14ac:dyDescent="0.25">
      <c r="A37" s="209" t="s">
        <v>1361</v>
      </c>
      <c r="B37" s="210"/>
      <c r="C37" s="210"/>
      <c r="D37" s="210"/>
      <c r="E37" s="210"/>
      <c r="F37" s="210"/>
      <c r="G37" s="210"/>
      <c r="H37" s="210"/>
    </row>
    <row r="38" spans="1:8" x14ac:dyDescent="0.25">
      <c r="A38" s="116" t="s">
        <v>1389</v>
      </c>
      <c r="B38" s="150" t="s">
        <v>1390</v>
      </c>
      <c r="C38" s="150" t="s">
        <v>1391</v>
      </c>
      <c r="D38" s="150" t="s">
        <v>805</v>
      </c>
      <c r="E38" s="150" t="s">
        <v>1392</v>
      </c>
    </row>
    <row r="39" spans="1:8" x14ac:dyDescent="0.25">
      <c r="A39" s="117" t="s">
        <v>1393</v>
      </c>
      <c r="B39" s="151" t="s">
        <v>1394</v>
      </c>
      <c r="C39" s="151" t="s">
        <v>1395</v>
      </c>
      <c r="D39" s="151" t="s">
        <v>1396</v>
      </c>
      <c r="E39" s="151" t="s">
        <v>1397</v>
      </c>
    </row>
    <row r="40" spans="1:8" ht="80.099999999999994" customHeight="1" x14ac:dyDescent="0.25">
      <c r="A40" s="117" t="s">
        <v>1398</v>
      </c>
      <c r="B40" s="151" t="s">
        <v>1399</v>
      </c>
      <c r="C40" s="151" t="s">
        <v>1400</v>
      </c>
      <c r="D40" s="151" t="s">
        <v>1401</v>
      </c>
      <c r="E40" s="151">
        <v>9</v>
      </c>
    </row>
    <row r="41" spans="1:8" x14ac:dyDescent="0.25">
      <c r="A41" s="117" t="s">
        <v>1486</v>
      </c>
      <c r="B41" s="151" t="s">
        <v>1402</v>
      </c>
      <c r="C41" s="151" t="s">
        <v>1403</v>
      </c>
      <c r="D41" s="151" t="s">
        <v>1691</v>
      </c>
      <c r="E41" s="151" t="s">
        <v>1692</v>
      </c>
    </row>
    <row r="43" spans="1:8" ht="17.25" x14ac:dyDescent="0.3">
      <c r="A43" s="211" t="s">
        <v>1693</v>
      </c>
      <c r="B43" s="211"/>
      <c r="C43" s="211"/>
      <c r="D43" s="211"/>
      <c r="E43" s="211"/>
      <c r="F43" s="211"/>
      <c r="G43" s="211"/>
      <c r="H43" s="211"/>
    </row>
    <row r="44" spans="1:8" ht="86.25" customHeight="1" x14ac:dyDescent="0.25">
      <c r="A44" s="212" t="s">
        <v>1694</v>
      </c>
      <c r="B44" s="210"/>
      <c r="C44" s="210"/>
      <c r="D44" s="210"/>
      <c r="E44" s="210"/>
      <c r="F44" s="210"/>
      <c r="G44" s="210"/>
      <c r="H44" s="210"/>
    </row>
    <row r="46" spans="1:8" x14ac:dyDescent="0.25">
      <c r="A46" s="209" t="s">
        <v>1361</v>
      </c>
      <c r="B46" s="210"/>
      <c r="C46" s="210"/>
      <c r="D46" s="210"/>
      <c r="E46" s="210"/>
      <c r="F46" s="210"/>
      <c r="G46" s="210"/>
      <c r="H46" s="210"/>
    </row>
    <row r="47" spans="1:8" x14ac:dyDescent="0.25">
      <c r="A47" s="116" t="s">
        <v>1368</v>
      </c>
      <c r="B47" s="150" t="s">
        <v>1404</v>
      </c>
      <c r="C47" s="150" t="s">
        <v>1405</v>
      </c>
      <c r="D47" s="150" t="s">
        <v>1370</v>
      </c>
      <c r="E47" s="150" t="s">
        <v>1406</v>
      </c>
    </row>
    <row r="48" spans="1:8" x14ac:dyDescent="0.25">
      <c r="A48" s="117" t="s">
        <v>1407</v>
      </c>
      <c r="B48" s="151">
        <v>397</v>
      </c>
      <c r="C48" s="152">
        <v>10075</v>
      </c>
      <c r="D48" s="151">
        <v>13</v>
      </c>
      <c r="E48" s="151" t="s">
        <v>1408</v>
      </c>
    </row>
    <row r="49" spans="1:8" x14ac:dyDescent="0.25">
      <c r="A49" s="117" t="s">
        <v>1409</v>
      </c>
      <c r="B49" s="151">
        <v>339</v>
      </c>
      <c r="C49" s="152">
        <v>5762</v>
      </c>
      <c r="D49" s="151">
        <v>11</v>
      </c>
      <c r="E49" s="151" t="s">
        <v>1408</v>
      </c>
    </row>
    <row r="50" spans="1:8" x14ac:dyDescent="0.25">
      <c r="A50" s="117" t="s">
        <v>1410</v>
      </c>
      <c r="B50" s="151">
        <v>396</v>
      </c>
      <c r="C50" s="152">
        <v>5694</v>
      </c>
      <c r="D50" s="151">
        <v>9.1</v>
      </c>
      <c r="E50" s="151" t="s">
        <v>1408</v>
      </c>
    </row>
    <row r="51" spans="1:8" x14ac:dyDescent="0.25">
      <c r="A51" s="117" t="s">
        <v>1411</v>
      </c>
      <c r="B51" s="151">
        <v>324</v>
      </c>
      <c r="C51" s="152">
        <v>10111</v>
      </c>
      <c r="D51" s="151">
        <v>6.8</v>
      </c>
      <c r="E51" s="151" t="s">
        <v>669</v>
      </c>
    </row>
    <row r="52" spans="1:8" x14ac:dyDescent="0.25">
      <c r="A52" s="117" t="s">
        <v>1487</v>
      </c>
      <c r="B52" s="151">
        <v>328</v>
      </c>
      <c r="C52" s="152">
        <v>10112</v>
      </c>
      <c r="D52" s="151">
        <v>9</v>
      </c>
      <c r="E52" s="151" t="s">
        <v>1408</v>
      </c>
    </row>
    <row r="53" spans="1:8" x14ac:dyDescent="0.25">
      <c r="A53" s="184" t="s">
        <v>1684</v>
      </c>
      <c r="B53" s="185">
        <v>310</v>
      </c>
      <c r="C53" s="186">
        <v>10080</v>
      </c>
      <c r="D53" s="185">
        <v>12</v>
      </c>
      <c r="E53" s="185" t="s">
        <v>1408</v>
      </c>
    </row>
    <row r="54" spans="1:8" ht="80.099999999999994" customHeight="1" x14ac:dyDescent="0.25"/>
    <row r="55" spans="1:8" ht="17.25" x14ac:dyDescent="0.3">
      <c r="A55" s="211" t="s">
        <v>1412</v>
      </c>
      <c r="B55" s="211"/>
      <c r="C55" s="211"/>
      <c r="D55" s="211"/>
      <c r="E55" s="211"/>
      <c r="F55" s="211"/>
      <c r="G55" s="211"/>
      <c r="H55" s="211"/>
    </row>
    <row r="56" spans="1:8" x14ac:dyDescent="0.25">
      <c r="A56" s="212" t="s">
        <v>1413</v>
      </c>
      <c r="B56" s="210"/>
      <c r="C56" s="210"/>
      <c r="D56" s="210"/>
      <c r="E56" s="210"/>
      <c r="F56" s="210"/>
      <c r="G56" s="210"/>
      <c r="H56" s="210"/>
    </row>
    <row r="59" spans="1:8" ht="17.25" x14ac:dyDescent="0.3">
      <c r="A59" s="211" t="s">
        <v>1435</v>
      </c>
      <c r="B59" s="211"/>
      <c r="C59" s="211"/>
      <c r="D59" s="211"/>
      <c r="E59" s="211"/>
      <c r="F59" s="211"/>
      <c r="G59" s="211"/>
      <c r="H59" s="211"/>
    </row>
    <row r="60" spans="1:8" ht="45.75" customHeight="1" x14ac:dyDescent="0.25">
      <c r="A60" s="212" t="s">
        <v>1695</v>
      </c>
      <c r="B60" s="210"/>
      <c r="C60" s="210"/>
      <c r="D60" s="210"/>
      <c r="E60" s="210"/>
      <c r="F60" s="210"/>
      <c r="G60" s="210"/>
      <c r="H60" s="210"/>
    </row>
    <row r="63" spans="1:8" ht="17.25" x14ac:dyDescent="0.3">
      <c r="A63" s="211" t="s">
        <v>1414</v>
      </c>
      <c r="B63" s="211"/>
      <c r="C63" s="211"/>
      <c r="D63" s="211"/>
      <c r="E63" s="211"/>
      <c r="F63" s="211"/>
      <c r="G63" s="211"/>
      <c r="H63" s="211"/>
    </row>
    <row r="64" spans="1:8" ht="80.099999999999994" customHeight="1" x14ac:dyDescent="0.25">
      <c r="A64" s="212" t="s">
        <v>1696</v>
      </c>
      <c r="B64" s="210"/>
      <c r="C64" s="210"/>
      <c r="D64" s="210"/>
      <c r="E64" s="210"/>
      <c r="F64" s="210"/>
      <c r="G64" s="210"/>
      <c r="H64" s="210"/>
    </row>
    <row r="66" spans="1:8" x14ac:dyDescent="0.25">
      <c r="A66" s="209" t="s">
        <v>1361</v>
      </c>
      <c r="B66" s="210"/>
      <c r="C66" s="210"/>
      <c r="D66" s="210"/>
      <c r="E66" s="210"/>
      <c r="F66" s="210"/>
      <c r="G66" s="210"/>
      <c r="H66" s="210"/>
    </row>
    <row r="67" spans="1:8" ht="80.099999999999994" customHeight="1" x14ac:dyDescent="0.25">
      <c r="A67" s="116" t="s">
        <v>1389</v>
      </c>
      <c r="B67" s="116" t="s">
        <v>1415</v>
      </c>
      <c r="C67" s="116" t="s">
        <v>1416</v>
      </c>
      <c r="D67" s="116" t="s">
        <v>1417</v>
      </c>
    </row>
    <row r="68" spans="1:8" x14ac:dyDescent="0.25">
      <c r="A68" s="117" t="s">
        <v>1418</v>
      </c>
      <c r="B68" s="117" t="s">
        <v>1419</v>
      </c>
      <c r="C68" s="117" t="s">
        <v>1420</v>
      </c>
      <c r="D68" s="117" t="s">
        <v>1421</v>
      </c>
    </row>
    <row r="69" spans="1:8" x14ac:dyDescent="0.25">
      <c r="A69" s="117" t="s">
        <v>1422</v>
      </c>
      <c r="B69" s="117" t="s">
        <v>1423</v>
      </c>
      <c r="C69" s="117" t="s">
        <v>1424</v>
      </c>
      <c r="D69" s="117" t="s">
        <v>1425</v>
      </c>
    </row>
    <row r="70" spans="1:8" ht="80.099999999999994" customHeight="1" x14ac:dyDescent="0.25">
      <c r="A70" s="117" t="s">
        <v>1697</v>
      </c>
      <c r="B70" s="117" t="s">
        <v>1488</v>
      </c>
      <c r="C70" s="117" t="s">
        <v>1489</v>
      </c>
      <c r="D70" s="117" t="s">
        <v>1490</v>
      </c>
    </row>
    <row r="72" spans="1:8" ht="17.25" x14ac:dyDescent="0.3">
      <c r="A72" s="211" t="s">
        <v>1426</v>
      </c>
      <c r="B72" s="211"/>
      <c r="C72" s="211"/>
      <c r="D72" s="211"/>
      <c r="E72" s="211"/>
      <c r="F72" s="211"/>
      <c r="G72" s="211"/>
      <c r="H72" s="211"/>
    </row>
    <row r="73" spans="1:8" ht="45" customHeight="1" x14ac:dyDescent="0.25">
      <c r="A73" s="212" t="s">
        <v>1698</v>
      </c>
      <c r="B73" s="210"/>
      <c r="C73" s="210"/>
      <c r="D73" s="210"/>
      <c r="E73" s="210"/>
      <c r="F73" s="210"/>
      <c r="G73" s="210"/>
      <c r="H73" s="210"/>
    </row>
    <row r="76" spans="1:8" ht="80.099999999999994" customHeight="1" x14ac:dyDescent="0.3">
      <c r="A76" s="211" t="s">
        <v>1427</v>
      </c>
      <c r="B76" s="211"/>
      <c r="C76" s="211"/>
      <c r="D76" s="211"/>
      <c r="E76" s="211"/>
      <c r="F76" s="211"/>
      <c r="G76" s="211"/>
      <c r="H76" s="211"/>
    </row>
    <row r="77" spans="1:8" ht="80.25" customHeight="1" x14ac:dyDescent="0.25">
      <c r="A77" s="212" t="s">
        <v>1699</v>
      </c>
      <c r="B77" s="210"/>
      <c r="C77" s="210"/>
      <c r="D77" s="210"/>
      <c r="E77" s="210"/>
      <c r="F77" s="210"/>
      <c r="G77" s="210"/>
      <c r="H77" s="210"/>
    </row>
    <row r="79" spans="1:8" x14ac:dyDescent="0.25">
      <c r="A79" s="209" t="s">
        <v>1361</v>
      </c>
      <c r="B79" s="210"/>
      <c r="C79" s="210"/>
      <c r="D79" s="210"/>
      <c r="E79" s="210"/>
      <c r="F79" s="210"/>
      <c r="G79" s="210"/>
      <c r="H79" s="210"/>
    </row>
    <row r="80" spans="1:8" ht="80.099999999999994" customHeight="1" x14ac:dyDescent="0.25">
      <c r="A80" s="116" t="s">
        <v>1428</v>
      </c>
      <c r="B80" s="116" t="s">
        <v>1429</v>
      </c>
      <c r="C80" s="116" t="s">
        <v>1430</v>
      </c>
    </row>
    <row r="81" spans="1:5" x14ac:dyDescent="0.25">
      <c r="A81" s="117" t="s">
        <v>689</v>
      </c>
      <c r="B81" s="117" t="s">
        <v>1700</v>
      </c>
      <c r="C81" s="117" t="s">
        <v>1701</v>
      </c>
    </row>
    <row r="82" spans="1:5" x14ac:dyDescent="0.25">
      <c r="A82" s="117" t="s">
        <v>690</v>
      </c>
      <c r="B82" s="117" t="s">
        <v>1431</v>
      </c>
      <c r="C82" s="117" t="s">
        <v>1432</v>
      </c>
    </row>
    <row r="83" spans="1:5" x14ac:dyDescent="0.25">
      <c r="A83" s="117" t="s">
        <v>691</v>
      </c>
      <c r="B83" s="117" t="s">
        <v>1433</v>
      </c>
      <c r="C83" s="117" t="s">
        <v>1434</v>
      </c>
    </row>
    <row r="85" spans="1:5" ht="17.25" x14ac:dyDescent="0.3">
      <c r="A85" s="183" t="s">
        <v>1702</v>
      </c>
    </row>
    <row r="86" spans="1:5" ht="80.099999999999994" customHeight="1" x14ac:dyDescent="0.25">
      <c r="A86" s="187" t="s">
        <v>1703</v>
      </c>
    </row>
    <row r="88" spans="1:5" x14ac:dyDescent="0.25">
      <c r="A88" s="188" t="s">
        <v>1361</v>
      </c>
    </row>
    <row r="89" spans="1:5" x14ac:dyDescent="0.25">
      <c r="A89" s="189" t="s">
        <v>1362</v>
      </c>
      <c r="B89" s="190" t="s">
        <v>1704</v>
      </c>
      <c r="C89" s="190" t="s">
        <v>1705</v>
      </c>
      <c r="D89" s="190" t="s">
        <v>1706</v>
      </c>
      <c r="E89" s="190" t="s">
        <v>1707</v>
      </c>
    </row>
    <row r="90" spans="1:5" x14ac:dyDescent="0.25">
      <c r="A90" s="184" t="s">
        <v>1708</v>
      </c>
      <c r="B90" s="185">
        <v>58</v>
      </c>
      <c r="C90" s="185" t="s">
        <v>1709</v>
      </c>
      <c r="D90" s="185">
        <v>55</v>
      </c>
      <c r="E90" s="185" t="s">
        <v>1710</v>
      </c>
    </row>
    <row r="91" spans="1:5" x14ac:dyDescent="0.25">
      <c r="A91" s="184" t="s">
        <v>1711</v>
      </c>
      <c r="B91" s="185">
        <v>32</v>
      </c>
      <c r="C91" s="185" t="s">
        <v>1712</v>
      </c>
      <c r="D91" s="185">
        <v>42</v>
      </c>
      <c r="E91" s="185" t="s">
        <v>1713</v>
      </c>
    </row>
    <row r="92" spans="1:5" x14ac:dyDescent="0.25">
      <c r="A92" s="184" t="s">
        <v>1380</v>
      </c>
      <c r="B92" s="185">
        <v>113</v>
      </c>
      <c r="C92" s="185" t="s">
        <v>1714</v>
      </c>
      <c r="D92" s="185">
        <v>93</v>
      </c>
      <c r="E92" s="185" t="s">
        <v>1715</v>
      </c>
    </row>
    <row r="93" spans="1:5" x14ac:dyDescent="0.25">
      <c r="A93" s="184" t="s">
        <v>1381</v>
      </c>
      <c r="B93" s="185">
        <v>52</v>
      </c>
      <c r="C93" s="185" t="s">
        <v>1716</v>
      </c>
      <c r="D93" s="185">
        <v>100</v>
      </c>
      <c r="E93" s="185" t="s">
        <v>1717</v>
      </c>
    </row>
    <row r="94" spans="1:5" x14ac:dyDescent="0.25">
      <c r="A94" s="184" t="s">
        <v>1718</v>
      </c>
      <c r="B94" s="185">
        <v>64</v>
      </c>
      <c r="C94" s="185" t="s">
        <v>1719</v>
      </c>
      <c r="D94" s="185">
        <v>87</v>
      </c>
      <c r="E94" s="185" t="s">
        <v>1720</v>
      </c>
    </row>
    <row r="95" spans="1:5" x14ac:dyDescent="0.25">
      <c r="A95" s="184" t="s">
        <v>1721</v>
      </c>
      <c r="B95" s="185" t="s">
        <v>1722</v>
      </c>
      <c r="C95" s="185" t="s">
        <v>1723</v>
      </c>
      <c r="D95" s="185" t="s">
        <v>1724</v>
      </c>
      <c r="E95" s="185" t="s">
        <v>1725</v>
      </c>
    </row>
  </sheetData>
  <mergeCells count="27">
    <mergeCell ref="A76:H76"/>
    <mergeCell ref="A77:H77"/>
    <mergeCell ref="A79:H79"/>
    <mergeCell ref="A60:H60"/>
    <mergeCell ref="A63:H63"/>
    <mergeCell ref="A64:H64"/>
    <mergeCell ref="A66:H66"/>
    <mergeCell ref="A72:H72"/>
    <mergeCell ref="A73:H73"/>
    <mergeCell ref="A59:H59"/>
    <mergeCell ref="A25:H25"/>
    <mergeCell ref="A26:H26"/>
    <mergeCell ref="A28:H28"/>
    <mergeCell ref="A34:H34"/>
    <mergeCell ref="A35:H35"/>
    <mergeCell ref="A37:H37"/>
    <mergeCell ref="A43:H43"/>
    <mergeCell ref="A44:H44"/>
    <mergeCell ref="A46:H46"/>
    <mergeCell ref="A55:H55"/>
    <mergeCell ref="A56:H56"/>
    <mergeCell ref="A16:H16"/>
    <mergeCell ref="A4:H4"/>
    <mergeCell ref="A5:H5"/>
    <mergeCell ref="A7:H7"/>
    <mergeCell ref="A13:H13"/>
    <mergeCell ref="A14:H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F3101-7804-47F3-9193-7EB8F31659D3}">
  <dimension ref="A1:AN89"/>
  <sheetViews>
    <sheetView workbookViewId="0">
      <selection activeCell="K31" sqref="K31"/>
    </sheetView>
  </sheetViews>
  <sheetFormatPr defaultRowHeight="15" x14ac:dyDescent="0.25"/>
  <cols>
    <col min="1" max="1" width="6.7109375" customWidth="1"/>
    <col min="2" max="2" width="15.28515625" customWidth="1"/>
    <col min="3" max="3" width="28.5703125" customWidth="1"/>
    <col min="4" max="4" width="16.140625" customWidth="1"/>
    <col min="5" max="5" width="21.85546875" customWidth="1"/>
    <col min="6" max="7" width="14.28515625" customWidth="1"/>
  </cols>
  <sheetData>
    <row r="1" spans="1:40" ht="18.75" x14ac:dyDescent="0.3">
      <c r="A1" s="191" t="s">
        <v>1726</v>
      </c>
    </row>
    <row r="3" spans="1:40" ht="15.75" x14ac:dyDescent="0.25">
      <c r="A3" s="192" t="s">
        <v>1727</v>
      </c>
      <c r="B3" s="193"/>
      <c r="C3" s="193"/>
      <c r="D3" s="193"/>
      <c r="E3" s="193"/>
      <c r="F3" s="193"/>
      <c r="G3" s="193"/>
      <c r="H3" s="193"/>
      <c r="I3" s="193"/>
      <c r="J3" s="193"/>
      <c r="K3" s="193"/>
      <c r="L3" s="193"/>
      <c r="M3" s="193"/>
      <c r="N3" s="193"/>
      <c r="O3" s="193"/>
      <c r="P3" s="193"/>
      <c r="Q3" s="193"/>
      <c r="R3" s="193"/>
      <c r="S3" s="193"/>
      <c r="T3" s="193"/>
      <c r="U3" s="193"/>
      <c r="V3" s="193"/>
      <c r="W3" s="193"/>
    </row>
    <row r="4" spans="1:40" x14ac:dyDescent="0.25">
      <c r="A4" s="195" t="s">
        <v>170</v>
      </c>
      <c r="B4" s="195" t="s">
        <v>0</v>
      </c>
      <c r="C4" s="195" t="s">
        <v>1369</v>
      </c>
      <c r="D4" s="196" t="s">
        <v>1728</v>
      </c>
      <c r="E4" s="196" t="s">
        <v>1729</v>
      </c>
      <c r="F4" s="196" t="s">
        <v>1730</v>
      </c>
      <c r="G4" s="196" t="s">
        <v>1731</v>
      </c>
      <c r="H4" s="196" t="s">
        <v>1732</v>
      </c>
      <c r="I4" s="196" t="s">
        <v>1733</v>
      </c>
      <c r="J4" s="196" t="s">
        <v>1734</v>
      </c>
      <c r="K4" s="196" t="s">
        <v>1735</v>
      </c>
      <c r="L4" s="196" t="s">
        <v>1736</v>
      </c>
      <c r="M4" s="196" t="s">
        <v>1737</v>
      </c>
      <c r="N4" s="197" t="s">
        <v>1738</v>
      </c>
      <c r="O4" s="197" t="s">
        <v>1739</v>
      </c>
      <c r="P4" s="197" t="s">
        <v>1740</v>
      </c>
      <c r="Q4" s="197" t="s">
        <v>1741</v>
      </c>
      <c r="R4" s="197" t="s">
        <v>1742</v>
      </c>
      <c r="S4" s="197" t="s">
        <v>1743</v>
      </c>
      <c r="T4" s="197" t="s">
        <v>1744</v>
      </c>
      <c r="U4" s="197" t="s">
        <v>1745</v>
      </c>
      <c r="V4" s="197" t="s">
        <v>1746</v>
      </c>
      <c r="W4" s="197" t="s">
        <v>1747</v>
      </c>
      <c r="X4" s="198" t="s">
        <v>1748</v>
      </c>
      <c r="Y4" s="198" t="s">
        <v>1749</v>
      </c>
      <c r="Z4" s="198" t="s">
        <v>1750</v>
      </c>
      <c r="AA4" s="198" t="s">
        <v>1751</v>
      </c>
      <c r="AB4" s="198" t="s">
        <v>1752</v>
      </c>
      <c r="AC4" s="198" t="s">
        <v>1753</v>
      </c>
      <c r="AD4" s="198" t="s">
        <v>1754</v>
      </c>
      <c r="AE4" s="198" t="s">
        <v>1755</v>
      </c>
      <c r="AF4" s="198" t="s">
        <v>1756</v>
      </c>
      <c r="AG4" s="198" t="s">
        <v>1757</v>
      </c>
      <c r="AH4" s="199" t="s">
        <v>1758</v>
      </c>
      <c r="AI4" s="199" t="s">
        <v>1759</v>
      </c>
      <c r="AJ4" s="199" t="s">
        <v>1760</v>
      </c>
      <c r="AK4" s="199" t="s">
        <v>1761</v>
      </c>
      <c r="AL4" s="199" t="s">
        <v>1762</v>
      </c>
      <c r="AM4" s="199" t="s">
        <v>1763</v>
      </c>
      <c r="AN4" s="199" t="s">
        <v>1764</v>
      </c>
    </row>
    <row r="5" spans="1:40" x14ac:dyDescent="0.25">
      <c r="A5">
        <f>HikeWorldModel!A4</f>
        <v>1</v>
      </c>
      <c r="B5" s="171">
        <f>HikeWorldModel!B4</f>
        <v>45989</v>
      </c>
      <c r="C5" t="str">
        <f>HikeWorldModel!C4</f>
        <v>Skinsuit to Pleasant's Peak</v>
      </c>
      <c r="D5" s="3">
        <f>HikeWorldModel!BB4</f>
        <v>87</v>
      </c>
      <c r="E5" s="3">
        <f>HikeWorldModel!BC4</f>
        <v>438</v>
      </c>
      <c r="F5" s="3">
        <f>HikeWorldModel!BD4</f>
        <v>73</v>
      </c>
      <c r="G5" s="3">
        <f>HikeWorldModel!BE4</f>
        <v>96</v>
      </c>
      <c r="H5" s="157">
        <f>IF(E5=0,"-",F5/E5)</f>
        <v>0.16666666666666666</v>
      </c>
      <c r="I5" s="157">
        <f>IF(E5=0,"-",G5/E5)</f>
        <v>0.21917808219178081</v>
      </c>
      <c r="J5" s="3">
        <f>HikeWorldModel!BG4</f>
        <v>15</v>
      </c>
      <c r="K5" s="3">
        <f>HikeWorldModel!BH4</f>
        <v>60</v>
      </c>
      <c r="L5" s="3">
        <f>HikeWorldModel!BJ4</f>
        <v>42</v>
      </c>
      <c r="M5" s="3">
        <f>HikeWorldModel!BL4</f>
        <v>12</v>
      </c>
      <c r="N5" s="3">
        <f>IF(ISNUMBER(HikeWorldModel!BS4),HikeWorldModel!BS4,"NA")</f>
        <v>48</v>
      </c>
      <c r="O5" s="3">
        <f>IF(ISNUMBER(HikeWorldModel!BT4),HikeWorldModel!BT4,"NA")</f>
        <v>325</v>
      </c>
      <c r="P5" s="3">
        <f>IF(ISNUMBER(HikeWorldModel!BU4),HikeWorldModel!BU4,"NA")</f>
        <v>85</v>
      </c>
      <c r="Q5" s="3">
        <f>IF(ISNUMBER(HikeWorldModel!BV4),HikeWorldModel!BV4,"NA")</f>
        <v>31</v>
      </c>
      <c r="R5" s="157">
        <f>IF(ISNUMBER(O5)*ISNUMBER(P5),IF(O5=0,"-",P5/O5),"NA")</f>
        <v>0.26153846153846155</v>
      </c>
      <c r="S5" s="157">
        <f>IF(ISNUMBER(O5)*ISNUMBER(Q5),IF(O5=0,"-",Q5/O5),"NA")</f>
        <v>9.5384615384615387E-2</v>
      </c>
      <c r="T5" s="3">
        <f>IF(ISNUMBER(HikeWorldModel!BX4),HikeWorldModel!BX4,"NA")</f>
        <v>40</v>
      </c>
      <c r="U5" s="3">
        <f>IF(ISNUMBER(HikeWorldModel!BY4),HikeWorldModel!BY4,"NA")</f>
        <v>65</v>
      </c>
      <c r="V5" s="3">
        <f>IF(ISNUMBER(HikeWorldModel!CA4),HikeWorldModel!CA4,"NA")</f>
        <v>35</v>
      </c>
      <c r="W5" s="3">
        <f>IF(ISNUMBER(HikeWorldModel!CC4),HikeWorldModel!CC4,"NA")</f>
        <v>19</v>
      </c>
      <c r="X5" s="3">
        <f>IF(ISNUMBER(HikeWorldModel!CJ4),HikeWorldModel!CJ4,"NA")</f>
        <v>79</v>
      </c>
      <c r="Y5" s="3">
        <f>IF(ISNUMBER(HikeWorldModel!CK4),HikeWorldModel!CK4,"NA")</f>
        <v>297</v>
      </c>
      <c r="Z5" s="3">
        <f>IF(ISNUMBER(HikeWorldModel!CL4),HikeWorldModel!CL4,"NA")</f>
        <v>71</v>
      </c>
      <c r="AA5" s="3">
        <f>IF(ISNUMBER(HikeWorldModel!CM4),HikeWorldModel!CM4,"NA")</f>
        <v>91</v>
      </c>
      <c r="AB5" s="157">
        <f>IF(ISNUMBER(Y5)*ISNUMBER(Z5),IF(Y5=0,"-",Z5/Y5),"NA")</f>
        <v>0.23905723905723905</v>
      </c>
      <c r="AC5" s="157">
        <f>IF(ISNUMBER(Y5)*ISNUMBER(AA5),IF(Y5=0,"-",AA5/Y5),"NA")</f>
        <v>0.30639730639730639</v>
      </c>
      <c r="AD5" s="3">
        <f>IF(ISNUMBER(HikeWorldModel!CO4),HikeWorldModel!CO4,"NA")</f>
        <v>52</v>
      </c>
      <c r="AE5" s="3">
        <f>IF(ISNUMBER(HikeWorldModel!CP4),HikeWorldModel!CP4,"NA")</f>
        <v>65</v>
      </c>
      <c r="AF5" s="3">
        <f>IF(ISNUMBER(HikeWorldModel!CR4),HikeWorldModel!CR4,"NA")</f>
        <v>35</v>
      </c>
      <c r="AG5" s="3">
        <f>IF(ISNUMBER(HikeWorldModel!CT4),HikeWorldModel!CT4,"NA")</f>
        <v>19</v>
      </c>
      <c r="AH5" s="3">
        <f>IF(AND(ISNUMBER(N5),ISNUMBER(D5)),N5-D5,"NA")</f>
        <v>-39</v>
      </c>
      <c r="AI5" s="3">
        <f>IF(AND(ISNUMBER(X5),ISNUMBER(D5)),X5-D5,"NA")</f>
        <v>-8</v>
      </c>
      <c r="AJ5" s="3">
        <f>IF(AND(ISNUMBER(V5),ISNUMBER(L5)),V5-L5,"NA")</f>
        <v>-7</v>
      </c>
      <c r="AK5" s="3">
        <f>IF(AND(ISNUMBER(AF5),ISNUMBER(L5)),AF5-L5,"NA")</f>
        <v>-7</v>
      </c>
      <c r="AL5" s="3">
        <f>IF(AND(ISNUMBER(U5),ISNUMBER(K5)),U5-K5,"NA")</f>
        <v>5</v>
      </c>
      <c r="AM5" s="3">
        <f>IF(AND(ISNUMBER(AE5),ISNUMBER(K5)),AE5-K5,"NA")</f>
        <v>5</v>
      </c>
      <c r="AN5" s="157">
        <f>IF(AND(ISNUMBER(AF5),ISNUMBER(V5),ISNUMBER(L5),AJ5&lt;&gt;0),(AF5-V5)/ABS(AJ5),"NA")</f>
        <v>0</v>
      </c>
    </row>
    <row r="6" spans="1:40" x14ac:dyDescent="0.25">
      <c r="A6">
        <f>HikeWorldModel!A5</f>
        <v>2</v>
      </c>
      <c r="B6" s="171">
        <f>HikeWorldModel!B5</f>
        <v>45991</v>
      </c>
      <c r="C6" t="str">
        <f>HikeWorldModel!C5</f>
        <v>Ski Hut to Mount Baldy, out and back</v>
      </c>
      <c r="D6" s="3">
        <f>HikeWorldModel!BB5</f>
        <v>79</v>
      </c>
      <c r="E6" s="3">
        <f>HikeWorldModel!BC5</f>
        <v>418</v>
      </c>
      <c r="F6" s="3">
        <f>HikeWorldModel!BD5</f>
        <v>71</v>
      </c>
      <c r="G6" s="3">
        <f>HikeWorldModel!BE5</f>
        <v>91</v>
      </c>
      <c r="H6" s="157">
        <f t="shared" ref="H6:H20" si="0">IF(E6=0,"-",F6/E6)</f>
        <v>0.16985645933014354</v>
      </c>
      <c r="I6" s="157">
        <f t="shared" ref="I6:I20" si="1">IF(E6=0,"-",G6/E6)</f>
        <v>0.21770334928229665</v>
      </c>
      <c r="J6" s="3">
        <f>HikeWorldModel!BG5</f>
        <v>19</v>
      </c>
      <c r="K6" s="3">
        <f>HikeWorldModel!BH5</f>
        <v>65</v>
      </c>
      <c r="L6" s="3">
        <f>HikeWorldModel!BJ5</f>
        <v>35</v>
      </c>
      <c r="M6" s="3">
        <f>HikeWorldModel!BL5</f>
        <v>19</v>
      </c>
      <c r="N6" s="3">
        <f>IF(ISNUMBER(HikeWorldModel!BS5),HikeWorldModel!BS5,"NA")</f>
        <v>36</v>
      </c>
      <c r="O6" s="3">
        <f>IF(ISNUMBER(HikeWorldModel!BT5),HikeWorldModel!BT5,"NA")</f>
        <v>216</v>
      </c>
      <c r="P6" s="3">
        <f>IF(ISNUMBER(HikeWorldModel!BU5),HikeWorldModel!BU5,"NA")</f>
        <v>35</v>
      </c>
      <c r="Q6" s="3">
        <f>IF(ISNUMBER(HikeWorldModel!BV5),HikeWorldModel!BV5,"NA")</f>
        <v>0</v>
      </c>
      <c r="R6" s="157">
        <f t="shared" ref="R6:R20" si="2">IF(ISNUMBER(O6)*ISNUMBER(P6),IF(O6=0,"-",P6/O6),"NA")</f>
        <v>0.16203703703703703</v>
      </c>
      <c r="S6" s="157">
        <f t="shared" ref="S6:S20" si="3">IF(ISNUMBER(O6)*ISNUMBER(Q6),IF(O6=0,"-",Q6/O6),"NA")</f>
        <v>0</v>
      </c>
      <c r="T6" s="3">
        <f>IF(ISNUMBER(HikeWorldModel!BX5),HikeWorldModel!BX5,"NA")</f>
        <v>16</v>
      </c>
      <c r="U6" s="3">
        <f>IF(ISNUMBER(HikeWorldModel!BY5),HikeWorldModel!BY5,"NA")</f>
        <v>67</v>
      </c>
      <c r="V6" s="3">
        <f>IF(ISNUMBER(HikeWorldModel!CA5),HikeWorldModel!CA5,"NA")</f>
        <v>25</v>
      </c>
      <c r="W6" s="3">
        <f>IF(ISNUMBER(HikeWorldModel!CC5),HikeWorldModel!CC5,"NA")</f>
        <v>36</v>
      </c>
      <c r="X6" s="3">
        <f>IF(ISNUMBER(HikeWorldModel!CJ5),HikeWorldModel!CJ5,"NA")</f>
        <v>79</v>
      </c>
      <c r="Y6" s="3">
        <f>IF(ISNUMBER(HikeWorldModel!CK5),HikeWorldModel!CK5,"NA")</f>
        <v>420</v>
      </c>
      <c r="Z6" s="3">
        <f>IF(ISNUMBER(HikeWorldModel!CL5),HikeWorldModel!CL5,"NA")</f>
        <v>85</v>
      </c>
      <c r="AA6" s="3">
        <f>IF(ISNUMBER(HikeWorldModel!CM5),HikeWorldModel!CM5,"NA")</f>
        <v>97</v>
      </c>
      <c r="AB6" s="157">
        <f t="shared" ref="AB6:AB20" si="4">IF(ISNUMBER(Y6)*ISNUMBER(Z6),IF(Y6=0,"-",Z6/Y6),"NA")</f>
        <v>0.20238095238095238</v>
      </c>
      <c r="AC6" s="157">
        <f t="shared" ref="AC6:AC20" si="5">IF(ISNUMBER(Y6)*ISNUMBER(AA6),IF(Y6=0,"-",AA6/Y6),"NA")</f>
        <v>0.23095238095238096</v>
      </c>
      <c r="AD6" s="3">
        <f>IF(ISNUMBER(HikeWorldModel!CO5),HikeWorldModel!CO5,"NA")</f>
        <v>26</v>
      </c>
      <c r="AE6" s="3">
        <f>IF(ISNUMBER(HikeWorldModel!CP5),HikeWorldModel!CP5,"NA")</f>
        <v>62</v>
      </c>
      <c r="AF6" s="3">
        <f>IF(ISNUMBER(HikeWorldModel!CR5),HikeWorldModel!CR5,"NA")</f>
        <v>37</v>
      </c>
      <c r="AG6" s="3">
        <f>IF(ISNUMBER(HikeWorldModel!CT5),HikeWorldModel!CT5,"NA")</f>
        <v>17</v>
      </c>
      <c r="AH6" s="3">
        <f t="shared" ref="AH6:AH20" si="6">IF(AND(ISNUMBER(N6),ISNUMBER(D6)),N6-D6,"NA")</f>
        <v>-43</v>
      </c>
      <c r="AI6" s="3">
        <f t="shared" ref="AI6:AI20" si="7">IF(AND(ISNUMBER(X6),ISNUMBER(D6)),X6-D6,"NA")</f>
        <v>0</v>
      </c>
      <c r="AJ6" s="3">
        <f t="shared" ref="AJ6:AJ20" si="8">IF(AND(ISNUMBER(V6),ISNUMBER(L6)),V6-L6,"NA")</f>
        <v>-10</v>
      </c>
      <c r="AK6" s="3">
        <f t="shared" ref="AK6:AK20" si="9">IF(AND(ISNUMBER(AF6),ISNUMBER(L6)),AF6-L6,"NA")</f>
        <v>2</v>
      </c>
      <c r="AL6" s="3">
        <f t="shared" ref="AL6:AL20" si="10">IF(AND(ISNUMBER(U6),ISNUMBER(K6)),U6-K6,"NA")</f>
        <v>2</v>
      </c>
      <c r="AM6" s="3">
        <f t="shared" ref="AM6:AM20" si="11">IF(AND(ISNUMBER(AE6),ISNUMBER(K6)),AE6-K6,"NA")</f>
        <v>-3</v>
      </c>
      <c r="AN6" s="157">
        <f t="shared" ref="AN6:AN20" si="12">IF(AND(ISNUMBER(AF6),ISNUMBER(V6),ISNUMBER(L6),AJ6&lt;&gt;0),(AF6-V6)/ABS(AJ6),"NA")</f>
        <v>1.2</v>
      </c>
    </row>
    <row r="7" spans="1:40" x14ac:dyDescent="0.25">
      <c r="A7">
        <f>HikeWorldModel!A6</f>
        <v>3</v>
      </c>
      <c r="B7" s="171">
        <f>HikeWorldModel!B6</f>
        <v>45997</v>
      </c>
      <c r="C7" t="str">
        <f>HikeWorldModel!C6</f>
        <v>Ski Hut to Mount Baldy to Devil's Backbone to Trailhead</v>
      </c>
      <c r="D7" s="3">
        <f>HikeWorldModel!BB6</f>
        <v>86</v>
      </c>
      <c r="E7" s="3">
        <f>HikeWorldModel!BC6</f>
        <v>429</v>
      </c>
      <c r="F7" s="3">
        <f>HikeWorldModel!BD6</f>
        <v>64</v>
      </c>
      <c r="G7" s="3">
        <f>HikeWorldModel!BE6</f>
        <v>91</v>
      </c>
      <c r="H7" s="157">
        <f t="shared" si="0"/>
        <v>0.14918414918414918</v>
      </c>
      <c r="I7" s="157">
        <f t="shared" si="1"/>
        <v>0.21212121212121213</v>
      </c>
      <c r="J7" s="3">
        <f>HikeWorldModel!BG6</f>
        <v>2</v>
      </c>
      <c r="K7" s="3">
        <f>HikeWorldModel!BH6</f>
        <v>61</v>
      </c>
      <c r="L7" s="3">
        <f>HikeWorldModel!BJ6</f>
        <v>38</v>
      </c>
      <c r="M7" s="3">
        <f>HikeWorldModel!BL6</f>
        <v>14</v>
      </c>
      <c r="N7" s="3">
        <f>IF(ISNUMBER(HikeWorldModel!BS6),HikeWorldModel!BS6,"NA")</f>
        <v>57</v>
      </c>
      <c r="O7" s="3">
        <f>IF(ISNUMBER(HikeWorldModel!BT6),HikeWorldModel!BT6,"NA")</f>
        <v>274</v>
      </c>
      <c r="P7" s="3">
        <f>IF(ISNUMBER(HikeWorldModel!BU6),HikeWorldModel!BU6,"NA")</f>
        <v>50</v>
      </c>
      <c r="Q7" s="3">
        <f>IF(ISNUMBER(HikeWorldModel!BV6),HikeWorldModel!BV6,"NA")</f>
        <v>44</v>
      </c>
      <c r="R7" s="157">
        <f t="shared" si="2"/>
        <v>0.18248175182481752</v>
      </c>
      <c r="S7" s="157">
        <f t="shared" si="3"/>
        <v>0.16058394160583941</v>
      </c>
      <c r="T7" s="3">
        <f>IF(ISNUMBER(HikeWorldModel!BX6),HikeWorldModel!BX6,"NA")</f>
        <v>20</v>
      </c>
      <c r="U7" s="3">
        <f>IF(ISNUMBER(HikeWorldModel!BY6),HikeWorldModel!BY6,"NA")</f>
        <v>61</v>
      </c>
      <c r="V7" s="3">
        <f>IF(ISNUMBER(HikeWorldModel!CA6),HikeWorldModel!CA6,"NA")</f>
        <v>28</v>
      </c>
      <c r="W7" s="3">
        <f>IF(ISNUMBER(HikeWorldModel!CC6),HikeWorldModel!CC6,"NA")</f>
        <v>25</v>
      </c>
      <c r="X7" s="3">
        <f>IF(ISNUMBER(HikeWorldModel!CJ6),HikeWorldModel!CJ6,"NA")</f>
        <v>81</v>
      </c>
      <c r="Y7" s="3">
        <f>IF(ISNUMBER(HikeWorldModel!CK6),HikeWorldModel!CK6,"NA")</f>
        <v>398</v>
      </c>
      <c r="Z7" s="3">
        <f>IF(ISNUMBER(HikeWorldModel!CL6),HikeWorldModel!CL6,"NA")</f>
        <v>59</v>
      </c>
      <c r="AA7" s="3">
        <f>IF(ISNUMBER(HikeWorldModel!CM6),HikeWorldModel!CM6,"NA")</f>
        <v>88</v>
      </c>
      <c r="AB7" s="157">
        <f t="shared" si="4"/>
        <v>0.14824120603015076</v>
      </c>
      <c r="AC7" s="157">
        <f t="shared" si="5"/>
        <v>0.22110552763819097</v>
      </c>
      <c r="AD7" s="3">
        <f>IF(ISNUMBER(HikeWorldModel!CO6),HikeWorldModel!CO6,"NA")</f>
        <v>15</v>
      </c>
      <c r="AE7" s="3">
        <f>IF(ISNUMBER(HikeWorldModel!CP6),HikeWorldModel!CP6,"NA")</f>
        <v>59</v>
      </c>
      <c r="AF7" s="3">
        <f>IF(ISNUMBER(HikeWorldModel!CR6),HikeWorldModel!CR6,"NA")</f>
        <v>42</v>
      </c>
      <c r="AG7" s="3">
        <f>IF(ISNUMBER(HikeWorldModel!CT6),HikeWorldModel!CT6,"NA")</f>
        <v>13</v>
      </c>
      <c r="AH7" s="3">
        <f t="shared" si="6"/>
        <v>-29</v>
      </c>
      <c r="AI7" s="3">
        <f t="shared" si="7"/>
        <v>-5</v>
      </c>
      <c r="AJ7" s="3">
        <f t="shared" si="8"/>
        <v>-10</v>
      </c>
      <c r="AK7" s="3">
        <f t="shared" si="9"/>
        <v>4</v>
      </c>
      <c r="AL7" s="3">
        <f t="shared" si="10"/>
        <v>0</v>
      </c>
      <c r="AM7" s="3">
        <f t="shared" si="11"/>
        <v>-2</v>
      </c>
      <c r="AN7" s="157">
        <f t="shared" si="12"/>
        <v>1.4</v>
      </c>
    </row>
    <row r="8" spans="1:40" x14ac:dyDescent="0.25">
      <c r="A8">
        <f>HikeWorldModel!A7</f>
        <v>4</v>
      </c>
      <c r="B8" s="171">
        <f>HikeWorldModel!B7</f>
        <v>46004</v>
      </c>
      <c r="C8" t="str">
        <f>HikeWorldModel!C7</f>
        <v>Ski Hut to Mount Baldy to Devil's Backbone to Trailhead</v>
      </c>
      <c r="D8" s="3">
        <f>HikeWorldModel!BB7</f>
        <v>73</v>
      </c>
      <c r="E8" s="3">
        <f>HikeWorldModel!BC7</f>
        <v>360</v>
      </c>
      <c r="F8" s="3">
        <f>HikeWorldModel!BD7</f>
        <v>73</v>
      </c>
      <c r="G8" s="3">
        <f>HikeWorldModel!BE7</f>
        <v>49</v>
      </c>
      <c r="H8" s="157">
        <f t="shared" si="0"/>
        <v>0.20277777777777778</v>
      </c>
      <c r="I8" s="157">
        <f t="shared" si="1"/>
        <v>0.1361111111111111</v>
      </c>
      <c r="J8" s="3">
        <f>HikeWorldModel!BG7</f>
        <v>29</v>
      </c>
      <c r="K8" s="3">
        <f>HikeWorldModel!BH7</f>
        <v>58</v>
      </c>
      <c r="L8" s="3">
        <f>HikeWorldModel!BJ7</f>
        <v>38</v>
      </c>
      <c r="M8" s="3">
        <f>HikeWorldModel!BL7</f>
        <v>11</v>
      </c>
      <c r="N8" s="3">
        <f>IF(ISNUMBER(HikeWorldModel!BS7),HikeWorldModel!BS7,"NA")</f>
        <v>69</v>
      </c>
      <c r="O8" s="3">
        <f>IF(ISNUMBER(HikeWorldModel!BT7),HikeWorldModel!BT7,"NA")</f>
        <v>361</v>
      </c>
      <c r="P8" s="3">
        <f>IF(ISNUMBER(HikeWorldModel!BU7),HikeWorldModel!BU7,"NA")</f>
        <v>77</v>
      </c>
      <c r="Q8" s="3">
        <f>IF(ISNUMBER(HikeWorldModel!BV7),HikeWorldModel!BV7,"NA")</f>
        <v>38</v>
      </c>
      <c r="R8" s="157">
        <f t="shared" si="2"/>
        <v>0.21329639889196675</v>
      </c>
      <c r="S8" s="157">
        <f t="shared" si="3"/>
        <v>0.10526315789473684</v>
      </c>
      <c r="T8" s="3">
        <f>IF(ISNUMBER(HikeWorldModel!BX7),HikeWorldModel!BX7,"NA")</f>
        <v>27</v>
      </c>
      <c r="U8" s="3">
        <f>IF(ISNUMBER(HikeWorldModel!BY7),HikeWorldModel!BY7,"NA")</f>
        <v>61</v>
      </c>
      <c r="V8" s="3">
        <f>IF(ISNUMBER(HikeWorldModel!CA7),HikeWorldModel!CA7,"NA")</f>
        <v>31</v>
      </c>
      <c r="W8" s="3">
        <f>IF(ISNUMBER(HikeWorldModel!CC7),HikeWorldModel!CC7,"NA")</f>
        <v>21</v>
      </c>
      <c r="X8" s="3">
        <f>IF(ISNUMBER(HikeWorldModel!CJ7),HikeWorldModel!CJ7,"NA")</f>
        <v>63</v>
      </c>
      <c r="Y8" s="3">
        <f>IF(ISNUMBER(HikeWorldModel!CK7),HikeWorldModel!CK7,"NA")</f>
        <v>322</v>
      </c>
      <c r="Z8" s="3">
        <f>IF(ISNUMBER(HikeWorldModel!CL7),HikeWorldModel!CL7,"NA")</f>
        <v>61</v>
      </c>
      <c r="AA8" s="3">
        <f>IF(ISNUMBER(HikeWorldModel!CM7),HikeWorldModel!CM7,"NA")</f>
        <v>21</v>
      </c>
      <c r="AB8" s="157">
        <f t="shared" si="4"/>
        <v>0.18944099378881987</v>
      </c>
      <c r="AC8" s="157">
        <f t="shared" si="5"/>
        <v>6.5217391304347824E-2</v>
      </c>
      <c r="AD8" s="3">
        <f>IF(ISNUMBER(HikeWorldModel!CO7),HikeWorldModel!CO7,"NA")</f>
        <v>9</v>
      </c>
      <c r="AE8" s="3">
        <f>IF(ISNUMBER(HikeWorldModel!CP7),HikeWorldModel!CP7,"NA")</f>
        <v>62</v>
      </c>
      <c r="AF8" s="3">
        <f>IF(ISNUMBER(HikeWorldModel!CR7),HikeWorldModel!CR7,"NA")</f>
        <v>37</v>
      </c>
      <c r="AG8" s="3">
        <f>IF(ISNUMBER(HikeWorldModel!CT7),HikeWorldModel!CT7,"NA")</f>
        <v>17</v>
      </c>
      <c r="AH8" s="3">
        <f t="shared" si="6"/>
        <v>-4</v>
      </c>
      <c r="AI8" s="3">
        <f t="shared" si="7"/>
        <v>-10</v>
      </c>
      <c r="AJ8" s="3">
        <f t="shared" si="8"/>
        <v>-7</v>
      </c>
      <c r="AK8" s="3">
        <f t="shared" si="9"/>
        <v>-1</v>
      </c>
      <c r="AL8" s="3">
        <f t="shared" si="10"/>
        <v>3</v>
      </c>
      <c r="AM8" s="3">
        <f t="shared" si="11"/>
        <v>4</v>
      </c>
      <c r="AN8" s="157">
        <f t="shared" si="12"/>
        <v>0.8571428571428571</v>
      </c>
    </row>
    <row r="9" spans="1:40" x14ac:dyDescent="0.25">
      <c r="A9">
        <f>HikeWorldModel!A8</f>
        <v>5</v>
      </c>
      <c r="B9" s="171">
        <f>HikeWorldModel!B8</f>
        <v>46011</v>
      </c>
      <c r="C9" t="str">
        <f>HikeWorldModel!C8</f>
        <v>Ski Hut to Mount Baldy to Devil's Backbone to Trailhead</v>
      </c>
      <c r="D9" s="3">
        <f>HikeWorldModel!BB8</f>
        <v>73</v>
      </c>
      <c r="E9" s="3">
        <f>HikeWorldModel!BC8</f>
        <v>460</v>
      </c>
      <c r="F9" s="3">
        <f>HikeWorldModel!BD8</f>
        <v>61</v>
      </c>
      <c r="G9" s="3">
        <f>HikeWorldModel!BE8</f>
        <v>96</v>
      </c>
      <c r="H9" s="157">
        <f t="shared" si="0"/>
        <v>0.13260869565217392</v>
      </c>
      <c r="I9" s="157">
        <f t="shared" si="1"/>
        <v>0.20869565217391303</v>
      </c>
      <c r="J9" s="3">
        <f>HikeWorldModel!BG8</f>
        <v>52</v>
      </c>
      <c r="K9" s="3">
        <f>HikeWorldModel!BH8</f>
        <v>63</v>
      </c>
      <c r="L9" s="3">
        <f>HikeWorldModel!BJ8</f>
        <v>34</v>
      </c>
      <c r="M9" s="3">
        <f>HikeWorldModel!BL8</f>
        <v>21</v>
      </c>
      <c r="N9" s="3">
        <f>IF(ISNUMBER(HikeWorldModel!BS8),HikeWorldModel!BS8,"NA")</f>
        <v>66</v>
      </c>
      <c r="O9" s="3">
        <f>IF(ISNUMBER(HikeWorldModel!BT8),HikeWorldModel!BT8,"NA")</f>
        <v>324</v>
      </c>
      <c r="P9" s="3">
        <f>IF(ISNUMBER(HikeWorldModel!BU8),HikeWorldModel!BU8,"NA")</f>
        <v>43</v>
      </c>
      <c r="Q9" s="3">
        <f>IF(ISNUMBER(HikeWorldModel!BV8),HikeWorldModel!BV8,"NA")</f>
        <v>47</v>
      </c>
      <c r="R9" s="157">
        <f t="shared" si="2"/>
        <v>0.13271604938271606</v>
      </c>
      <c r="S9" s="157">
        <f t="shared" si="3"/>
        <v>0.14506172839506173</v>
      </c>
      <c r="T9" s="3">
        <f>IF(ISNUMBER(HikeWorldModel!BX8),HikeWorldModel!BX8,"NA")</f>
        <v>22</v>
      </c>
      <c r="U9" s="3">
        <f>IF(ISNUMBER(HikeWorldModel!BY8),HikeWorldModel!BY8,"NA")</f>
        <v>64</v>
      </c>
      <c r="V9" s="3">
        <f>IF(ISNUMBER(HikeWorldModel!CA8),HikeWorldModel!CA8,"NA")</f>
        <v>29</v>
      </c>
      <c r="W9" s="3">
        <f>IF(ISNUMBER(HikeWorldModel!CC8),HikeWorldModel!CC8,"NA")</f>
        <v>25</v>
      </c>
      <c r="X9" s="3">
        <f>IF(ISNUMBER(HikeWorldModel!CJ8),HikeWorldModel!CJ8,"NA")</f>
        <v>72</v>
      </c>
      <c r="Y9" s="3">
        <f>IF(ISNUMBER(HikeWorldModel!CK8),HikeWorldModel!CK8,"NA")</f>
        <v>336</v>
      </c>
      <c r="Z9" s="3">
        <f>IF(ISNUMBER(HikeWorldModel!CL8),HikeWorldModel!CL8,"NA")</f>
        <v>59</v>
      </c>
      <c r="AA9" s="3">
        <f>IF(ISNUMBER(HikeWorldModel!CM8),HikeWorldModel!CM8,"NA")</f>
        <v>38</v>
      </c>
      <c r="AB9" s="157">
        <f t="shared" si="4"/>
        <v>0.17559523809523808</v>
      </c>
      <c r="AC9" s="157">
        <f t="shared" si="5"/>
        <v>0.1130952380952381</v>
      </c>
      <c r="AD9" s="3">
        <f>IF(ISNUMBER(HikeWorldModel!CO8),HikeWorldModel!CO8,"NA")</f>
        <v>7</v>
      </c>
      <c r="AE9" s="3">
        <f>IF(ISNUMBER(HikeWorldModel!CP8),HikeWorldModel!CP8,"NA")</f>
        <v>62</v>
      </c>
      <c r="AF9" s="3">
        <f>IF(ISNUMBER(HikeWorldModel!CR8),HikeWorldModel!CR8,"NA")</f>
        <v>47</v>
      </c>
      <c r="AG9" s="3">
        <f>IF(ISNUMBER(HikeWorldModel!CT8),HikeWorldModel!CT8,"NA")</f>
        <v>12</v>
      </c>
      <c r="AH9" s="3">
        <f t="shared" si="6"/>
        <v>-7</v>
      </c>
      <c r="AI9" s="3">
        <f t="shared" si="7"/>
        <v>-1</v>
      </c>
      <c r="AJ9" s="3">
        <f t="shared" si="8"/>
        <v>-5</v>
      </c>
      <c r="AK9" s="3">
        <f t="shared" si="9"/>
        <v>13</v>
      </c>
      <c r="AL9" s="3">
        <f t="shared" si="10"/>
        <v>1</v>
      </c>
      <c r="AM9" s="3">
        <f t="shared" si="11"/>
        <v>-1</v>
      </c>
      <c r="AN9" s="157">
        <f t="shared" si="12"/>
        <v>3.6</v>
      </c>
    </row>
    <row r="10" spans="1:40" x14ac:dyDescent="0.25">
      <c r="A10">
        <f>HikeWorldModel!A9</f>
        <v>6</v>
      </c>
      <c r="B10" s="171">
        <f>HikeWorldModel!B9</f>
        <v>46018</v>
      </c>
      <c r="C10" t="str">
        <f>HikeWorldModel!C9</f>
        <v>Skinsuit to Pleasant's Peak</v>
      </c>
      <c r="D10" s="3">
        <f>HikeWorldModel!BB9</f>
        <v>73</v>
      </c>
      <c r="E10" s="3">
        <f>HikeWorldModel!BC9</f>
        <v>382</v>
      </c>
      <c r="F10" s="3">
        <f>HikeWorldModel!BD9</f>
        <v>85</v>
      </c>
      <c r="G10" s="3">
        <f>HikeWorldModel!BE9</f>
        <v>34</v>
      </c>
      <c r="H10" s="157">
        <f t="shared" si="0"/>
        <v>0.22251308900523561</v>
      </c>
      <c r="I10" s="157">
        <f t="shared" si="1"/>
        <v>8.9005235602094238E-2</v>
      </c>
      <c r="J10" s="3">
        <f>HikeWorldModel!BG9</f>
        <v>15</v>
      </c>
      <c r="K10" s="3">
        <f>HikeWorldModel!BH9</f>
        <v>57</v>
      </c>
      <c r="L10" s="3">
        <f>HikeWorldModel!BJ9</f>
        <v>38</v>
      </c>
      <c r="M10" s="3">
        <f>HikeWorldModel!BL9</f>
        <v>15</v>
      </c>
      <c r="N10" s="3">
        <f>IF(ISNUMBER(HikeWorldModel!BS9),HikeWorldModel!BS9,"NA")</f>
        <v>55</v>
      </c>
      <c r="O10" s="3">
        <f>IF(ISNUMBER(HikeWorldModel!BT9),HikeWorldModel!BT9,"NA")</f>
        <v>326</v>
      </c>
      <c r="P10" s="3">
        <f>IF(ISNUMBER(HikeWorldModel!BU9),HikeWorldModel!BU9,"NA")</f>
        <v>100</v>
      </c>
      <c r="Q10" s="3">
        <f>IF(ISNUMBER(HikeWorldModel!BV9),HikeWorldModel!BV9,"NA")</f>
        <v>38</v>
      </c>
      <c r="R10" s="157">
        <f t="shared" si="2"/>
        <v>0.30674846625766872</v>
      </c>
      <c r="S10" s="157">
        <f t="shared" si="3"/>
        <v>0.1165644171779141</v>
      </c>
      <c r="T10" s="3">
        <f>IF(ISNUMBER(HikeWorldModel!BX9),HikeWorldModel!BX9,"NA")</f>
        <v>60</v>
      </c>
      <c r="U10" s="3">
        <f>IF(ISNUMBER(HikeWorldModel!BY9),HikeWorldModel!BY9,"NA")</f>
        <v>64</v>
      </c>
      <c r="V10" s="3">
        <f>IF(ISNUMBER(HikeWorldModel!CA9),HikeWorldModel!CA9,"NA")</f>
        <v>30</v>
      </c>
      <c r="W10" s="3">
        <f>IF(ISNUMBER(HikeWorldModel!CC9),HikeWorldModel!CC9,"NA")</f>
        <v>30</v>
      </c>
      <c r="X10" s="3">
        <f>IF(ISNUMBER(HikeWorldModel!CJ9),HikeWorldModel!CJ9,"NA")</f>
        <v>75</v>
      </c>
      <c r="Y10" s="3">
        <f>IF(ISNUMBER(HikeWorldModel!CK9),HikeWorldModel!CK9,"NA")</f>
        <v>333</v>
      </c>
      <c r="Z10" s="3">
        <f>IF(ISNUMBER(HikeWorldModel!CL9),HikeWorldModel!CL9,"NA")</f>
        <v>43</v>
      </c>
      <c r="AA10" s="3">
        <f>IF(ISNUMBER(HikeWorldModel!CM9),HikeWorldModel!CM9,"NA")</f>
        <v>51</v>
      </c>
      <c r="AB10" s="157">
        <f t="shared" si="4"/>
        <v>0.12912912912912913</v>
      </c>
      <c r="AC10" s="157">
        <f t="shared" si="5"/>
        <v>0.15315315315315314</v>
      </c>
      <c r="AD10" s="3">
        <f>IF(ISNUMBER(HikeWorldModel!CO9),HikeWorldModel!CO9,"NA")</f>
        <v>17</v>
      </c>
      <c r="AE10" s="3">
        <f>IF(ISNUMBER(HikeWorldModel!CP9),HikeWorldModel!CP9,"NA")</f>
        <v>58</v>
      </c>
      <c r="AF10" s="3">
        <f>IF(ISNUMBER(HikeWorldModel!CR9),HikeWorldModel!CR9,"NA")</f>
        <v>46</v>
      </c>
      <c r="AG10" s="3">
        <f>IF(ISNUMBER(HikeWorldModel!CT9),HikeWorldModel!CT9,"NA")</f>
        <v>10</v>
      </c>
      <c r="AH10" s="3">
        <f t="shared" si="6"/>
        <v>-18</v>
      </c>
      <c r="AI10" s="3">
        <f t="shared" si="7"/>
        <v>2</v>
      </c>
      <c r="AJ10" s="3">
        <f t="shared" si="8"/>
        <v>-8</v>
      </c>
      <c r="AK10" s="3">
        <f t="shared" si="9"/>
        <v>8</v>
      </c>
      <c r="AL10" s="3">
        <f t="shared" si="10"/>
        <v>7</v>
      </c>
      <c r="AM10" s="3">
        <f t="shared" si="11"/>
        <v>1</v>
      </c>
      <c r="AN10" s="157">
        <f t="shared" si="12"/>
        <v>2</v>
      </c>
    </row>
    <row r="11" spans="1:40" x14ac:dyDescent="0.25">
      <c r="A11">
        <f>HikeWorldModel!A10</f>
        <v>7</v>
      </c>
      <c r="B11" s="171">
        <f>HikeWorldModel!B10</f>
        <v>46039</v>
      </c>
      <c r="C11" t="str">
        <f>HikeWorldModel!C10</f>
        <v>Ski Hut to Mount Baldy, out and back</v>
      </c>
      <c r="D11" s="3">
        <f>HikeWorldModel!BB10</f>
        <v>76</v>
      </c>
      <c r="E11" s="3">
        <f>HikeWorldModel!BC10</f>
        <v>335</v>
      </c>
      <c r="F11" s="3">
        <f>HikeWorldModel!BD10</f>
        <v>77</v>
      </c>
      <c r="G11" s="3">
        <f>HikeWorldModel!BE10</f>
        <v>85</v>
      </c>
      <c r="H11" s="157">
        <f t="shared" si="0"/>
        <v>0.2298507462686567</v>
      </c>
      <c r="I11" s="157">
        <f t="shared" si="1"/>
        <v>0.2537313432835821</v>
      </c>
      <c r="J11" s="3">
        <f>HikeWorldModel!BG10</f>
        <v>34</v>
      </c>
      <c r="K11" s="3">
        <f>HikeWorldModel!BH10</f>
        <v>57</v>
      </c>
      <c r="L11" s="3">
        <f>HikeWorldModel!BJ10</f>
        <v>41</v>
      </c>
      <c r="M11" s="3">
        <f>HikeWorldModel!BL10</f>
        <v>14</v>
      </c>
      <c r="N11" s="3">
        <f>IF(ISNUMBER(HikeWorldModel!BS10),HikeWorldModel!BS10,"NA")</f>
        <v>50</v>
      </c>
      <c r="O11" s="3">
        <f>IF(ISNUMBER(HikeWorldModel!BT10),HikeWorldModel!BT10,"NA")</f>
        <v>359</v>
      </c>
      <c r="P11" s="3">
        <f>IF(ISNUMBER(HikeWorldModel!BU10),HikeWorldModel!BU10,"NA")</f>
        <v>118</v>
      </c>
      <c r="Q11" s="3">
        <f>IF(ISNUMBER(HikeWorldModel!BV10),HikeWorldModel!BV10,"NA")</f>
        <v>15</v>
      </c>
      <c r="R11" s="157">
        <f t="shared" si="2"/>
        <v>0.32869080779944287</v>
      </c>
      <c r="S11" s="157">
        <f t="shared" si="3"/>
        <v>4.1782729805013928E-2</v>
      </c>
      <c r="T11" s="3">
        <f>IF(ISNUMBER(HikeWorldModel!BX10),HikeWorldModel!BX10,"NA")</f>
        <v>55</v>
      </c>
      <c r="U11" s="3">
        <f>IF(ISNUMBER(HikeWorldModel!BY10),HikeWorldModel!BY10,"NA")</f>
        <v>63</v>
      </c>
      <c r="V11" s="3">
        <f>IF(ISNUMBER(HikeWorldModel!CA10),HikeWorldModel!CA10,"NA")</f>
        <v>25</v>
      </c>
      <c r="W11" s="3">
        <f>IF(ISNUMBER(HikeWorldModel!CC10),HikeWorldModel!CC10,"NA")</f>
        <v>25</v>
      </c>
      <c r="X11" s="3">
        <f>IF(ISNUMBER(HikeWorldModel!CJ10),HikeWorldModel!CJ10,"NA")</f>
        <v>39</v>
      </c>
      <c r="Y11" s="3">
        <f>IF(ISNUMBER(HikeWorldModel!CK10),HikeWorldModel!CK10,"NA")</f>
        <v>291</v>
      </c>
      <c r="Z11" s="3">
        <f>IF(ISNUMBER(HikeWorldModel!CL10),HikeWorldModel!CL10,"NA")</f>
        <v>28</v>
      </c>
      <c r="AA11" s="3">
        <f>IF(ISNUMBER(HikeWorldModel!CM10),HikeWorldModel!CM10,"NA")</f>
        <v>0</v>
      </c>
      <c r="AB11" s="157">
        <f t="shared" si="4"/>
        <v>9.6219931271477668E-2</v>
      </c>
      <c r="AC11" s="157">
        <f t="shared" si="5"/>
        <v>0</v>
      </c>
      <c r="AD11" s="3">
        <f>IF(ISNUMBER(HikeWorldModel!CO10),HikeWorldModel!CO10,"NA")</f>
        <v>81</v>
      </c>
      <c r="AE11" s="3">
        <f>IF(ISNUMBER(HikeWorldModel!CP10),HikeWorldModel!CP10,"NA")</f>
        <v>63</v>
      </c>
      <c r="AF11" s="3">
        <f>IF(ISNUMBER(HikeWorldModel!CR10),HikeWorldModel!CR10,"NA")</f>
        <v>43</v>
      </c>
      <c r="AG11" s="3">
        <f>IF(ISNUMBER(HikeWorldModel!CT10),HikeWorldModel!CT10,"NA")</f>
        <v>14</v>
      </c>
      <c r="AH11" s="3">
        <f t="shared" si="6"/>
        <v>-26</v>
      </c>
      <c r="AI11" s="3">
        <f t="shared" si="7"/>
        <v>-37</v>
      </c>
      <c r="AJ11" s="3">
        <f t="shared" si="8"/>
        <v>-16</v>
      </c>
      <c r="AK11" s="3">
        <f t="shared" si="9"/>
        <v>2</v>
      </c>
      <c r="AL11" s="3">
        <f t="shared" si="10"/>
        <v>6</v>
      </c>
      <c r="AM11" s="3">
        <f t="shared" si="11"/>
        <v>6</v>
      </c>
      <c r="AN11" s="157">
        <f t="shared" si="12"/>
        <v>1.125</v>
      </c>
    </row>
    <row r="12" spans="1:40" x14ac:dyDescent="0.25">
      <c r="A12">
        <f>HikeWorldModel!A11</f>
        <v>8</v>
      </c>
      <c r="B12" s="171">
        <f>HikeWorldModel!B11</f>
        <v>46047</v>
      </c>
      <c r="C12" t="str">
        <f>HikeWorldModel!C11</f>
        <v>Ski Hut to Mount Baldy, out and back</v>
      </c>
      <c r="D12" s="3">
        <f>HikeWorldModel!BB11</f>
        <v>91</v>
      </c>
      <c r="E12" s="3">
        <f>HikeWorldModel!BC11</f>
        <v>441</v>
      </c>
      <c r="F12" s="3">
        <f>HikeWorldModel!BD11</f>
        <v>104</v>
      </c>
      <c r="G12" s="3">
        <f>HikeWorldModel!BE11</f>
        <v>90</v>
      </c>
      <c r="H12" s="157">
        <f t="shared" si="0"/>
        <v>0.23582766439909297</v>
      </c>
      <c r="I12" s="157">
        <f t="shared" si="1"/>
        <v>0.20408163265306123</v>
      </c>
      <c r="J12" s="3">
        <f>HikeWorldModel!BG11</f>
        <v>10</v>
      </c>
      <c r="K12" s="3">
        <f>HikeWorldModel!BH11</f>
        <v>61</v>
      </c>
      <c r="L12" s="3">
        <f>HikeWorldModel!BJ11</f>
        <v>41</v>
      </c>
      <c r="M12" s="3">
        <f>HikeWorldModel!BL11</f>
        <v>12</v>
      </c>
      <c r="N12" s="3">
        <f>IF(ISNUMBER(HikeWorldModel!BS11),HikeWorldModel!BS11,"NA")</f>
        <v>62</v>
      </c>
      <c r="O12" s="3">
        <f>IF(ISNUMBER(HikeWorldModel!BT11),HikeWorldModel!BT11,"NA")</f>
        <v>405</v>
      </c>
      <c r="P12" s="3">
        <f>IF(ISNUMBER(HikeWorldModel!BU11),HikeWorldModel!BU11,"NA")</f>
        <v>92</v>
      </c>
      <c r="Q12" s="3">
        <f>IF(ISNUMBER(HikeWorldModel!BV11),HikeWorldModel!BV11,"NA")</f>
        <v>52</v>
      </c>
      <c r="R12" s="157">
        <f t="shared" si="2"/>
        <v>0.2271604938271605</v>
      </c>
      <c r="S12" s="157">
        <f t="shared" si="3"/>
        <v>0.12839506172839507</v>
      </c>
      <c r="T12" s="3">
        <f>IF(ISNUMBER(HikeWorldModel!BX11),HikeWorldModel!BX11,"NA")</f>
        <v>64</v>
      </c>
      <c r="U12" s="3">
        <f>IF(ISNUMBER(HikeWorldModel!BY11),HikeWorldModel!BY11,"NA")</f>
        <v>61</v>
      </c>
      <c r="V12" s="3">
        <f>IF(ISNUMBER(HikeWorldModel!CA11),HikeWorldModel!CA11,"NA")</f>
        <v>29</v>
      </c>
      <c r="W12" s="3">
        <f>IF(ISNUMBER(HikeWorldModel!CC11),HikeWorldModel!CC11,"NA")</f>
        <v>23</v>
      </c>
      <c r="X12" s="3">
        <f>IF(ISNUMBER(HikeWorldModel!CJ11),HikeWorldModel!CJ11,"NA")</f>
        <v>71</v>
      </c>
      <c r="Y12" s="3">
        <f>IF(ISNUMBER(HikeWorldModel!CK11),HikeWorldModel!CK11,"NA")</f>
        <v>334</v>
      </c>
      <c r="Z12" s="3">
        <f>IF(ISNUMBER(HikeWorldModel!CL11),HikeWorldModel!CL11,"NA")</f>
        <v>60</v>
      </c>
      <c r="AA12" s="3">
        <f>IF(ISNUMBER(HikeWorldModel!CM11),HikeWorldModel!CM11,"NA")</f>
        <v>62</v>
      </c>
      <c r="AB12" s="157">
        <f t="shared" si="4"/>
        <v>0.17964071856287425</v>
      </c>
      <c r="AC12" s="157">
        <f t="shared" si="5"/>
        <v>0.18562874251497005</v>
      </c>
      <c r="AD12" s="3">
        <f>IF(ISNUMBER(HikeWorldModel!CO11),HikeWorldModel!CO11,"NA")</f>
        <v>26</v>
      </c>
      <c r="AE12" s="3">
        <f>IF(ISNUMBER(HikeWorldModel!CP11),HikeWorldModel!CP11,"NA")</f>
        <v>60</v>
      </c>
      <c r="AF12" s="3">
        <f>IF(ISNUMBER(HikeWorldModel!CR11),HikeWorldModel!CR11,"NA")</f>
        <v>40</v>
      </c>
      <c r="AG12" s="3">
        <f>IF(ISNUMBER(HikeWorldModel!CT11),HikeWorldModel!CT11,"NA")</f>
        <v>15</v>
      </c>
      <c r="AH12" s="3">
        <f t="shared" si="6"/>
        <v>-29</v>
      </c>
      <c r="AI12" s="3">
        <f t="shared" si="7"/>
        <v>-20</v>
      </c>
      <c r="AJ12" s="3">
        <f t="shared" si="8"/>
        <v>-12</v>
      </c>
      <c r="AK12" s="3">
        <f t="shared" si="9"/>
        <v>-1</v>
      </c>
      <c r="AL12" s="3">
        <f t="shared" si="10"/>
        <v>0</v>
      </c>
      <c r="AM12" s="3">
        <f t="shared" si="11"/>
        <v>-1</v>
      </c>
      <c r="AN12" s="157">
        <f t="shared" si="12"/>
        <v>0.91666666666666663</v>
      </c>
    </row>
    <row r="13" spans="1:40" x14ac:dyDescent="0.25">
      <c r="A13">
        <f>HikeWorldModel!A12</f>
        <v>9</v>
      </c>
      <c r="B13" s="171">
        <f>HikeWorldModel!B12</f>
        <v>46053</v>
      </c>
      <c r="C13" t="str">
        <f>HikeWorldModel!C12</f>
        <v>Ski Hut to Mount Baldy, out and back</v>
      </c>
      <c r="D13" s="3">
        <f>HikeWorldModel!BB12</f>
        <v>52</v>
      </c>
      <c r="E13" s="3">
        <f>HikeWorldModel!BC12</f>
        <v>419</v>
      </c>
      <c r="F13" s="3">
        <f>HikeWorldModel!BD12</f>
        <v>64</v>
      </c>
      <c r="G13" s="3">
        <f>HikeWorldModel!BE12</f>
        <v>75</v>
      </c>
      <c r="H13" s="157">
        <f t="shared" si="0"/>
        <v>0.15274463007159905</v>
      </c>
      <c r="I13" s="157">
        <f t="shared" si="1"/>
        <v>0.17899761336515513</v>
      </c>
      <c r="J13" s="3">
        <f>HikeWorldModel!BG12</f>
        <v>102</v>
      </c>
      <c r="K13" s="3">
        <f>HikeWorldModel!BH12</f>
        <v>61</v>
      </c>
      <c r="L13" s="3">
        <f>HikeWorldModel!BJ12</f>
        <v>37</v>
      </c>
      <c r="M13" s="3">
        <f>HikeWorldModel!BL12</f>
        <v>16</v>
      </c>
      <c r="N13" s="3">
        <f>IF(ISNUMBER(HikeWorldModel!BS12),HikeWorldModel!BS12,"NA")</f>
        <v>56</v>
      </c>
      <c r="O13" s="3">
        <f>IF(ISNUMBER(HikeWorldModel!BT12),HikeWorldModel!BT12,"NA")</f>
        <v>369</v>
      </c>
      <c r="P13" s="3">
        <f>IF(ISNUMBER(HikeWorldModel!BU12),HikeWorldModel!BU12,"NA")</f>
        <v>72</v>
      </c>
      <c r="Q13" s="3">
        <f>IF(ISNUMBER(HikeWorldModel!BV12),HikeWorldModel!BV12,"NA")</f>
        <v>5</v>
      </c>
      <c r="R13" s="157">
        <f t="shared" si="2"/>
        <v>0.1951219512195122</v>
      </c>
      <c r="S13" s="157">
        <f t="shared" si="3"/>
        <v>1.3550135501355014E-2</v>
      </c>
      <c r="T13" s="3">
        <f>IF(ISNUMBER(HikeWorldModel!BX12),HikeWorldModel!BX12,"NA")</f>
        <v>38</v>
      </c>
      <c r="U13" s="3">
        <f>IF(ISNUMBER(HikeWorldModel!BY12),HikeWorldModel!BY12,"NA")</f>
        <v>62</v>
      </c>
      <c r="V13" s="3">
        <f>IF(ISNUMBER(HikeWorldModel!CA12),HikeWorldModel!CA12,"NA")</f>
        <v>32</v>
      </c>
      <c r="W13" s="3">
        <f>IF(ISNUMBER(HikeWorldModel!CC12),HikeWorldModel!CC12,"NA")</f>
        <v>22</v>
      </c>
      <c r="X13" s="3">
        <f>IF(ISNUMBER(HikeWorldModel!CJ12),HikeWorldModel!CJ12,"NA")</f>
        <v>59</v>
      </c>
      <c r="Y13" s="3">
        <f>IF(ISNUMBER(HikeWorldModel!CK12),HikeWorldModel!CK12,"NA")</f>
        <v>371</v>
      </c>
      <c r="Z13" s="3">
        <f>IF(ISNUMBER(HikeWorldModel!CL12),HikeWorldModel!CL12,"NA")</f>
        <v>64</v>
      </c>
      <c r="AA13" s="3">
        <f>IF(ISNUMBER(HikeWorldModel!CM12),HikeWorldModel!CM12,"NA")</f>
        <v>23</v>
      </c>
      <c r="AB13" s="157">
        <f t="shared" si="4"/>
        <v>0.1725067385444744</v>
      </c>
      <c r="AC13" s="157">
        <f t="shared" si="5"/>
        <v>6.1994609164420483E-2</v>
      </c>
      <c r="AD13" s="3">
        <f>IF(ISNUMBER(HikeWorldModel!CO12),HikeWorldModel!CO12,"NA")</f>
        <v>29</v>
      </c>
      <c r="AE13" s="3">
        <f>IF(ISNUMBER(HikeWorldModel!CP12),HikeWorldModel!CP12,"NA")</f>
        <v>63</v>
      </c>
      <c r="AF13" s="3">
        <f>IF(ISNUMBER(HikeWorldModel!CR12),HikeWorldModel!CR12,"NA")</f>
        <v>31</v>
      </c>
      <c r="AG13" s="3">
        <f>IF(ISNUMBER(HikeWorldModel!CT12),HikeWorldModel!CT12,"NA")</f>
        <v>22</v>
      </c>
      <c r="AH13" s="3">
        <f t="shared" si="6"/>
        <v>4</v>
      </c>
      <c r="AI13" s="3">
        <f t="shared" si="7"/>
        <v>7</v>
      </c>
      <c r="AJ13" s="3">
        <f t="shared" si="8"/>
        <v>-5</v>
      </c>
      <c r="AK13" s="3">
        <f t="shared" si="9"/>
        <v>-6</v>
      </c>
      <c r="AL13" s="3">
        <f t="shared" si="10"/>
        <v>1</v>
      </c>
      <c r="AM13" s="3">
        <f t="shared" si="11"/>
        <v>2</v>
      </c>
      <c r="AN13" s="157">
        <f t="shared" si="12"/>
        <v>-0.2</v>
      </c>
    </row>
    <row r="14" spans="1:40" x14ac:dyDescent="0.25">
      <c r="A14">
        <f>HikeWorldModel!A13</f>
        <v>10</v>
      </c>
      <c r="B14" s="171">
        <f>HikeWorldModel!B13</f>
        <v>46060</v>
      </c>
      <c r="C14" t="str">
        <f>HikeWorldModel!C13</f>
        <v>Ski Hut to Mount Baldy, out and back</v>
      </c>
      <c r="D14" s="3">
        <f>HikeWorldModel!BB13</f>
        <v>78</v>
      </c>
      <c r="E14" s="3">
        <f>HikeWorldModel!BC13</f>
        <v>358</v>
      </c>
      <c r="F14" s="3">
        <f>HikeWorldModel!BD13</f>
        <v>72</v>
      </c>
      <c r="G14" s="3">
        <f>HikeWorldModel!BE13</f>
        <v>67</v>
      </c>
      <c r="H14" s="157">
        <f t="shared" si="0"/>
        <v>0.2011173184357542</v>
      </c>
      <c r="I14" s="157">
        <f t="shared" si="1"/>
        <v>0.18715083798882681</v>
      </c>
      <c r="J14" s="3">
        <f>HikeWorldModel!BG13</f>
        <v>6</v>
      </c>
      <c r="K14" s="3">
        <f>HikeWorldModel!BH13</f>
        <v>57</v>
      </c>
      <c r="L14" s="3">
        <f>HikeWorldModel!BJ13</f>
        <v>36</v>
      </c>
      <c r="M14" s="3">
        <f>HikeWorldModel!BL13</f>
        <v>12</v>
      </c>
      <c r="N14" s="3">
        <f>IF(ISNUMBER(HikeWorldModel!BS13),HikeWorldModel!BS13,"NA")</f>
        <v>71</v>
      </c>
      <c r="O14" s="3">
        <f>IF(ISNUMBER(HikeWorldModel!BT13),HikeWorldModel!BT13,"NA")</f>
        <v>308</v>
      </c>
      <c r="P14" s="3">
        <f>IF(ISNUMBER(HikeWorldModel!BU13),HikeWorldModel!BU13,"NA")</f>
        <v>89</v>
      </c>
      <c r="Q14" s="3">
        <f>IF(ISNUMBER(HikeWorldModel!BV13),HikeWorldModel!BV13,"NA")</f>
        <v>63</v>
      </c>
      <c r="R14" s="157">
        <f t="shared" si="2"/>
        <v>0.28896103896103897</v>
      </c>
      <c r="S14" s="157">
        <f t="shared" si="3"/>
        <v>0.20454545454545456</v>
      </c>
      <c r="T14" s="3">
        <f>IF(ISNUMBER(HikeWorldModel!BX13),HikeWorldModel!BX13,"NA")</f>
        <v>29</v>
      </c>
      <c r="U14" s="3">
        <f>IF(ISNUMBER(HikeWorldModel!BY13),HikeWorldModel!BY13,"NA")</f>
        <v>63</v>
      </c>
      <c r="V14" s="3">
        <f>IF(ISNUMBER(HikeWorldModel!CA13),HikeWorldModel!CA13,"NA")</f>
        <v>23</v>
      </c>
      <c r="W14" s="3">
        <f>IF(ISNUMBER(HikeWorldModel!CC13),HikeWorldModel!CC13,"NA")</f>
        <v>24</v>
      </c>
      <c r="X14" s="3">
        <f>IF(ISNUMBER(HikeWorldModel!CJ13),HikeWorldModel!CJ13,"NA")</f>
        <v>65</v>
      </c>
      <c r="Y14" s="3">
        <f>IF(ISNUMBER(HikeWorldModel!CK13),HikeWorldModel!CK13,"NA")</f>
        <v>412</v>
      </c>
      <c r="Z14" s="3">
        <f>IF(ISNUMBER(HikeWorldModel!CL13),HikeWorldModel!CL13,"NA")</f>
        <v>92</v>
      </c>
      <c r="AA14" s="3">
        <f>IF(ISNUMBER(HikeWorldModel!CM13),HikeWorldModel!CM13,"NA")</f>
        <v>84</v>
      </c>
      <c r="AB14" s="157">
        <f t="shared" si="4"/>
        <v>0.22330097087378642</v>
      </c>
      <c r="AC14" s="157">
        <f t="shared" si="5"/>
        <v>0.20388349514563106</v>
      </c>
      <c r="AD14" s="3">
        <f>IF(ISNUMBER(HikeWorldModel!CO13),HikeWorldModel!CO13,"NA")</f>
        <v>59</v>
      </c>
      <c r="AE14" s="3">
        <f>IF(ISNUMBER(HikeWorldModel!CP13),HikeWorldModel!CP13,"NA")</f>
        <v>61</v>
      </c>
      <c r="AF14" s="3">
        <f>IF(ISNUMBER(HikeWorldModel!CR13),HikeWorldModel!CR13,"NA")</f>
        <v>39</v>
      </c>
      <c r="AG14" s="3">
        <f>IF(ISNUMBER(HikeWorldModel!CT13),HikeWorldModel!CT13,"NA")</f>
        <v>16</v>
      </c>
      <c r="AH14" s="3">
        <f t="shared" si="6"/>
        <v>-7</v>
      </c>
      <c r="AI14" s="3">
        <f t="shared" si="7"/>
        <v>-13</v>
      </c>
      <c r="AJ14" s="3">
        <f t="shared" si="8"/>
        <v>-13</v>
      </c>
      <c r="AK14" s="3">
        <f t="shared" si="9"/>
        <v>3</v>
      </c>
      <c r="AL14" s="3">
        <f t="shared" si="10"/>
        <v>6</v>
      </c>
      <c r="AM14" s="3">
        <f t="shared" si="11"/>
        <v>4</v>
      </c>
      <c r="AN14" s="157">
        <f t="shared" si="12"/>
        <v>1.2307692307692308</v>
      </c>
    </row>
    <row r="15" spans="1:40" x14ac:dyDescent="0.25">
      <c r="A15">
        <f>HikeWorldModel!A14</f>
        <v>11</v>
      </c>
      <c r="B15" s="171">
        <f>HikeWorldModel!B14</f>
        <v>46068</v>
      </c>
      <c r="C15" t="str">
        <f>HikeWorldModel!C14</f>
        <v>Sturtevant Falls to Mount Wilson</v>
      </c>
      <c r="D15" s="3">
        <f>HikeWorldModel!BB14</f>
        <v>57</v>
      </c>
      <c r="E15" s="3">
        <f>HikeWorldModel!BC14</f>
        <v>254</v>
      </c>
      <c r="F15" s="3">
        <f>HikeWorldModel!BD14</f>
        <v>70</v>
      </c>
      <c r="G15" s="3">
        <f>HikeWorldModel!BE14</f>
        <v>48</v>
      </c>
      <c r="H15" s="157">
        <f t="shared" si="0"/>
        <v>0.27559055118110237</v>
      </c>
      <c r="I15" s="157">
        <f t="shared" si="1"/>
        <v>0.1889763779527559</v>
      </c>
      <c r="J15" s="3">
        <f>HikeWorldModel!BG14</f>
        <v>5</v>
      </c>
      <c r="K15" s="3">
        <f>HikeWorldModel!BH14</f>
        <v>57</v>
      </c>
      <c r="L15" s="3">
        <f>HikeWorldModel!BJ14</f>
        <v>36</v>
      </c>
      <c r="M15" s="3">
        <f>HikeWorldModel!BL14</f>
        <v>14</v>
      </c>
      <c r="N15" s="3">
        <f>IF(ISNUMBER(HikeWorldModel!BS14),HikeWorldModel!BS14,"NA")</f>
        <v>54</v>
      </c>
      <c r="O15" s="3">
        <f>IF(ISNUMBER(HikeWorldModel!BT14),HikeWorldModel!BT14,"NA")</f>
        <v>227</v>
      </c>
      <c r="P15" s="3">
        <f>IF(ISNUMBER(HikeWorldModel!BU14),HikeWorldModel!BU14,"NA")</f>
        <v>118</v>
      </c>
      <c r="Q15" s="3">
        <f>IF(ISNUMBER(HikeWorldModel!BV14),HikeWorldModel!BV14,"NA")</f>
        <v>25</v>
      </c>
      <c r="R15" s="157">
        <f t="shared" si="2"/>
        <v>0.51982378854625555</v>
      </c>
      <c r="S15" s="157">
        <f t="shared" si="3"/>
        <v>0.11013215859030837</v>
      </c>
      <c r="T15" s="3">
        <f>IF(ISNUMBER(HikeWorldModel!BX14),HikeWorldModel!BX14,"NA")</f>
        <v>50</v>
      </c>
      <c r="U15" s="3">
        <f>IF(ISNUMBER(HikeWorldModel!BY14),HikeWorldModel!BY14,"NA")</f>
        <v>65</v>
      </c>
      <c r="V15" s="3">
        <f>IF(ISNUMBER(HikeWorldModel!CA14),HikeWorldModel!CA14,"NA")</f>
        <v>24</v>
      </c>
      <c r="W15" s="3">
        <f>IF(ISNUMBER(HikeWorldModel!CC14),HikeWorldModel!CC14,"NA")</f>
        <v>30</v>
      </c>
      <c r="X15" s="3">
        <f>IF(ISNUMBER(HikeWorldModel!CJ14),HikeWorldModel!CJ14,"NA")</f>
        <v>64</v>
      </c>
      <c r="Y15" s="3">
        <f>IF(ISNUMBER(HikeWorldModel!CK14),HikeWorldModel!CK14,"NA")</f>
        <v>328</v>
      </c>
      <c r="Z15" s="3">
        <f>IF(ISNUMBER(HikeWorldModel!CL14),HikeWorldModel!CL14,"NA")</f>
        <v>58</v>
      </c>
      <c r="AA15" s="3">
        <f>IF(ISNUMBER(HikeWorldModel!CM14),HikeWorldModel!CM14,"NA")</f>
        <v>19</v>
      </c>
      <c r="AB15" s="157">
        <f t="shared" si="4"/>
        <v>0.17682926829268292</v>
      </c>
      <c r="AC15" s="157">
        <f t="shared" si="5"/>
        <v>5.7926829268292686E-2</v>
      </c>
      <c r="AD15" s="3">
        <f>IF(ISNUMBER(HikeWorldModel!CO14),HikeWorldModel!CO14,"NA")</f>
        <v>6</v>
      </c>
      <c r="AE15" s="3">
        <f>IF(ISNUMBER(HikeWorldModel!CP14),HikeWorldModel!CP14,"NA")</f>
        <v>63</v>
      </c>
      <c r="AF15" s="3">
        <f>IF(ISNUMBER(HikeWorldModel!CR14),HikeWorldModel!CR14,"NA")</f>
        <v>35</v>
      </c>
      <c r="AG15" s="3">
        <f>IF(ISNUMBER(HikeWorldModel!CT14),HikeWorldModel!CT14,"NA")</f>
        <v>21</v>
      </c>
      <c r="AH15" s="3">
        <f t="shared" si="6"/>
        <v>-3</v>
      </c>
      <c r="AI15" s="3">
        <f t="shared" si="7"/>
        <v>7</v>
      </c>
      <c r="AJ15" s="3">
        <f t="shared" si="8"/>
        <v>-12</v>
      </c>
      <c r="AK15" s="3">
        <f t="shared" si="9"/>
        <v>-1</v>
      </c>
      <c r="AL15" s="3">
        <f t="shared" si="10"/>
        <v>8</v>
      </c>
      <c r="AM15" s="3">
        <f t="shared" si="11"/>
        <v>6</v>
      </c>
      <c r="AN15" s="157">
        <f t="shared" si="12"/>
        <v>0.91666666666666663</v>
      </c>
    </row>
    <row r="16" spans="1:40" x14ac:dyDescent="0.25">
      <c r="A16">
        <f>HikeWorldModel!A15</f>
        <v>12</v>
      </c>
      <c r="B16" s="171">
        <f>HikeWorldModel!B15</f>
        <v>46075</v>
      </c>
      <c r="C16" t="str">
        <f>HikeWorldModel!C15</f>
        <v>Sturtevant Falls to Mount Wilson</v>
      </c>
      <c r="D16" s="3">
        <f>HikeWorldModel!BB15</f>
        <v>60</v>
      </c>
      <c r="E16" s="3">
        <f>HikeWorldModel!BC15</f>
        <v>352</v>
      </c>
      <c r="F16" s="3">
        <f>HikeWorldModel!BD15</f>
        <v>37</v>
      </c>
      <c r="G16" s="3">
        <f>HikeWorldModel!BE15</f>
        <v>27</v>
      </c>
      <c r="H16" s="157">
        <f t="shared" si="0"/>
        <v>0.10511363636363637</v>
      </c>
      <c r="I16" s="157">
        <f t="shared" si="1"/>
        <v>7.6704545454545456E-2</v>
      </c>
      <c r="J16" s="3">
        <f>HikeWorldModel!BG15</f>
        <v>49</v>
      </c>
      <c r="K16" s="3">
        <f>HikeWorldModel!BH15</f>
        <v>61</v>
      </c>
      <c r="L16" s="3">
        <f>HikeWorldModel!BJ15</f>
        <v>34</v>
      </c>
      <c r="M16" s="3">
        <f>HikeWorldModel!BL15</f>
        <v>19</v>
      </c>
      <c r="N16" s="3" t="str">
        <f>IF(ISNUMBER(HikeWorldModel!BS15),HikeWorldModel!BS15,"NA")</f>
        <v>NA</v>
      </c>
      <c r="O16" s="3" t="str">
        <f>IF(ISNUMBER(HikeWorldModel!BT15),HikeWorldModel!BT15,"NA")</f>
        <v>NA</v>
      </c>
      <c r="P16" s="3" t="str">
        <f>IF(ISNUMBER(HikeWorldModel!BU15),HikeWorldModel!BU15,"NA")</f>
        <v>NA</v>
      </c>
      <c r="Q16" s="3" t="str">
        <f>IF(ISNUMBER(HikeWorldModel!BV15),HikeWorldModel!BV15,"NA")</f>
        <v>NA</v>
      </c>
      <c r="R16" s="157" t="str">
        <f t="shared" si="2"/>
        <v>NA</v>
      </c>
      <c r="S16" s="157" t="str">
        <f t="shared" si="3"/>
        <v>NA</v>
      </c>
      <c r="T16" s="3" t="str">
        <f>IF(ISNUMBER(HikeWorldModel!BX15),HikeWorldModel!BX15,"NA")</f>
        <v>NA</v>
      </c>
      <c r="U16" s="3" t="str">
        <f>IF(ISNUMBER(HikeWorldModel!BY15),HikeWorldModel!BY15,"NA")</f>
        <v>NA</v>
      </c>
      <c r="V16" s="3" t="str">
        <f>IF(ISNUMBER(HikeWorldModel!CA15),HikeWorldModel!CA15,"NA")</f>
        <v>NA</v>
      </c>
      <c r="W16" s="3" t="str">
        <f>IF(ISNUMBER(HikeWorldModel!CC15),HikeWorldModel!CC15,"NA")</f>
        <v>NA</v>
      </c>
      <c r="X16" s="3">
        <f>IF(ISNUMBER(HikeWorldModel!CJ15),HikeWorldModel!CJ15,"NA")</f>
        <v>47</v>
      </c>
      <c r="Y16" s="3">
        <f>IF(ISNUMBER(HikeWorldModel!CK15),HikeWorldModel!CK15,"NA")</f>
        <v>254</v>
      </c>
      <c r="Z16" s="3">
        <f>IF(ISNUMBER(HikeWorldModel!CL15),HikeWorldModel!CL15,"NA")</f>
        <v>96</v>
      </c>
      <c r="AA16" s="3">
        <f>IF(ISNUMBER(HikeWorldModel!CM15),HikeWorldModel!CM15,"NA")</f>
        <v>0</v>
      </c>
      <c r="AB16" s="157">
        <f t="shared" si="4"/>
        <v>0.37795275590551181</v>
      </c>
      <c r="AC16" s="157">
        <f t="shared" si="5"/>
        <v>0</v>
      </c>
      <c r="AD16" s="3">
        <f>IF(ISNUMBER(HikeWorldModel!CO15),HikeWorldModel!CO15,"NA")</f>
        <v>6</v>
      </c>
      <c r="AE16" s="3">
        <f>IF(ISNUMBER(HikeWorldModel!CP15),HikeWorldModel!CP15,"NA")</f>
        <v>63</v>
      </c>
      <c r="AF16" s="3">
        <f>IF(ISNUMBER(HikeWorldModel!CR15),HikeWorldModel!CR15,"NA")</f>
        <v>34</v>
      </c>
      <c r="AG16" s="3">
        <f>IF(ISNUMBER(HikeWorldModel!CT15),HikeWorldModel!CT15,"NA")</f>
        <v>19</v>
      </c>
      <c r="AH16" s="3" t="str">
        <f t="shared" si="6"/>
        <v>NA</v>
      </c>
      <c r="AI16" s="3">
        <f t="shared" si="7"/>
        <v>-13</v>
      </c>
      <c r="AJ16" s="3" t="str">
        <f t="shared" si="8"/>
        <v>NA</v>
      </c>
      <c r="AK16" s="3">
        <f t="shared" si="9"/>
        <v>0</v>
      </c>
      <c r="AL16" s="3" t="str">
        <f t="shared" si="10"/>
        <v>NA</v>
      </c>
      <c r="AM16" s="3">
        <f t="shared" si="11"/>
        <v>2</v>
      </c>
      <c r="AN16" s="157" t="str">
        <f t="shared" si="12"/>
        <v>NA</v>
      </c>
    </row>
    <row r="17" spans="1:40" x14ac:dyDescent="0.25">
      <c r="A17">
        <f>HikeWorldModel!A16</f>
        <v>13</v>
      </c>
      <c r="B17" s="171">
        <f>HikeWorldModel!B16</f>
        <v>46082</v>
      </c>
      <c r="C17" t="str">
        <f>HikeWorldModel!C16</f>
        <v>Skinsuit to Hagador Peak</v>
      </c>
      <c r="D17" s="3">
        <f>HikeWorldModel!BB16</f>
        <v>55</v>
      </c>
      <c r="E17" s="3">
        <f>HikeWorldModel!BC16</f>
        <v>444</v>
      </c>
      <c r="F17" s="3">
        <f>HikeWorldModel!BD16</f>
        <v>121</v>
      </c>
      <c r="G17" s="3">
        <f>HikeWorldModel!BE16</f>
        <v>38</v>
      </c>
      <c r="H17" s="157">
        <f t="shared" si="0"/>
        <v>0.27252252252252251</v>
      </c>
      <c r="I17" s="157">
        <f t="shared" si="1"/>
        <v>8.5585585585585586E-2</v>
      </c>
      <c r="J17" s="3">
        <f>HikeWorldModel!BG16</f>
        <v>72</v>
      </c>
      <c r="K17" s="3">
        <f>HikeWorldModel!BH16</f>
        <v>61</v>
      </c>
      <c r="L17" s="3">
        <f>HikeWorldModel!BJ16</f>
        <v>29</v>
      </c>
      <c r="M17" s="3">
        <f>HikeWorldModel!BL16</f>
        <v>21</v>
      </c>
      <c r="N17" s="3">
        <f>IF(ISNUMBER(HikeWorldModel!BS16),HikeWorldModel!BS16,"NA")</f>
        <v>52</v>
      </c>
      <c r="O17" s="3">
        <f>IF(ISNUMBER(HikeWorldModel!BT16),HikeWorldModel!BT16,"NA")</f>
        <v>356</v>
      </c>
      <c r="P17" s="3">
        <f>IF(ISNUMBER(HikeWorldModel!BU16),HikeWorldModel!BU16,"NA")</f>
        <v>67</v>
      </c>
      <c r="Q17" s="3">
        <f>IF(ISNUMBER(HikeWorldModel!BV16),HikeWorldModel!BV16,"NA")</f>
        <v>30</v>
      </c>
      <c r="R17" s="157">
        <f t="shared" si="2"/>
        <v>0.18820224719101122</v>
      </c>
      <c r="S17" s="157">
        <f t="shared" si="3"/>
        <v>8.4269662921348312E-2</v>
      </c>
      <c r="T17" s="3">
        <f>IF(ISNUMBER(HikeWorldModel!BX16),HikeWorldModel!BX16,"NA")</f>
        <v>91</v>
      </c>
      <c r="U17" s="3">
        <f>IF(ISNUMBER(HikeWorldModel!BY16),HikeWorldModel!BY16,"NA")</f>
        <v>60</v>
      </c>
      <c r="V17" s="3">
        <f>IF(ISNUMBER(HikeWorldModel!CA16),HikeWorldModel!CA16,"NA")</f>
        <v>31</v>
      </c>
      <c r="W17" s="3">
        <f>IF(ISNUMBER(HikeWorldModel!CC16),HikeWorldModel!CC16,"NA")</f>
        <v>25</v>
      </c>
      <c r="X17" s="3">
        <f>IF(ISNUMBER(HikeWorldModel!CJ16),HikeWorldModel!CJ16,"NA")</f>
        <v>78</v>
      </c>
      <c r="Y17" s="3">
        <f>IF(ISNUMBER(HikeWorldModel!CK16),HikeWorldModel!CK16,"NA")</f>
        <v>501</v>
      </c>
      <c r="Z17" s="3">
        <f>IF(ISNUMBER(HikeWorldModel!CL16),HikeWorldModel!CL16,"NA")</f>
        <v>70</v>
      </c>
      <c r="AA17" s="3">
        <f>IF(ISNUMBER(HikeWorldModel!CM16),HikeWorldModel!CM16,"NA")</f>
        <v>102</v>
      </c>
      <c r="AB17" s="157">
        <f t="shared" si="4"/>
        <v>0.13972055888223553</v>
      </c>
      <c r="AC17" s="157">
        <f t="shared" si="5"/>
        <v>0.20359281437125748</v>
      </c>
      <c r="AD17" s="3">
        <f>IF(ISNUMBER(HikeWorldModel!CO16),HikeWorldModel!CO16,"NA")</f>
        <v>65</v>
      </c>
      <c r="AE17" s="3">
        <f>IF(ISNUMBER(HikeWorldModel!CP16),HikeWorldModel!CP16,"NA")</f>
        <v>59</v>
      </c>
      <c r="AF17" s="3">
        <f>IF(ISNUMBER(HikeWorldModel!CR16),HikeWorldModel!CR16,"NA")</f>
        <v>39</v>
      </c>
      <c r="AG17" s="3">
        <f>IF(ISNUMBER(HikeWorldModel!CT16),HikeWorldModel!CT16,"NA")</f>
        <v>14</v>
      </c>
      <c r="AH17" s="3">
        <f t="shared" si="6"/>
        <v>-3</v>
      </c>
      <c r="AI17" s="3">
        <f t="shared" si="7"/>
        <v>23</v>
      </c>
      <c r="AJ17" s="3">
        <f t="shared" si="8"/>
        <v>2</v>
      </c>
      <c r="AK17" s="3">
        <f t="shared" si="9"/>
        <v>10</v>
      </c>
      <c r="AL17" s="3">
        <f t="shared" si="10"/>
        <v>-1</v>
      </c>
      <c r="AM17" s="3">
        <f t="shared" si="11"/>
        <v>-2</v>
      </c>
      <c r="AN17" s="157">
        <f t="shared" si="12"/>
        <v>4</v>
      </c>
    </row>
    <row r="18" spans="1:40" x14ac:dyDescent="0.25">
      <c r="A18">
        <f>HikeWorldModel!A17</f>
        <v>14</v>
      </c>
      <c r="B18" s="171">
        <f>HikeWorldModel!B17</f>
        <v>46095</v>
      </c>
      <c r="C18" t="str">
        <f>HikeWorldModel!C17</f>
        <v>Little Santa Anita to Mount Wilson</v>
      </c>
      <c r="D18" s="3">
        <f>HikeWorldModel!BB17</f>
        <v>77</v>
      </c>
      <c r="E18" s="3">
        <f>HikeWorldModel!BC17</f>
        <v>359</v>
      </c>
      <c r="F18" s="3">
        <f>HikeWorldModel!BD17</f>
        <v>66</v>
      </c>
      <c r="G18" s="3">
        <f>HikeWorldModel!BE17</f>
        <v>43</v>
      </c>
      <c r="H18" s="157">
        <f t="shared" si="0"/>
        <v>0.18384401114206128</v>
      </c>
      <c r="I18" s="157">
        <f t="shared" si="1"/>
        <v>0.11977715877437325</v>
      </c>
      <c r="J18" s="3">
        <f>HikeWorldModel!BG17</f>
        <v>25</v>
      </c>
      <c r="K18" s="3">
        <f>HikeWorldModel!BH17</f>
        <v>59</v>
      </c>
      <c r="L18" s="3">
        <f>HikeWorldModel!BJ17</f>
        <v>34</v>
      </c>
      <c r="M18" s="3">
        <f>HikeWorldModel!BL17</f>
        <v>17</v>
      </c>
      <c r="N18" s="3">
        <f>IF(ISNUMBER(HikeWorldModel!BS17),HikeWorldModel!BS17,"NA")</f>
        <v>45</v>
      </c>
      <c r="O18" s="3">
        <f>IF(ISNUMBER(HikeWorldModel!BT17),HikeWorldModel!BT17,"NA")</f>
        <v>338</v>
      </c>
      <c r="P18" s="3">
        <f>IF(ISNUMBER(HikeWorldModel!BU17),HikeWorldModel!BU17,"NA")</f>
        <v>105</v>
      </c>
      <c r="Q18" s="3">
        <f>IF(ISNUMBER(HikeWorldModel!BV17),HikeWorldModel!BV17,"NA")</f>
        <v>13</v>
      </c>
      <c r="R18" s="157">
        <f t="shared" si="2"/>
        <v>0.31065088757396447</v>
      </c>
      <c r="S18" s="157">
        <f t="shared" si="3"/>
        <v>3.8461538461538464E-2</v>
      </c>
      <c r="T18" s="3">
        <f>IF(ISNUMBER(HikeWorldModel!BX17),HikeWorldModel!BX17,"NA")</f>
        <v>92</v>
      </c>
      <c r="U18" s="3">
        <f>IF(ISNUMBER(HikeWorldModel!BY17),HikeWorldModel!BY17,"NA")</f>
        <v>63</v>
      </c>
      <c r="V18" s="3">
        <f>IF(ISNUMBER(HikeWorldModel!CA17),HikeWorldModel!CA17,"NA")</f>
        <v>25</v>
      </c>
      <c r="W18" s="3">
        <f>IF(ISNUMBER(HikeWorldModel!CC17),HikeWorldModel!CC17,"NA")</f>
        <v>27</v>
      </c>
      <c r="X18" s="3">
        <f>IF(ISNUMBER(HikeWorldModel!CJ17),HikeWorldModel!CJ17,"NA")</f>
        <v>66</v>
      </c>
      <c r="Y18" s="3">
        <f>IF(ISNUMBER(HikeWorldModel!CK17),HikeWorldModel!CK17,"NA")</f>
        <v>339</v>
      </c>
      <c r="Z18" s="3">
        <f>IF(ISNUMBER(HikeWorldModel!CL17),HikeWorldModel!CL17,"NA")</f>
        <v>78</v>
      </c>
      <c r="AA18" s="3">
        <f>IF(ISNUMBER(HikeWorldModel!CM17),HikeWorldModel!CM17,"NA")</f>
        <v>19</v>
      </c>
      <c r="AB18" s="157">
        <f t="shared" si="4"/>
        <v>0.23008849557522124</v>
      </c>
      <c r="AC18" s="157">
        <f t="shared" si="5"/>
        <v>5.6047197640117993E-2</v>
      </c>
      <c r="AD18" s="3">
        <f>IF(ISNUMBER(HikeWorldModel!CO17),HikeWorldModel!CO17,"NA")</f>
        <v>13</v>
      </c>
      <c r="AE18" s="3">
        <f>IF(ISNUMBER(HikeWorldModel!CP17),HikeWorldModel!CP17,"NA")</f>
        <v>59</v>
      </c>
      <c r="AF18" s="3">
        <f>IF(ISNUMBER(HikeWorldModel!CR17),HikeWorldModel!CR17,"NA")</f>
        <v>34</v>
      </c>
      <c r="AG18" s="3">
        <f>IF(ISNUMBER(HikeWorldModel!CT17),HikeWorldModel!CT17,"NA")</f>
        <v>17</v>
      </c>
      <c r="AH18" s="3">
        <f t="shared" si="6"/>
        <v>-32</v>
      </c>
      <c r="AI18" s="3">
        <f t="shared" si="7"/>
        <v>-11</v>
      </c>
      <c r="AJ18" s="3">
        <f t="shared" si="8"/>
        <v>-9</v>
      </c>
      <c r="AK18" s="3">
        <f t="shared" si="9"/>
        <v>0</v>
      </c>
      <c r="AL18" s="3">
        <f t="shared" si="10"/>
        <v>4</v>
      </c>
      <c r="AM18" s="3">
        <f t="shared" si="11"/>
        <v>0</v>
      </c>
      <c r="AN18" s="157">
        <f t="shared" si="12"/>
        <v>1</v>
      </c>
    </row>
    <row r="19" spans="1:40" x14ac:dyDescent="0.25">
      <c r="A19">
        <f>HikeWorldModel!A18</f>
        <v>15</v>
      </c>
      <c r="B19" s="171">
        <f>HikeWorldModel!B18</f>
        <v>46102</v>
      </c>
      <c r="C19" t="str">
        <f>HikeWorldModel!C18</f>
        <v>Ski Hut to Mount Baldy, out and back</v>
      </c>
      <c r="D19" s="3">
        <f>HikeWorldModel!BB18</f>
        <v>79</v>
      </c>
      <c r="E19" s="3">
        <f>HikeWorldModel!BC18</f>
        <v>414</v>
      </c>
      <c r="F19" s="3">
        <f>HikeWorldModel!BD18</f>
        <v>112</v>
      </c>
      <c r="G19" s="3">
        <f>HikeWorldModel!BE18</f>
        <v>54</v>
      </c>
      <c r="H19" s="157">
        <f t="shared" si="0"/>
        <v>0.27053140096618356</v>
      </c>
      <c r="I19" s="157">
        <f t="shared" si="1"/>
        <v>0.13043478260869565</v>
      </c>
      <c r="J19" s="3">
        <f>HikeWorldModel!BG18</f>
        <v>22</v>
      </c>
      <c r="K19" s="3">
        <f>HikeWorldModel!BH18</f>
        <v>58</v>
      </c>
      <c r="L19" s="3">
        <f>HikeWorldModel!BJ18</f>
        <v>30</v>
      </c>
      <c r="M19" s="3">
        <f>HikeWorldModel!BL18</f>
        <v>18</v>
      </c>
      <c r="N19" s="3">
        <f>IF(ISNUMBER(HikeWorldModel!BS18),HikeWorldModel!BS18,"NA")</f>
        <v>66</v>
      </c>
      <c r="O19" s="3">
        <f>IF(ISNUMBER(HikeWorldModel!BT18),HikeWorldModel!BT18,"NA")</f>
        <v>343</v>
      </c>
      <c r="P19" s="3">
        <f>IF(ISNUMBER(HikeWorldModel!BU18),HikeWorldModel!BU18,"NA")</f>
        <v>60</v>
      </c>
      <c r="Q19" s="3">
        <f>IF(ISNUMBER(HikeWorldModel!BV18),HikeWorldModel!BV18,"NA")</f>
        <v>25</v>
      </c>
      <c r="R19" s="157">
        <f t="shared" si="2"/>
        <v>0.1749271137026239</v>
      </c>
      <c r="S19" s="157">
        <f t="shared" si="3"/>
        <v>7.2886297376093298E-2</v>
      </c>
      <c r="T19" s="3">
        <f>IF(ISNUMBER(HikeWorldModel!BX18),HikeWorldModel!BX18,"NA")</f>
        <v>13</v>
      </c>
      <c r="U19" s="3">
        <f>IF(ISNUMBER(HikeWorldModel!BY18),HikeWorldModel!BY18,"NA")</f>
        <v>63</v>
      </c>
      <c r="V19" s="3">
        <f>IF(ISNUMBER(HikeWorldModel!CA18),HikeWorldModel!CA18,"NA")</f>
        <v>25</v>
      </c>
      <c r="W19" s="3">
        <f>IF(ISNUMBER(HikeWorldModel!CC18),HikeWorldModel!CC18,"NA")</f>
        <v>24</v>
      </c>
      <c r="X19" s="3" t="str">
        <f>IF(ISNUMBER(HikeWorldModel!CJ18),HikeWorldModel!CJ18,"NA")</f>
        <v>NA</v>
      </c>
      <c r="Y19" s="3" t="str">
        <f>IF(ISNUMBER(HikeWorldModel!CK18),HikeWorldModel!CK18,"NA")</f>
        <v>NA</v>
      </c>
      <c r="Z19" s="3" t="str">
        <f>IF(ISNUMBER(HikeWorldModel!CL18),HikeWorldModel!CL18,"NA")</f>
        <v>NA</v>
      </c>
      <c r="AA19" s="3" t="str">
        <f>IF(ISNUMBER(HikeWorldModel!CM18),HikeWorldModel!CM18,"NA")</f>
        <v>NA</v>
      </c>
      <c r="AB19" s="157" t="str">
        <f t="shared" si="4"/>
        <v>NA</v>
      </c>
      <c r="AC19" s="157" t="str">
        <f t="shared" si="5"/>
        <v>NA</v>
      </c>
      <c r="AD19" s="3" t="str">
        <f>IF(ISNUMBER(HikeWorldModel!CO18),HikeWorldModel!CO18,"NA")</f>
        <v>NA</v>
      </c>
      <c r="AE19" s="3" t="str">
        <f>IF(ISNUMBER(HikeWorldModel!CP18),HikeWorldModel!CP18,"NA")</f>
        <v>NA</v>
      </c>
      <c r="AF19" s="3" t="str">
        <f>IF(ISNUMBER(HikeWorldModel!CR18),HikeWorldModel!CR18,"NA")</f>
        <v>NA</v>
      </c>
      <c r="AG19" s="3" t="str">
        <f>IF(ISNUMBER(HikeWorldModel!CT18),HikeWorldModel!CT18,"NA")</f>
        <v>NA</v>
      </c>
      <c r="AH19" s="3">
        <f t="shared" si="6"/>
        <v>-13</v>
      </c>
      <c r="AI19" s="3" t="str">
        <f t="shared" si="7"/>
        <v>NA</v>
      </c>
      <c r="AJ19" s="3">
        <f t="shared" si="8"/>
        <v>-5</v>
      </c>
      <c r="AK19" s="3" t="str">
        <f t="shared" si="9"/>
        <v>NA</v>
      </c>
      <c r="AL19" s="3">
        <f t="shared" si="10"/>
        <v>5</v>
      </c>
      <c r="AM19" s="3" t="str">
        <f t="shared" si="11"/>
        <v>NA</v>
      </c>
      <c r="AN19" s="157" t="str">
        <f t="shared" si="12"/>
        <v>NA</v>
      </c>
    </row>
    <row r="20" spans="1:40" x14ac:dyDescent="0.25">
      <c r="A20">
        <f>HikeWorldModel!A19</f>
        <v>16</v>
      </c>
      <c r="B20" s="171">
        <f>HikeWorldModel!B19</f>
        <v>46110</v>
      </c>
      <c r="C20" t="str">
        <f>HikeWorldModel!C19</f>
        <v>Ski Hut to Mount Baldy to Devil's Backbone to Trailhead</v>
      </c>
      <c r="D20" s="3">
        <f>HikeWorldModel!BB19</f>
        <v>55</v>
      </c>
      <c r="E20" s="3">
        <f>HikeWorldModel!BC19</f>
        <v>333</v>
      </c>
      <c r="F20" s="3">
        <f>HikeWorldModel!BD19</f>
        <v>32</v>
      </c>
      <c r="G20" s="3">
        <f>HikeWorldModel!BE19</f>
        <v>37</v>
      </c>
      <c r="H20" s="157">
        <f t="shared" si="0"/>
        <v>9.6096096096096095E-2</v>
      </c>
      <c r="I20" s="157">
        <f t="shared" si="1"/>
        <v>0.1111111111111111</v>
      </c>
      <c r="J20" s="3">
        <f>HikeWorldModel!BG19</f>
        <v>67</v>
      </c>
      <c r="K20" s="3">
        <f>HikeWorldModel!BH19</f>
        <v>57</v>
      </c>
      <c r="L20" s="3">
        <f>HikeWorldModel!BJ19</f>
        <v>42</v>
      </c>
      <c r="M20" s="3">
        <f>HikeWorldModel!BL19</f>
        <v>15</v>
      </c>
      <c r="N20" s="3">
        <f>IF(ISNUMBER(HikeWorldModel!BS19),HikeWorldModel!BS19,"NA")</f>
        <v>64</v>
      </c>
      <c r="O20" s="3">
        <f>IF(ISNUMBER(HikeWorldModel!BT19),HikeWorldModel!BT19,"NA")</f>
        <v>310</v>
      </c>
      <c r="P20" s="3">
        <f>IF(ISNUMBER(HikeWorldModel!BU19),HikeWorldModel!BU19,"NA")</f>
        <v>113</v>
      </c>
      <c r="Q20" s="3">
        <f>IF(ISNUMBER(HikeWorldModel!BV19),HikeWorldModel!BV19,"NA")</f>
        <v>52</v>
      </c>
      <c r="R20" s="157">
        <f t="shared" si="2"/>
        <v>0.36451612903225805</v>
      </c>
      <c r="S20" s="157">
        <f t="shared" si="3"/>
        <v>0.16774193548387098</v>
      </c>
      <c r="T20" s="3">
        <f>IF(ISNUMBER(HikeWorldModel!BX19),HikeWorldModel!BX19,"NA")</f>
        <v>41</v>
      </c>
      <c r="U20" s="3">
        <f>IF(ISNUMBER(HikeWorldModel!BY19),HikeWorldModel!BY19,"NA")</f>
        <v>58</v>
      </c>
      <c r="V20" s="3">
        <f>IF(ISNUMBER(HikeWorldModel!CA19),HikeWorldModel!CA19,"NA")</f>
        <v>32</v>
      </c>
      <c r="W20" s="3">
        <f>IF(ISNUMBER(HikeWorldModel!CC19),HikeWorldModel!CC19,"NA")</f>
        <v>21</v>
      </c>
      <c r="X20" s="3">
        <f>IF(ISNUMBER(HikeWorldModel!CJ19),HikeWorldModel!CJ19,"NA")</f>
        <v>87</v>
      </c>
      <c r="Y20" s="3">
        <f>IF(ISNUMBER(HikeWorldModel!CK19),HikeWorldModel!CK19,"NA")</f>
        <v>426</v>
      </c>
      <c r="Z20" s="3">
        <f>IF(ISNUMBER(HikeWorldModel!CL19),HikeWorldModel!CL19,"NA")</f>
        <v>93</v>
      </c>
      <c r="AA20" s="3">
        <f>IF(ISNUMBER(HikeWorldModel!CM19),HikeWorldModel!CM19,"NA")</f>
        <v>100</v>
      </c>
      <c r="AB20" s="157">
        <f t="shared" si="4"/>
        <v>0.21830985915492956</v>
      </c>
      <c r="AC20" s="157">
        <f t="shared" si="5"/>
        <v>0.23474178403755869</v>
      </c>
      <c r="AD20" s="3">
        <f>IF(ISNUMBER(HikeWorldModel!CO19),HikeWorldModel!CO19,"NA")</f>
        <v>24</v>
      </c>
      <c r="AE20" s="3">
        <f>IF(ISNUMBER(HikeWorldModel!CP19),HikeWorldModel!CP19,"NA")</f>
        <v>55</v>
      </c>
      <c r="AF20" s="3">
        <f>IF(ISNUMBER(HikeWorldModel!CR19),HikeWorldModel!CR19,"NA")</f>
        <v>42</v>
      </c>
      <c r="AG20" s="3">
        <f>IF(ISNUMBER(HikeWorldModel!CT19),HikeWorldModel!CT19,"NA")</f>
        <v>13</v>
      </c>
      <c r="AH20" s="3">
        <f t="shared" si="6"/>
        <v>9</v>
      </c>
      <c r="AI20" s="3">
        <f t="shared" si="7"/>
        <v>32</v>
      </c>
      <c r="AJ20" s="3">
        <f t="shared" si="8"/>
        <v>-10</v>
      </c>
      <c r="AK20" s="3">
        <f t="shared" si="9"/>
        <v>0</v>
      </c>
      <c r="AL20" s="3">
        <f t="shared" si="10"/>
        <v>1</v>
      </c>
      <c r="AM20" s="3">
        <f t="shared" si="11"/>
        <v>-2</v>
      </c>
      <c r="AN20" s="157">
        <f t="shared" si="12"/>
        <v>1</v>
      </c>
    </row>
    <row r="22" spans="1:40" x14ac:dyDescent="0.25">
      <c r="A22" s="115" t="s">
        <v>1765</v>
      </c>
      <c r="D22" s="200">
        <f t="shared" ref="D22:M22" si="13">AVERAGE(D5:D20)</f>
        <v>71.9375</v>
      </c>
      <c r="E22" s="200">
        <f t="shared" si="13"/>
        <v>387.25</v>
      </c>
      <c r="F22" s="200">
        <f t="shared" si="13"/>
        <v>73.875</v>
      </c>
      <c r="G22" s="200">
        <f t="shared" si="13"/>
        <v>63.8125</v>
      </c>
      <c r="H22" s="201">
        <f t="shared" si="13"/>
        <v>0.19167783844142822</v>
      </c>
      <c r="I22" s="201">
        <f t="shared" si="13"/>
        <v>0.16371035195375627</v>
      </c>
      <c r="J22" s="200">
        <f t="shared" si="13"/>
        <v>32.75</v>
      </c>
      <c r="K22" s="200">
        <f t="shared" si="13"/>
        <v>59.5625</v>
      </c>
      <c r="L22" s="200">
        <f t="shared" si="13"/>
        <v>36.5625</v>
      </c>
      <c r="M22" s="200">
        <f t="shared" si="13"/>
        <v>15.625</v>
      </c>
      <c r="N22" s="200" cm="1">
        <f t="array" ref="N22">AVERAGE(IF(ISNUMBER(N5:N20),N5:N20))</f>
        <v>56.733333333333334</v>
      </c>
      <c r="O22" s="200" cm="1">
        <f t="array" ref="O22">AVERAGE(IF(ISNUMBER(O5:O20),O5:O20))</f>
        <v>322.73333333333335</v>
      </c>
      <c r="P22" s="200" cm="1">
        <f t="array" ref="P22">AVERAGE(IF(ISNUMBER(P5:P20),P5:P20))</f>
        <v>81.599999999999994</v>
      </c>
      <c r="Q22" s="200" cm="1">
        <f t="array" ref="Q22">AVERAGE(IF(ISNUMBER(Q5:Q20),Q5:Q20))</f>
        <v>31.866666666666667</v>
      </c>
      <c r="R22" s="201" cm="1">
        <f t="array" ref="R22">AVERAGE(IF(ISNUMBER(R5:R20),R5:R20))</f>
        <v>0.2571248415190624</v>
      </c>
      <c r="S22" s="201" cm="1">
        <f t="array" ref="S22">AVERAGE(IF(ISNUMBER(S5:S20),S5:S20))</f>
        <v>9.8974855658103031E-2</v>
      </c>
      <c r="T22" s="200" cm="1">
        <f t="array" ref="T22">AVERAGE(IF(ISNUMBER(T5:T20),T5:T20))</f>
        <v>43.866666666666667</v>
      </c>
      <c r="U22" s="200" cm="1">
        <f t="array" ref="U22">AVERAGE(IF(ISNUMBER(U5:U20),U5:U20))</f>
        <v>62.666666666666664</v>
      </c>
      <c r="V22" s="200" cm="1">
        <f t="array" ref="V22">AVERAGE(IF(ISNUMBER(V5:V20),V5:V20))</f>
        <v>28.266666666666666</v>
      </c>
      <c r="W22" s="200" cm="1">
        <f t="array" ref="W22">AVERAGE(IF(ISNUMBER(W5:W20),W5:W20))</f>
        <v>25.133333333333333</v>
      </c>
      <c r="X22" s="200" cm="1">
        <f t="array" ref="X22">AVERAGE(IF(ISNUMBER(X5:X20),X5:X20))</f>
        <v>68.333333333333329</v>
      </c>
      <c r="Y22" s="200" cm="1">
        <f t="array" ref="Y22">AVERAGE(IF(ISNUMBER(Y5:Y20),Y5:Y20))</f>
        <v>357.46666666666664</v>
      </c>
      <c r="Z22" s="200" cm="1">
        <f t="array" ref="Z22">AVERAGE(IF(ISNUMBER(Z5:Z20),Z5:Z20))</f>
        <v>67.8</v>
      </c>
      <c r="AA22" s="200" cm="1">
        <f t="array" ref="AA22">AVERAGE(IF(ISNUMBER(AA5:AA20),AA5:AA20))</f>
        <v>53</v>
      </c>
      <c r="AB22" s="201" cm="1">
        <f t="array" ref="AB22">AVERAGE(IF(ISNUMBER(AB5:AB20),AB5:AB20))</f>
        <v>0.19322760370298156</v>
      </c>
      <c r="AC22" s="201" cm="1">
        <f t="array" ref="AC22">AVERAGE(IF(ISNUMBER(AC5:AC20),AC5:AC20))</f>
        <v>0.13958243131219106</v>
      </c>
      <c r="AD22" s="200" cm="1">
        <f t="array" ref="AD22">AVERAGE(IF(ISNUMBER(AD5:AD20),AD5:AD20))</f>
        <v>29</v>
      </c>
      <c r="AE22" s="200" cm="1">
        <f t="array" ref="AE22">AVERAGE(IF(ISNUMBER(AE5:AE20),AE5:AE20))</f>
        <v>60.93333333333333</v>
      </c>
      <c r="AF22" s="200" cm="1">
        <f t="array" ref="AF22">AVERAGE(IF(ISNUMBER(AF5:AF20),AF5:AF20))</f>
        <v>38.733333333333334</v>
      </c>
      <c r="AG22" s="200" cm="1">
        <f t="array" ref="AG22">AVERAGE(IF(ISNUMBER(AG5:AG20),AG5:AG20))</f>
        <v>15.933333333333334</v>
      </c>
      <c r="AH22" s="200" cm="1">
        <f t="array" ref="AH22">AVERAGE(IF(ISNUMBER(AH5:AH20),AH5:AH20))</f>
        <v>-16</v>
      </c>
      <c r="AI22" s="200" cm="1">
        <f t="array" ref="AI22">AVERAGE(IF(ISNUMBER(AI5:AI20),AI5:AI20))</f>
        <v>-3.1333333333333333</v>
      </c>
      <c r="AJ22" s="200" cm="1">
        <f t="array" ref="AJ22">AVERAGE(IF(ISNUMBER(AJ5:AJ20),AJ5:AJ20))</f>
        <v>-8.4666666666666668</v>
      </c>
      <c r="AK22" s="200" cm="1">
        <f t="array" ref="AK22">AVERAGE(IF(ISNUMBER(AK5:AK20),AK5:AK20))</f>
        <v>1.7333333333333334</v>
      </c>
      <c r="AL22" s="200" cm="1">
        <f t="array" ref="AL22">AVERAGE(IF(ISNUMBER(AL5:AL20),AL5:AL20))</f>
        <v>3.2</v>
      </c>
      <c r="AM22" s="200" cm="1">
        <f t="array" ref="AM22">AVERAGE(IF(ISNUMBER(AM5:AM20),AM5:AM20))</f>
        <v>1.2666666666666666</v>
      </c>
      <c r="AN22" s="201" cm="1">
        <f t="array" ref="AN22">AVERAGE(IF(ISNUMBER(AN5:AN20),AN5:AN20))</f>
        <v>1.3604461015175302</v>
      </c>
    </row>
    <row r="23" spans="1:40" x14ac:dyDescent="0.25">
      <c r="A23" s="115" t="s">
        <v>1363</v>
      </c>
      <c r="D23" s="140">
        <f t="shared" ref="D23:M23" si="14">MIN(D5:D20)</f>
        <v>52</v>
      </c>
      <c r="E23" s="140">
        <f t="shared" si="14"/>
        <v>254</v>
      </c>
      <c r="F23" s="140">
        <f t="shared" si="14"/>
        <v>32</v>
      </c>
      <c r="G23" s="140">
        <f t="shared" si="14"/>
        <v>27</v>
      </c>
      <c r="H23" s="201">
        <f t="shared" si="14"/>
        <v>9.6096096096096095E-2</v>
      </c>
      <c r="I23" s="201">
        <f t="shared" si="14"/>
        <v>7.6704545454545456E-2</v>
      </c>
      <c r="J23" s="140">
        <f t="shared" si="14"/>
        <v>2</v>
      </c>
      <c r="K23" s="140">
        <f t="shared" si="14"/>
        <v>57</v>
      </c>
      <c r="L23" s="140">
        <f t="shared" si="14"/>
        <v>29</v>
      </c>
      <c r="M23" s="140">
        <f t="shared" si="14"/>
        <v>11</v>
      </c>
      <c r="N23" s="140" cm="1">
        <f t="array" ref="N23">MIN(IF(ISNUMBER(N5:N20),N5:N20))</f>
        <v>36</v>
      </c>
      <c r="O23" s="140" cm="1">
        <f t="array" ref="O23">MIN(IF(ISNUMBER(O5:O20),O5:O20))</f>
        <v>216</v>
      </c>
      <c r="P23" s="140" cm="1">
        <f t="array" ref="P23">MIN(IF(ISNUMBER(P5:P20),P5:P20))</f>
        <v>35</v>
      </c>
      <c r="Q23" s="140" cm="1">
        <f t="array" ref="Q23">MIN(IF(ISNUMBER(Q5:Q20),Q5:Q20))</f>
        <v>0</v>
      </c>
      <c r="R23" s="201" cm="1">
        <f t="array" ref="R23">MIN(IF(ISNUMBER(R5:R20),R5:R20))</f>
        <v>0.13271604938271606</v>
      </c>
      <c r="S23" s="201" cm="1">
        <f t="array" ref="S23">MIN(IF(ISNUMBER(S5:S20),S5:S20))</f>
        <v>0</v>
      </c>
      <c r="T23" s="140" cm="1">
        <f t="array" ref="T23">MIN(IF(ISNUMBER(T5:T20),T5:T20))</f>
        <v>13</v>
      </c>
      <c r="U23" s="140" cm="1">
        <f t="array" ref="U23">MIN(IF(ISNUMBER(U5:U20),U5:U20))</f>
        <v>58</v>
      </c>
      <c r="V23" s="140" cm="1">
        <f t="array" ref="V23">MIN(IF(ISNUMBER(V5:V20),V5:V20))</f>
        <v>23</v>
      </c>
      <c r="W23" s="140" cm="1">
        <f t="array" ref="W23">MIN(IF(ISNUMBER(W5:W20),W5:W20))</f>
        <v>19</v>
      </c>
      <c r="X23" s="140" cm="1">
        <f t="array" ref="X23">MIN(IF(ISNUMBER(X5:X20),X5:X20))</f>
        <v>39</v>
      </c>
      <c r="Y23" s="140" cm="1">
        <f t="array" ref="Y23">MIN(IF(ISNUMBER(Y5:Y20),Y5:Y20))</f>
        <v>254</v>
      </c>
      <c r="Z23" s="140" cm="1">
        <f t="array" ref="Z23">MIN(IF(ISNUMBER(Z5:Z20),Z5:Z20))</f>
        <v>28</v>
      </c>
      <c r="AA23" s="140" cm="1">
        <f t="array" ref="AA23">MIN(IF(ISNUMBER(AA5:AA20),AA5:AA20))</f>
        <v>0</v>
      </c>
      <c r="AB23" s="201" cm="1">
        <f t="array" ref="AB23">MIN(IF(ISNUMBER(AB5:AB20),AB5:AB20))</f>
        <v>9.6219931271477668E-2</v>
      </c>
      <c r="AC23" s="201" cm="1">
        <f t="array" ref="AC23">MIN(IF(ISNUMBER(AC5:AC20),AC5:AC20))</f>
        <v>0</v>
      </c>
    </row>
    <row r="24" spans="1:40" x14ac:dyDescent="0.25">
      <c r="A24" s="115" t="s">
        <v>1364</v>
      </c>
      <c r="D24" s="140">
        <f t="shared" ref="D24:M24" si="15">MAX(D5:D20)</f>
        <v>91</v>
      </c>
      <c r="E24" s="140">
        <f t="shared" si="15"/>
        <v>460</v>
      </c>
      <c r="F24" s="140">
        <f t="shared" si="15"/>
        <v>121</v>
      </c>
      <c r="G24" s="140">
        <f t="shared" si="15"/>
        <v>96</v>
      </c>
      <c r="H24" s="201">
        <f t="shared" si="15"/>
        <v>0.27559055118110237</v>
      </c>
      <c r="I24" s="201">
        <f t="shared" si="15"/>
        <v>0.2537313432835821</v>
      </c>
      <c r="J24" s="140">
        <f t="shared" si="15"/>
        <v>102</v>
      </c>
      <c r="K24" s="140">
        <f t="shared" si="15"/>
        <v>65</v>
      </c>
      <c r="L24" s="140">
        <f t="shared" si="15"/>
        <v>42</v>
      </c>
      <c r="M24" s="140">
        <f t="shared" si="15"/>
        <v>21</v>
      </c>
      <c r="N24" s="140" cm="1">
        <f t="array" ref="N24">MAX(IF(ISNUMBER(N5:N20),N5:N20))</f>
        <v>71</v>
      </c>
      <c r="O24" s="140" cm="1">
        <f t="array" ref="O24">MAX(IF(ISNUMBER(O5:O20),O5:O20))</f>
        <v>405</v>
      </c>
      <c r="P24" s="140" cm="1">
        <f t="array" ref="P24">MAX(IF(ISNUMBER(P5:P20),P5:P20))</f>
        <v>118</v>
      </c>
      <c r="Q24" s="140" cm="1">
        <f t="array" ref="Q24">MAX(IF(ISNUMBER(Q5:Q20),Q5:Q20))</f>
        <v>63</v>
      </c>
      <c r="R24" s="201" cm="1">
        <f t="array" ref="R24">MAX(IF(ISNUMBER(R5:R20),R5:R20))</f>
        <v>0.51982378854625555</v>
      </c>
      <c r="S24" s="201" cm="1">
        <f t="array" ref="S24">MAX(IF(ISNUMBER(S5:S20),S5:S20))</f>
        <v>0.20454545454545456</v>
      </c>
      <c r="T24" s="140" cm="1">
        <f t="array" ref="T24">MAX(IF(ISNUMBER(T5:T20),T5:T20))</f>
        <v>92</v>
      </c>
      <c r="U24" s="140" cm="1">
        <f t="array" ref="U24">MAX(IF(ISNUMBER(U5:U20),U5:U20))</f>
        <v>67</v>
      </c>
      <c r="V24" s="140" cm="1">
        <f t="array" ref="V24">MAX(IF(ISNUMBER(V5:V20),V5:V20))</f>
        <v>35</v>
      </c>
      <c r="W24" s="140" cm="1">
        <f t="array" ref="W24">MAX(IF(ISNUMBER(W5:W20),W5:W20))</f>
        <v>36</v>
      </c>
      <c r="X24" s="140" cm="1">
        <f t="array" ref="X24">MAX(IF(ISNUMBER(X5:X20),X5:X20))</f>
        <v>87</v>
      </c>
      <c r="Y24" s="140" cm="1">
        <f t="array" ref="Y24">MAX(IF(ISNUMBER(Y5:Y20),Y5:Y20))</f>
        <v>501</v>
      </c>
      <c r="Z24" s="140" cm="1">
        <f t="array" ref="Z24">MAX(IF(ISNUMBER(Z5:Z20),Z5:Z20))</f>
        <v>96</v>
      </c>
      <c r="AA24" s="140" cm="1">
        <f t="array" ref="AA24">MAX(IF(ISNUMBER(AA5:AA20),AA5:AA20))</f>
        <v>102</v>
      </c>
      <c r="AB24" s="201" cm="1">
        <f t="array" ref="AB24">MAX(IF(ISNUMBER(AB5:AB20),AB5:AB20))</f>
        <v>0.37795275590551181</v>
      </c>
      <c r="AC24" s="201" cm="1">
        <f t="array" ref="AC24">MAX(IF(ISNUMBER(AC5:AC20),AC5:AC20))</f>
        <v>0.30639730639730639</v>
      </c>
    </row>
    <row r="26" spans="1:40" ht="15.75" x14ac:dyDescent="0.25">
      <c r="A26" s="192" t="s">
        <v>1766</v>
      </c>
      <c r="B26" s="193"/>
      <c r="C26" s="193"/>
      <c r="D26" s="193"/>
      <c r="E26" s="193"/>
      <c r="F26" s="193"/>
      <c r="G26" s="193"/>
      <c r="H26" s="193"/>
      <c r="I26" s="193"/>
      <c r="J26" s="193"/>
      <c r="K26" s="193"/>
      <c r="L26" s="193"/>
    </row>
    <row r="28" spans="1:40" x14ac:dyDescent="0.25">
      <c r="A28" s="202" t="s">
        <v>1767</v>
      </c>
    </row>
    <row r="29" spans="1:40" x14ac:dyDescent="0.25">
      <c r="A29" s="195" t="s">
        <v>1368</v>
      </c>
      <c r="B29" s="195" t="s">
        <v>1718</v>
      </c>
      <c r="C29" s="195" t="s">
        <v>762</v>
      </c>
      <c r="D29" s="195" t="s">
        <v>1768</v>
      </c>
      <c r="E29" s="195" t="s">
        <v>1769</v>
      </c>
      <c r="F29" s="199" t="s">
        <v>1770</v>
      </c>
      <c r="G29" s="199" t="s">
        <v>1771</v>
      </c>
    </row>
    <row r="30" spans="1:40" x14ac:dyDescent="0.25">
      <c r="A30" s="3">
        <v>1</v>
      </c>
      <c r="B30" s="3">
        <f>Foundation!C22</f>
        <v>78</v>
      </c>
      <c r="C30" s="3">
        <f>Foundation!C23</f>
        <v>501</v>
      </c>
      <c r="D30" s="160">
        <f t="shared" ref="D30:D37" si="16">C30/60</f>
        <v>8.35</v>
      </c>
      <c r="E30" s="3" t="str">
        <f>Foundation!C35</f>
        <v>stable</v>
      </c>
      <c r="F30" s="3" t="s">
        <v>1772</v>
      </c>
      <c r="G30" s="160">
        <f t="shared" ref="G30:G37" si="17">B30-$D$22</f>
        <v>6.0625</v>
      </c>
    </row>
    <row r="31" spans="1:40" x14ac:dyDescent="0.25">
      <c r="A31" s="3">
        <v>2</v>
      </c>
      <c r="B31" s="3">
        <f>Foundation!D22</f>
        <v>61</v>
      </c>
      <c r="C31" s="3">
        <f>Foundation!D23</f>
        <v>303</v>
      </c>
      <c r="D31" s="160">
        <f t="shared" si="16"/>
        <v>5.05</v>
      </c>
      <c r="E31" s="3" t="str">
        <f>Foundation!D35</f>
        <v>deteriorated</v>
      </c>
      <c r="F31" s="3">
        <f t="shared" ref="F31:F37" si="18">B31-B30</f>
        <v>-17</v>
      </c>
      <c r="G31" s="160">
        <f t="shared" si="17"/>
        <v>-10.9375</v>
      </c>
    </row>
    <row r="32" spans="1:40" x14ac:dyDescent="0.25">
      <c r="A32" s="3">
        <v>3</v>
      </c>
      <c r="B32" s="3">
        <f>Foundation!E22</f>
        <v>65</v>
      </c>
      <c r="C32" s="3">
        <f>Foundation!E23</f>
        <v>353</v>
      </c>
      <c r="D32" s="160">
        <f t="shared" si="16"/>
        <v>5.8833333333333337</v>
      </c>
      <c r="E32" s="3" t="str">
        <f>Foundation!E35</f>
        <v>stable</v>
      </c>
      <c r="F32" s="3">
        <f t="shared" si="18"/>
        <v>4</v>
      </c>
      <c r="G32" s="160">
        <f t="shared" si="17"/>
        <v>-6.9375</v>
      </c>
    </row>
    <row r="33" spans="1:12" x14ac:dyDescent="0.25">
      <c r="A33" s="3">
        <v>4</v>
      </c>
      <c r="B33" s="3">
        <f>Foundation!F22</f>
        <v>75</v>
      </c>
      <c r="C33" s="3">
        <f>Foundation!F23</f>
        <v>426</v>
      </c>
      <c r="D33" s="160">
        <f t="shared" si="16"/>
        <v>7.1</v>
      </c>
      <c r="E33" s="3" t="str">
        <f>Foundation!F35</f>
        <v>improved</v>
      </c>
      <c r="F33" s="3">
        <f t="shared" si="18"/>
        <v>10</v>
      </c>
      <c r="G33" s="160">
        <f t="shared" si="17"/>
        <v>3.0625</v>
      </c>
    </row>
    <row r="34" spans="1:12" x14ac:dyDescent="0.25">
      <c r="A34" s="3">
        <v>5</v>
      </c>
      <c r="B34" s="3">
        <f>Foundation!G22</f>
        <v>66</v>
      </c>
      <c r="C34" s="3">
        <f>Foundation!G23</f>
        <v>339</v>
      </c>
      <c r="D34" s="160">
        <f t="shared" si="16"/>
        <v>5.65</v>
      </c>
      <c r="E34" s="3" t="str">
        <f>Foundation!G35</f>
        <v>deteriorated</v>
      </c>
      <c r="F34" s="3">
        <f t="shared" si="18"/>
        <v>-9</v>
      </c>
      <c r="G34" s="160">
        <f t="shared" si="17"/>
        <v>-5.9375</v>
      </c>
    </row>
    <row r="35" spans="1:12" x14ac:dyDescent="0.25">
      <c r="A35" s="3">
        <v>6</v>
      </c>
      <c r="B35" s="3">
        <f>Foundation!H22</f>
        <v>40</v>
      </c>
      <c r="C35" s="3">
        <f>Foundation!H23</f>
        <v>314</v>
      </c>
      <c r="D35" s="160">
        <f t="shared" si="16"/>
        <v>5.2333333333333334</v>
      </c>
      <c r="E35" s="3" t="str">
        <f>Foundation!H35</f>
        <v>deteriorated</v>
      </c>
      <c r="F35" s="3">
        <f t="shared" si="18"/>
        <v>-26</v>
      </c>
      <c r="G35" s="160">
        <f t="shared" si="17"/>
        <v>-31.9375</v>
      </c>
    </row>
    <row r="36" spans="1:12" x14ac:dyDescent="0.25">
      <c r="A36" s="3">
        <v>7</v>
      </c>
      <c r="B36" s="3">
        <f>Foundation!I22</f>
        <v>79</v>
      </c>
      <c r="C36" s="3">
        <f>Foundation!I23</f>
        <v>354</v>
      </c>
      <c r="D36" s="160">
        <f t="shared" si="16"/>
        <v>5.9</v>
      </c>
      <c r="E36" s="3" t="str">
        <f>Foundation!I35</f>
        <v>improved</v>
      </c>
      <c r="F36" s="3">
        <f t="shared" si="18"/>
        <v>39</v>
      </c>
      <c r="G36" s="160">
        <f t="shared" si="17"/>
        <v>7.0625</v>
      </c>
    </row>
    <row r="37" spans="1:12" x14ac:dyDescent="0.25">
      <c r="A37" s="3">
        <v>8</v>
      </c>
      <c r="B37" s="3">
        <f>Foundation!J22</f>
        <v>84</v>
      </c>
      <c r="C37" s="3">
        <f>Foundation!J23</f>
        <v>426</v>
      </c>
      <c r="D37" s="160">
        <f t="shared" si="16"/>
        <v>7.1</v>
      </c>
      <c r="E37" s="3" t="s">
        <v>1772</v>
      </c>
      <c r="F37" s="3">
        <f t="shared" si="18"/>
        <v>5</v>
      </c>
      <c r="G37" s="160">
        <f t="shared" si="17"/>
        <v>12.0625</v>
      </c>
    </row>
    <row r="38" spans="1:12" x14ac:dyDescent="0.25">
      <c r="A38" s="203" t="s">
        <v>1773</v>
      </c>
      <c r="B38" s="200">
        <f>AVERAGE(B30:B37)</f>
        <v>68.5</v>
      </c>
      <c r="C38" s="200">
        <f>AVERAGE(C30:C37)</f>
        <v>377</v>
      </c>
      <c r="D38" s="200">
        <f>AVERAGE(D30:D37)</f>
        <v>6.2833333333333332</v>
      </c>
      <c r="E38" s="132"/>
      <c r="F38" s="200">
        <f>AVERAGE(F31:F37)</f>
        <v>0.8571428571428571</v>
      </c>
      <c r="G38" s="200">
        <f>AVERAGE(G30:G37)</f>
        <v>-3.4375</v>
      </c>
    </row>
    <row r="40" spans="1:12" x14ac:dyDescent="0.25">
      <c r="A40" s="202" t="s">
        <v>1774</v>
      </c>
    </row>
    <row r="41" spans="1:12" x14ac:dyDescent="0.25">
      <c r="A41" s="195" t="s">
        <v>1368</v>
      </c>
      <c r="B41" s="195" t="s">
        <v>1718</v>
      </c>
      <c r="C41" s="195" t="s">
        <v>762</v>
      </c>
      <c r="D41" s="195" t="s">
        <v>1768</v>
      </c>
      <c r="E41" s="199" t="s">
        <v>1775</v>
      </c>
      <c r="F41" s="199" t="s">
        <v>1771</v>
      </c>
    </row>
    <row r="42" spans="1:12" x14ac:dyDescent="0.25">
      <c r="A42" s="3">
        <v>1</v>
      </c>
      <c r="B42" s="3">
        <f>Run!C32</f>
        <v>52</v>
      </c>
      <c r="C42" s="3">
        <f>Run!C33</f>
        <v>358</v>
      </c>
      <c r="D42" s="160">
        <f>C42/60</f>
        <v>5.9666666666666668</v>
      </c>
      <c r="E42" s="160">
        <f>B42-$B$38</f>
        <v>-16.5</v>
      </c>
      <c r="F42" s="160">
        <f>B42-$D$22</f>
        <v>-19.9375</v>
      </c>
    </row>
    <row r="43" spans="1:12" x14ac:dyDescent="0.25">
      <c r="A43" s="3">
        <v>2</v>
      </c>
      <c r="B43" s="3">
        <f>Run!D32</f>
        <v>63</v>
      </c>
      <c r="C43" s="3">
        <f>Run!D33</f>
        <v>264</v>
      </c>
      <c r="D43" s="160">
        <f>C43/60</f>
        <v>4.4000000000000004</v>
      </c>
      <c r="E43" s="160">
        <f>B43-$B$38</f>
        <v>-5.5</v>
      </c>
      <c r="F43" s="160">
        <f>B43-$D$22</f>
        <v>-8.9375</v>
      </c>
    </row>
    <row r="44" spans="1:12" x14ac:dyDescent="0.25">
      <c r="A44" s="203" t="s">
        <v>1773</v>
      </c>
      <c r="B44" s="200">
        <f>AVERAGE(B42:B43)</f>
        <v>57.5</v>
      </c>
      <c r="C44" s="200">
        <f>AVERAGE(C42:C43)</f>
        <v>311</v>
      </c>
      <c r="D44" s="200">
        <f>AVERAGE(D42:D43)</f>
        <v>5.1833333333333336</v>
      </c>
      <c r="E44" s="200">
        <f>AVERAGE(E42:E43)</f>
        <v>-11</v>
      </c>
      <c r="F44" s="200">
        <f>AVERAGE(F42:F43)</f>
        <v>-14.4375</v>
      </c>
    </row>
    <row r="46" spans="1:12" ht="15.75" x14ac:dyDescent="0.25">
      <c r="A46" s="192" t="s">
        <v>1776</v>
      </c>
      <c r="B46" s="193"/>
      <c r="C46" s="193"/>
      <c r="D46" s="193"/>
      <c r="E46" s="193"/>
      <c r="F46" s="193"/>
      <c r="G46" s="193"/>
      <c r="H46" s="193"/>
      <c r="I46" s="193"/>
      <c r="J46" s="193"/>
      <c r="K46" s="193"/>
      <c r="L46" s="193"/>
    </row>
    <row r="48" spans="1:12" x14ac:dyDescent="0.25">
      <c r="A48" s="202" t="s">
        <v>1777</v>
      </c>
    </row>
    <row r="49" spans="1:5" x14ac:dyDescent="0.25">
      <c r="A49" s="194" t="s">
        <v>1362</v>
      </c>
      <c r="B49" s="195" t="s">
        <v>1528</v>
      </c>
      <c r="C49" s="195" t="s">
        <v>1536</v>
      </c>
      <c r="D49" s="195" t="s">
        <v>1544</v>
      </c>
      <c r="E49" s="195" t="s">
        <v>1552</v>
      </c>
    </row>
    <row r="50" spans="1:5" x14ac:dyDescent="0.25">
      <c r="A50" t="s">
        <v>1778</v>
      </c>
      <c r="B50" s="204">
        <f>Population!U4</f>
        <v>0</v>
      </c>
      <c r="C50" s="204">
        <f>Population!U5</f>
        <v>-0.05</v>
      </c>
      <c r="D50" s="204">
        <f>Population!U6</f>
        <v>-0.1</v>
      </c>
      <c r="E50" s="204">
        <f>Population!U7</f>
        <v>-0.15</v>
      </c>
    </row>
    <row r="51" spans="1:5" x14ac:dyDescent="0.25">
      <c r="A51" t="s">
        <v>1779</v>
      </c>
      <c r="B51" s="3">
        <f>Population!V4</f>
        <v>0</v>
      </c>
      <c r="C51" s="3">
        <f>Population!V5</f>
        <v>0</v>
      </c>
      <c r="D51" s="3" t="str">
        <f>Population!V6</f>
        <v>1–2</v>
      </c>
      <c r="E51" s="3" t="str">
        <f>Population!V7</f>
        <v>2+</v>
      </c>
    </row>
    <row r="52" spans="1:5" x14ac:dyDescent="0.25">
      <c r="A52" t="s">
        <v>1780</v>
      </c>
      <c r="B52" s="204">
        <f>Population!W4</f>
        <v>0</v>
      </c>
      <c r="C52" s="204">
        <f>Population!W5</f>
        <v>0.05</v>
      </c>
      <c r="D52" s="204">
        <f>Population!W6</f>
        <v>0.1</v>
      </c>
      <c r="E52" s="204">
        <f>Population!W7</f>
        <v>0.3</v>
      </c>
    </row>
    <row r="53" spans="1:5" x14ac:dyDescent="0.25">
      <c r="A53" t="s">
        <v>1781</v>
      </c>
      <c r="B53" s="204">
        <f>Population!X4</f>
        <v>0</v>
      </c>
      <c r="C53" s="204">
        <f>Population!X5</f>
        <v>0.1</v>
      </c>
      <c r="D53" s="204">
        <f>Population!X6</f>
        <v>0.3</v>
      </c>
      <c r="E53" s="204">
        <f>Population!X7</f>
        <v>0.5</v>
      </c>
    </row>
    <row r="54" spans="1:5" x14ac:dyDescent="0.25">
      <c r="A54" t="s">
        <v>1782</v>
      </c>
      <c r="B54" s="3" t="str">
        <f>Population!Y4</f>
        <v>Same day</v>
      </c>
      <c r="C54" s="3" t="str">
        <f>Population!Y5</f>
        <v>&lt; 24 h</v>
      </c>
      <c r="D54" s="3" t="str">
        <f>Population!Y6</f>
        <v>2–3 days</v>
      </c>
      <c r="E54" s="3" t="str">
        <f>Population!Y7</f>
        <v>Several days–weeks</v>
      </c>
    </row>
    <row r="55" spans="1:5" x14ac:dyDescent="0.25">
      <c r="A55" t="s">
        <v>1783</v>
      </c>
      <c r="B55" s="3" t="str">
        <f>Population!AA4</f>
        <v>Zone 1–2</v>
      </c>
      <c r="C55" s="3" t="str">
        <f>Population!AA5</f>
        <v>Zone 2–3</v>
      </c>
      <c r="D55" s="3" t="str">
        <f>Population!AA6</f>
        <v>Zone 3–4</v>
      </c>
      <c r="E55" s="3" t="str">
        <f>Population!AA7</f>
        <v>Zone 4+</v>
      </c>
    </row>
    <row r="57" spans="1:5" x14ac:dyDescent="0.25">
      <c r="A57" s="202" t="s">
        <v>1784</v>
      </c>
    </row>
    <row r="58" spans="1:5" x14ac:dyDescent="0.25">
      <c r="A58" s="194" t="s">
        <v>1785</v>
      </c>
      <c r="B58" s="195" t="s">
        <v>1786</v>
      </c>
      <c r="C58" s="195" t="s">
        <v>1787</v>
      </c>
      <c r="D58" s="195" t="s">
        <v>1788</v>
      </c>
      <c r="E58" s="195" t="s">
        <v>1789</v>
      </c>
    </row>
    <row r="59" spans="1:5" x14ac:dyDescent="0.25">
      <c r="A59" t="s">
        <v>1790</v>
      </c>
      <c r="B59" s="3" t="s">
        <v>1791</v>
      </c>
      <c r="C59" s="160">
        <f>AH22</f>
        <v>-16</v>
      </c>
      <c r="D59" s="3" t="str">
        <f>IF(AH22&lt;-20,"SIGNIFICANT_DROP",IF(AH22&lt;-10,"MODERATE_DROP","MINIMAL_DROP"))</f>
        <v>MODERATE_DROP</v>
      </c>
      <c r="E59" t="s">
        <v>1792</v>
      </c>
    </row>
    <row r="60" spans="1:5" x14ac:dyDescent="0.25">
      <c r="A60" t="s">
        <v>1793</v>
      </c>
      <c r="B60" s="3" t="str">
        <f>"10-30% = "&amp;ROUND(L22*D52,0)&amp;" to "&amp;ROUND(L22*D53,0)&amp;" ms drop"</f>
        <v>10-30% = 4 to 11 ms drop</v>
      </c>
      <c r="C60" s="160">
        <f>AJ22</f>
        <v>-8.4666666666666668</v>
      </c>
      <c r="D60" s="3" t="str">
        <f>IF(ABS(AJ22)&gt;L22*D53,"ABOVE_POP",IF(ABS(AJ22)&gt;L22*D52,"WITHIN_POP","BELOW_POP"))</f>
        <v>WITHIN_POP</v>
      </c>
      <c r="E60" t="s">
        <v>1794</v>
      </c>
    </row>
    <row r="61" spans="1:5" x14ac:dyDescent="0.25">
      <c r="A61" t="s">
        <v>1795</v>
      </c>
      <c r="B61" s="3" t="s">
        <v>1796</v>
      </c>
      <c r="C61" s="157">
        <f>AN22</f>
        <v>1.3604461015175302</v>
      </c>
      <c r="D61" s="3" t="str">
        <f>IF(AN22&gt;=1,"FULL_RECOVERY",IF(AN22&gt;=0.5,"PARTIAL_RECOVERY","SLOW_RECOVERY"))</f>
        <v>FULL_RECOVERY</v>
      </c>
      <c r="E61" t="s">
        <v>1797</v>
      </c>
    </row>
    <row r="62" spans="1:5" x14ac:dyDescent="0.25">
      <c r="A62" t="s">
        <v>1798</v>
      </c>
      <c r="B62" s="204">
        <f>D50</f>
        <v>-0.1</v>
      </c>
      <c r="C62" s="157">
        <f>S22-I22</f>
        <v>-6.4735496295653241E-2</v>
      </c>
      <c r="D62" s="3" t="str">
        <f>IF((S22-I22)&lt;D50,"WORSE_THAN_POP",IF((S22-I22)&lt;C50,"WITHIN_POP","BETTER_THAN_POP"))</f>
        <v>WITHIN_POP</v>
      </c>
      <c r="E62" t="s">
        <v>1799</v>
      </c>
    </row>
    <row r="63" spans="1:5" x14ac:dyDescent="0.25">
      <c r="A63" t="s">
        <v>1800</v>
      </c>
      <c r="B63" s="3" t="s">
        <v>1801</v>
      </c>
      <c r="C63" s="157">
        <f>AC22-I22</f>
        <v>-2.4127920641565215E-2</v>
      </c>
      <c r="D63" s="3" t="str">
        <f>IF((AC22-I22)&gt;=-0.01,"FULL_RECOVERY",IF((AC22-I22)&gt;=-0.05,"PARTIAL_RECOVERY","SLOW_RECOVERY"))</f>
        <v>PARTIAL_RECOVERY</v>
      </c>
      <c r="E63" t="s">
        <v>1802</v>
      </c>
    </row>
    <row r="64" spans="1:5" x14ac:dyDescent="0.25">
      <c r="A64" t="s">
        <v>1803</v>
      </c>
      <c r="B64" s="3" t="s">
        <v>1804</v>
      </c>
      <c r="C64" s="157">
        <f>R22-H22</f>
        <v>6.544700307763418E-2</v>
      </c>
      <c r="D64" s="3" t="str">
        <f>IF((R22-H22)&gt;0.02,"COMPENSATORY_UP",IF((R22-H22)&gt;-0.02,"STABLE","DECREASED"))</f>
        <v>COMPENSATORY_UP</v>
      </c>
      <c r="E64" t="s">
        <v>1805</v>
      </c>
    </row>
    <row r="65" spans="1:12" x14ac:dyDescent="0.25">
      <c r="A65" t="s">
        <v>1806</v>
      </c>
      <c r="B65" s="3" t="s">
        <v>1807</v>
      </c>
      <c r="C65" s="160">
        <f>AL22</f>
        <v>3.2</v>
      </c>
      <c r="D65" s="3" t="str">
        <f>IF(AL22&gt;5,"ABOVE_POP",IF(AL22&gt;2,"WITHIN_POP","BELOW_POP"))</f>
        <v>WITHIN_POP</v>
      </c>
      <c r="E65" t="s">
        <v>1808</v>
      </c>
    </row>
    <row r="66" spans="1:12" x14ac:dyDescent="0.25">
      <c r="A66" t="s">
        <v>1809</v>
      </c>
      <c r="B66" s="3" t="s">
        <v>1810</v>
      </c>
      <c r="C66" s="160">
        <f>W22-M22</f>
        <v>9.5083333333333329</v>
      </c>
      <c r="D66" s="3" t="str">
        <f>IF((W22-M22)&gt;10,"HIGH_STRESS_RESPONSE",IF((W22-M22)&gt;5,"MODERATE_RESPONSE","LOW_RESPONSE"))</f>
        <v>MODERATE_RESPONSE</v>
      </c>
      <c r="E66" t="s">
        <v>1811</v>
      </c>
    </row>
    <row r="68" spans="1:12" ht="15.75" x14ac:dyDescent="0.25">
      <c r="A68" s="192" t="s">
        <v>1812</v>
      </c>
      <c r="B68" s="193"/>
      <c r="C68" s="193"/>
      <c r="D68" s="193"/>
      <c r="E68" s="193"/>
      <c r="F68" s="193"/>
      <c r="G68" s="193"/>
      <c r="H68" s="193"/>
      <c r="I68" s="193"/>
      <c r="J68" s="193"/>
      <c r="K68" s="193"/>
      <c r="L68" s="193"/>
    </row>
    <row r="70" spans="1:12" x14ac:dyDescent="0.25">
      <c r="A70" s="202" t="s">
        <v>1813</v>
      </c>
    </row>
    <row r="71" spans="1:12" x14ac:dyDescent="0.25">
      <c r="A71" s="159" t="s">
        <v>1814</v>
      </c>
      <c r="B71" s="154" t="s">
        <v>1815</v>
      </c>
      <c r="C71" s="154" t="s">
        <v>1612</v>
      </c>
      <c r="D71" s="159" t="s">
        <v>1816</v>
      </c>
      <c r="E71" s="154" t="s">
        <v>1817</v>
      </c>
    </row>
    <row r="72" spans="1:12" ht="75" x14ac:dyDescent="0.25">
      <c r="A72" s="3">
        <v>1</v>
      </c>
      <c r="B72" t="s">
        <v>1818</v>
      </c>
      <c r="C72" s="208" t="s">
        <v>1819</v>
      </c>
      <c r="D72" s="205" t="s">
        <v>1820</v>
      </c>
      <c r="E72" t="str">
        <f>"Avg HRV recovery "&amp;TEXT(AN22,"0%")&amp;" by Day 2; Pre "&amp;TEXT(L22,"0")&amp;"ms → Post "&amp;TEXT(V22,"0")&amp;"ms → Day2 "&amp;TEXT(AF22,"0")&amp;"ms"</f>
        <v>Avg HRV recovery 136% by Day 2; Pre 37ms → Post 28ms → Day2 39ms</v>
      </c>
    </row>
    <row r="73" spans="1:12" ht="60" x14ac:dyDescent="0.25">
      <c r="A73" s="3">
        <v>2</v>
      </c>
      <c r="B73" t="s">
        <v>1821</v>
      </c>
      <c r="C73" s="208" t="s">
        <v>1822</v>
      </c>
      <c r="D73" s="205" t="s">
        <v>1820</v>
      </c>
      <c r="E73" t="str">
        <f>"Deep% Pre "&amp;TEXT(H22,"0.0%")&amp;" → Post "&amp;TEXT(R22,"0.0%")&amp;" (+"&amp;TEXT(R22-H22,"0.0%")&amp;" absolute)"</f>
        <v>Deep% Pre 19.2% → Post 25.7% (+6.5% absolute)</v>
      </c>
    </row>
    <row r="74" spans="1:12" ht="60" x14ac:dyDescent="0.25">
      <c r="A74" s="3">
        <v>3</v>
      </c>
      <c r="B74" t="s">
        <v>1823</v>
      </c>
      <c r="C74" s="208" t="s">
        <v>1824</v>
      </c>
      <c r="D74" s="206" t="s">
        <v>1825</v>
      </c>
      <c r="E74" t="str">
        <f>"REM% Pre "&amp;TEXT(I22,"0.0%")&amp;" → Post "&amp;TEXT(S22,"0.0%")&amp;" → Day2 "&amp;TEXT(AC22,"0.0%")&amp;" (only "&amp;TEXT(AC22/I22,"0%")&amp;" of baseline)"</f>
        <v>REM% Pre 16.4% → Post 9.9% → Day2 14.0% (only 85% of baseline)</v>
      </c>
    </row>
    <row r="75" spans="1:12" ht="75" x14ac:dyDescent="0.25">
      <c r="A75" s="3">
        <v>4</v>
      </c>
      <c r="B75" t="s">
        <v>1826</v>
      </c>
      <c r="C75" s="208" t="s">
        <v>1827</v>
      </c>
      <c r="D75" s="205" t="s">
        <v>1820</v>
      </c>
      <c r="E75" t="str">
        <f>"Score: Pre "&amp;TEXT(D22,"0")&amp;" → Post "&amp;TEXT(N22,"0")&amp;" (Δ"&amp;TEXT(AH22,"0")&amp;") → Day2 "&amp;TEXT(X22,"0")&amp;" (Δ"&amp;TEXT(AI22,"0")&amp;")"</f>
        <v>Score: Pre 72 → Post 57 (Δ-16) → Day2 68 (Δ-3)</v>
      </c>
    </row>
    <row r="76" spans="1:12" ht="90" x14ac:dyDescent="0.25">
      <c r="A76" s="3">
        <v>5</v>
      </c>
      <c r="B76" t="s">
        <v>1828</v>
      </c>
      <c r="C76" s="208" t="s">
        <v>1829</v>
      </c>
      <c r="D76" s="206" t="s">
        <v>1825</v>
      </c>
      <c r="E76" t="str">
        <f>"Foundation avg "&amp;TEXT(B38,"0")&amp;" score, range "&amp;MIN(B30:B37)&amp;"-"&amp;MAX(B30:B37)&amp;"; "&amp;COUNTIF(E30:E37,"deteriorated")&amp;" of 7 deteriorated"</f>
        <v>Foundation avg 69 score, range 40-84; 3 of 7 deteriorated</v>
      </c>
    </row>
    <row r="77" spans="1:12" ht="60" x14ac:dyDescent="0.25">
      <c r="A77" s="3">
        <v>6</v>
      </c>
      <c r="B77" t="s">
        <v>1830</v>
      </c>
      <c r="C77" s="208" t="s">
        <v>1831</v>
      </c>
      <c r="D77" s="207" t="s">
        <v>1832</v>
      </c>
      <c r="E77" t="str">
        <f>"Run avg "&amp;TEXT(B44,"0")&amp;" vs Foundation "&amp;TEXT(B38,"0")&amp;" vs HWM Pre "&amp;TEXT(D22,"0")&amp;"; Δ="&amp;TEXT(F44,"0")&amp;" from HWM Pre"</f>
        <v>Run avg 58 vs Foundation 69 vs HWM Pre 72; Δ=-14 from HWM Pre</v>
      </c>
    </row>
    <row r="78" spans="1:12" ht="60" x14ac:dyDescent="0.25">
      <c r="A78" s="3">
        <v>7</v>
      </c>
      <c r="B78" t="s">
        <v>1833</v>
      </c>
      <c r="C78" s="208" t="s">
        <v>1834</v>
      </c>
      <c r="D78" s="205" t="s">
        <v>1820</v>
      </c>
      <c r="E78" t="str">
        <f>"RHR: Pre "&amp;TEXT(K22,"0")&amp;" → Post "&amp;TEXT(U22,"0")&amp;" (+"&amp;TEXT(AL22,"0.0")&amp;") → Day2 "&amp;TEXT(AE22,"0")&amp;" (+"&amp;TEXT(AM22,"0.0")&amp;")"</f>
        <v>RHR: Pre 60 → Post 63 (+3.2) → Day2 61 (+1.3)</v>
      </c>
    </row>
    <row r="79" spans="1:12" ht="60" x14ac:dyDescent="0.25">
      <c r="A79" s="3">
        <v>8</v>
      </c>
      <c r="B79" t="s">
        <v>1835</v>
      </c>
      <c r="C79" s="208" t="s">
        <v>1836</v>
      </c>
      <c r="D79" s="205" t="s">
        <v>1820</v>
      </c>
      <c r="E79" t="str">
        <f>"Stress: Pre "&amp;TEXT(M22,"0")&amp;" → Post "&amp;TEXT(W22,"0")&amp;" (+"&amp;TEXT(W22-M22,"0.0")&amp;") → Day2 "&amp;TEXT(AG22,"0")&amp;" (+"&amp;TEXT(AG22-M22,"0.0")&amp;")"</f>
        <v>Stress: Pre 16 → Post 25 (+9.5) → Day2 16 (+0.3)</v>
      </c>
    </row>
    <row r="81" spans="1:11" x14ac:dyDescent="0.25">
      <c r="A81" s="202" t="s">
        <v>1837</v>
      </c>
      <c r="H81" s="194" t="s">
        <v>1838</v>
      </c>
      <c r="I81" s="196" t="s">
        <v>1839</v>
      </c>
      <c r="J81" s="197" t="s">
        <v>1840</v>
      </c>
      <c r="K81" s="198" t="s">
        <v>1841</v>
      </c>
    </row>
    <row r="82" spans="1:11" x14ac:dyDescent="0.25">
      <c r="H82" s="30" t="s">
        <v>1765</v>
      </c>
      <c r="I82" s="160">
        <f>D22</f>
        <v>71.9375</v>
      </c>
      <c r="J82" s="160">
        <f>N22</f>
        <v>56.733333333333334</v>
      </c>
      <c r="K82" s="160">
        <f>X22</f>
        <v>68.333333333333329</v>
      </c>
    </row>
    <row r="84" spans="1:11" x14ac:dyDescent="0.25">
      <c r="H84" s="194" t="s">
        <v>1842</v>
      </c>
      <c r="I84" s="196" t="s">
        <v>1839</v>
      </c>
      <c r="J84" s="197" t="s">
        <v>1840</v>
      </c>
      <c r="K84" s="198" t="s">
        <v>1841</v>
      </c>
    </row>
    <row r="85" spans="1:11" x14ac:dyDescent="0.25">
      <c r="H85" s="30" t="s">
        <v>1765</v>
      </c>
      <c r="I85" s="160">
        <f>L22</f>
        <v>36.5625</v>
      </c>
      <c r="J85" s="160">
        <f>V22</f>
        <v>28.266666666666666</v>
      </c>
      <c r="K85" s="160">
        <f>AF22</f>
        <v>38.733333333333334</v>
      </c>
    </row>
    <row r="87" spans="1:11" x14ac:dyDescent="0.25">
      <c r="H87" s="194" t="s">
        <v>1843</v>
      </c>
      <c r="I87" s="196" t="s">
        <v>1839</v>
      </c>
      <c r="J87" s="197" t="s">
        <v>1840</v>
      </c>
      <c r="K87" s="198" t="s">
        <v>1841</v>
      </c>
    </row>
    <row r="88" spans="1:11" x14ac:dyDescent="0.25">
      <c r="H88" s="30" t="s">
        <v>1844</v>
      </c>
      <c r="I88" s="157">
        <f>H22</f>
        <v>0.19167783844142822</v>
      </c>
      <c r="J88" s="157">
        <f>R22</f>
        <v>0.2571248415190624</v>
      </c>
      <c r="K88" s="157">
        <f>AB22</f>
        <v>0.19322760370298156</v>
      </c>
    </row>
    <row r="89" spans="1:11" x14ac:dyDescent="0.25">
      <c r="H89" s="30" t="s">
        <v>1845</v>
      </c>
      <c r="I89" s="157">
        <f>I22</f>
        <v>0.16371035195375627</v>
      </c>
      <c r="J89" s="157">
        <f>S22</f>
        <v>9.8974855658103031E-2</v>
      </c>
      <c r="K89" s="157">
        <f>AC22</f>
        <v>0.13958243131219106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97AD2-C5C1-49B2-A1D4-18CB1B2FBA17}">
  <dimension ref="A1:M101"/>
  <sheetViews>
    <sheetView workbookViewId="0">
      <pane ySplit="1" topLeftCell="A2" activePane="bottomLeft" state="frozen"/>
      <selection pane="bottomLeft" activeCell="C15" sqref="C15"/>
    </sheetView>
  </sheetViews>
  <sheetFormatPr defaultRowHeight="15" outlineLevelCol="1" x14ac:dyDescent="0.25"/>
  <cols>
    <col min="1" max="1" width="14.28515625" customWidth="1"/>
    <col min="2" max="2" width="59" customWidth="1"/>
    <col min="3" max="3" width="34.28515625" customWidth="1"/>
    <col min="4" max="4" width="24.7109375" customWidth="1"/>
    <col min="5" max="5" width="22.85546875" customWidth="1"/>
    <col min="6" max="8" width="19" customWidth="1"/>
    <col min="9" max="9" width="24.7109375" customWidth="1"/>
    <col min="10" max="10" width="22.85546875" customWidth="1"/>
    <col min="11" max="11" width="19" hidden="1" customWidth="1" outlineLevel="1"/>
    <col min="12" max="12" width="59" customWidth="1" collapsed="1"/>
    <col min="13" max="13" width="62.85546875" customWidth="1"/>
  </cols>
  <sheetData>
    <row r="1" spans="1:13" x14ac:dyDescent="0.25">
      <c r="A1" s="57" t="s">
        <v>806</v>
      </c>
      <c r="B1" s="57" t="s">
        <v>807</v>
      </c>
      <c r="C1" s="57" t="s">
        <v>808</v>
      </c>
      <c r="D1" s="57" t="s">
        <v>809</v>
      </c>
      <c r="E1" s="57" t="s">
        <v>810</v>
      </c>
      <c r="F1" s="57" t="s">
        <v>811</v>
      </c>
      <c r="G1" s="57" t="s">
        <v>812</v>
      </c>
      <c r="H1" s="57" t="s">
        <v>1257</v>
      </c>
      <c r="I1" s="57" t="s">
        <v>813</v>
      </c>
      <c r="J1" s="57" t="s">
        <v>752</v>
      </c>
      <c r="K1" s="57" t="s">
        <v>814</v>
      </c>
      <c r="L1" s="57" t="s">
        <v>815</v>
      </c>
      <c r="M1" s="57" t="s">
        <v>816</v>
      </c>
    </row>
    <row r="2" spans="1:13" x14ac:dyDescent="0.25">
      <c r="A2" t="s">
        <v>817</v>
      </c>
      <c r="B2" t="s">
        <v>818</v>
      </c>
      <c r="C2" t="s">
        <v>819</v>
      </c>
      <c r="D2" t="s">
        <v>820</v>
      </c>
      <c r="E2" t="s">
        <v>821</v>
      </c>
      <c r="F2">
        <v>5.0999999999999996</v>
      </c>
      <c r="G2">
        <v>1050</v>
      </c>
      <c r="H2">
        <v>1625</v>
      </c>
      <c r="I2" t="s">
        <v>822</v>
      </c>
      <c r="J2" t="str" cm="1">
        <f t="array" ref="J2">_xlfn.SWITCH(VALUE(RIGHT(I2,1)),1,"Foundation",2,"Activation",3,"Adaptation",4,"Consolidation",5,"TrailGenic","")</f>
        <v>Foundation</v>
      </c>
      <c r="K2" t="s">
        <v>823</v>
      </c>
      <c r="L2" t="s">
        <v>824</v>
      </c>
      <c r="M2" t="s">
        <v>825</v>
      </c>
    </row>
    <row r="3" spans="1:13" x14ac:dyDescent="0.25">
      <c r="A3" t="s">
        <v>826</v>
      </c>
      <c r="B3" t="s">
        <v>827</v>
      </c>
      <c r="C3" t="s">
        <v>819</v>
      </c>
      <c r="D3" t="s">
        <v>820</v>
      </c>
      <c r="E3" t="s">
        <v>821</v>
      </c>
      <c r="F3">
        <v>3</v>
      </c>
      <c r="G3">
        <v>700</v>
      </c>
      <c r="H3">
        <v>1320</v>
      </c>
      <c r="I3" t="s">
        <v>822</v>
      </c>
      <c r="J3" t="str" cm="1">
        <f t="array" ref="J3">_xlfn.SWITCH(VALUE(RIGHT(I3,1)),1,"Foundation",2,"Activation",3,"Adaptation",4,"Consolidation",5,"TrailGenic","")</f>
        <v>Foundation</v>
      </c>
      <c r="K3" t="s">
        <v>823</v>
      </c>
      <c r="L3" t="s">
        <v>824</v>
      </c>
      <c r="M3" t="s">
        <v>828</v>
      </c>
    </row>
    <row r="4" spans="1:13" x14ac:dyDescent="0.25">
      <c r="A4" t="s">
        <v>829</v>
      </c>
      <c r="B4" t="s">
        <v>830</v>
      </c>
      <c r="C4" t="s">
        <v>819</v>
      </c>
      <c r="D4" t="s">
        <v>820</v>
      </c>
      <c r="E4" t="s">
        <v>821</v>
      </c>
      <c r="F4">
        <v>2.5</v>
      </c>
      <c r="G4">
        <v>500</v>
      </c>
      <c r="H4">
        <v>600</v>
      </c>
      <c r="I4" t="s">
        <v>822</v>
      </c>
      <c r="J4" t="str" cm="1">
        <f t="array" ref="J4">_xlfn.SWITCH(VALUE(RIGHT(I4,1)),1,"Foundation",2,"Activation",3,"Adaptation",4,"Consolidation",5,"TrailGenic","")</f>
        <v>Foundation</v>
      </c>
      <c r="K4" t="s">
        <v>823</v>
      </c>
      <c r="L4" t="s">
        <v>824</v>
      </c>
      <c r="M4" t="s">
        <v>831</v>
      </c>
    </row>
    <row r="5" spans="1:13" x14ac:dyDescent="0.25">
      <c r="A5" t="s">
        <v>832</v>
      </c>
      <c r="B5" t="s">
        <v>833</v>
      </c>
      <c r="C5" t="s">
        <v>819</v>
      </c>
      <c r="D5" t="s">
        <v>820</v>
      </c>
      <c r="E5" t="s">
        <v>834</v>
      </c>
      <c r="F5">
        <v>4</v>
      </c>
      <c r="G5">
        <v>900</v>
      </c>
      <c r="H5">
        <v>1750</v>
      </c>
      <c r="I5" t="s">
        <v>835</v>
      </c>
      <c r="J5" t="str" cm="1">
        <f t="array" ref="J5">_xlfn.SWITCH(VALUE(RIGHT(I5,1)),1,"Foundation",2,"Activation",3,"Adaptation",4,"Consolidation",5,"TrailGenic","")</f>
        <v>Activation</v>
      </c>
      <c r="K5" t="s">
        <v>823</v>
      </c>
      <c r="L5" t="s">
        <v>836</v>
      </c>
      <c r="M5" t="s">
        <v>837</v>
      </c>
    </row>
    <row r="6" spans="1:13" x14ac:dyDescent="0.25">
      <c r="A6" t="s">
        <v>838</v>
      </c>
      <c r="B6" t="s">
        <v>839</v>
      </c>
      <c r="C6" t="s">
        <v>819</v>
      </c>
      <c r="D6" t="s">
        <v>820</v>
      </c>
      <c r="E6" t="s">
        <v>834</v>
      </c>
      <c r="F6">
        <v>7</v>
      </c>
      <c r="G6">
        <v>1200</v>
      </c>
      <c r="H6">
        <v>1500</v>
      </c>
      <c r="I6" t="s">
        <v>835</v>
      </c>
      <c r="J6" t="str" cm="1">
        <f t="array" ref="J6">_xlfn.SWITCH(VALUE(RIGHT(I6,1)),1,"Foundation",2,"Activation",3,"Adaptation",4,"Consolidation",5,"TrailGenic","")</f>
        <v>Activation</v>
      </c>
      <c r="K6" t="s">
        <v>823</v>
      </c>
      <c r="L6" t="s">
        <v>836</v>
      </c>
      <c r="M6" t="s">
        <v>840</v>
      </c>
    </row>
    <row r="7" spans="1:13" x14ac:dyDescent="0.25">
      <c r="A7" t="s">
        <v>841</v>
      </c>
      <c r="B7" t="s">
        <v>842</v>
      </c>
      <c r="C7" t="s">
        <v>819</v>
      </c>
      <c r="D7" t="s">
        <v>820</v>
      </c>
      <c r="E7" t="s">
        <v>821</v>
      </c>
      <c r="F7">
        <v>2.5</v>
      </c>
      <c r="G7">
        <v>450</v>
      </c>
      <c r="H7">
        <v>511</v>
      </c>
      <c r="I7" t="s">
        <v>822</v>
      </c>
      <c r="J7" t="str" cm="1">
        <f t="array" ref="J7">_xlfn.SWITCH(VALUE(RIGHT(I7,1)),1,"Foundation",2,"Activation",3,"Adaptation",4,"Consolidation",5,"TrailGenic","")</f>
        <v>Foundation</v>
      </c>
      <c r="K7" t="s">
        <v>823</v>
      </c>
      <c r="L7" t="s">
        <v>843</v>
      </c>
      <c r="M7" t="s">
        <v>844</v>
      </c>
    </row>
    <row r="8" spans="1:13" x14ac:dyDescent="0.25">
      <c r="A8" t="s">
        <v>845</v>
      </c>
      <c r="B8" t="s">
        <v>846</v>
      </c>
      <c r="C8" t="s">
        <v>847</v>
      </c>
      <c r="D8" t="s">
        <v>820</v>
      </c>
      <c r="E8" t="s">
        <v>834</v>
      </c>
      <c r="F8">
        <v>3.5</v>
      </c>
      <c r="G8">
        <v>380</v>
      </c>
      <c r="H8">
        <v>1380</v>
      </c>
      <c r="I8" t="s">
        <v>835</v>
      </c>
      <c r="J8" t="str" cm="1">
        <f t="array" ref="J8">_xlfn.SWITCH(VALUE(RIGHT(I8,1)),1,"Foundation",2,"Activation",3,"Adaptation",4,"Consolidation",5,"TrailGenic","")</f>
        <v>Activation</v>
      </c>
      <c r="K8" t="s">
        <v>848</v>
      </c>
      <c r="L8" t="s">
        <v>849</v>
      </c>
      <c r="M8" t="s">
        <v>850</v>
      </c>
    </row>
    <row r="9" spans="1:13" x14ac:dyDescent="0.25">
      <c r="A9" t="s">
        <v>851</v>
      </c>
      <c r="B9" t="s">
        <v>852</v>
      </c>
      <c r="C9" t="s">
        <v>853</v>
      </c>
      <c r="D9" t="s">
        <v>820</v>
      </c>
      <c r="E9" t="s">
        <v>834</v>
      </c>
      <c r="F9">
        <v>2.6</v>
      </c>
      <c r="G9">
        <v>540</v>
      </c>
      <c r="H9">
        <v>1640</v>
      </c>
      <c r="I9" t="s">
        <v>835</v>
      </c>
      <c r="J9" t="str" cm="1">
        <f t="array" ref="J9">_xlfn.SWITCH(VALUE(RIGHT(I9,1)),1,"Foundation",2,"Activation",3,"Adaptation",4,"Consolidation",5,"TrailGenic","")</f>
        <v>Activation</v>
      </c>
      <c r="K9" t="s">
        <v>848</v>
      </c>
      <c r="L9" t="s">
        <v>849</v>
      </c>
      <c r="M9" t="s">
        <v>854</v>
      </c>
    </row>
    <row r="10" spans="1:13" x14ac:dyDescent="0.25">
      <c r="A10" t="s">
        <v>855</v>
      </c>
      <c r="B10" t="s">
        <v>856</v>
      </c>
      <c r="C10" t="s">
        <v>853</v>
      </c>
      <c r="D10" t="s">
        <v>820</v>
      </c>
      <c r="E10" t="s">
        <v>834</v>
      </c>
      <c r="F10">
        <v>5.4</v>
      </c>
      <c r="G10">
        <v>1400</v>
      </c>
      <c r="H10">
        <v>3207</v>
      </c>
      <c r="I10" t="s">
        <v>857</v>
      </c>
      <c r="J10" t="str" cm="1">
        <f t="array" ref="J10">_xlfn.SWITCH(VALUE(RIGHT(I10,1)),1,"Foundation",2,"Activation",3,"Adaptation",4,"Consolidation",5,"TrailGenic","")</f>
        <v>Adaptation</v>
      </c>
      <c r="K10" t="s">
        <v>848</v>
      </c>
      <c r="L10" t="s">
        <v>858</v>
      </c>
      <c r="M10" t="s">
        <v>859</v>
      </c>
    </row>
    <row r="11" spans="1:13" x14ac:dyDescent="0.25">
      <c r="A11" t="s">
        <v>860</v>
      </c>
      <c r="B11" t="s">
        <v>861</v>
      </c>
      <c r="C11" t="s">
        <v>853</v>
      </c>
      <c r="D11" t="s">
        <v>820</v>
      </c>
      <c r="E11" t="s">
        <v>834</v>
      </c>
      <c r="F11">
        <v>14</v>
      </c>
      <c r="G11">
        <v>3400</v>
      </c>
      <c r="H11">
        <v>5603</v>
      </c>
      <c r="I11" t="s">
        <v>857</v>
      </c>
      <c r="J11" t="str" cm="1">
        <f t="array" ref="J11">_xlfn.SWITCH(VALUE(RIGHT(I11,1)),1,"Foundation",2,"Activation",3,"Adaptation",4,"Consolidation",5,"TrailGenic","")</f>
        <v>Adaptation</v>
      </c>
      <c r="K11" t="s">
        <v>848</v>
      </c>
      <c r="L11" t="s">
        <v>858</v>
      </c>
      <c r="M11" t="s">
        <v>862</v>
      </c>
    </row>
    <row r="12" spans="1:13" x14ac:dyDescent="0.25">
      <c r="A12" t="s">
        <v>863</v>
      </c>
      <c r="B12" t="s">
        <v>864</v>
      </c>
      <c r="C12" t="s">
        <v>819</v>
      </c>
      <c r="D12" t="s">
        <v>820</v>
      </c>
      <c r="E12" t="s">
        <v>834</v>
      </c>
      <c r="F12">
        <v>8.6</v>
      </c>
      <c r="G12">
        <v>3300</v>
      </c>
      <c r="H12">
        <v>5074</v>
      </c>
      <c r="I12" t="s">
        <v>857</v>
      </c>
      <c r="J12" t="str" cm="1">
        <f t="array" ref="J12">_xlfn.SWITCH(VALUE(RIGHT(I12,1)),1,"Foundation",2,"Activation",3,"Adaptation",4,"Consolidation",5,"TrailGenic","")</f>
        <v>Adaptation</v>
      </c>
      <c r="K12" t="s">
        <v>823</v>
      </c>
      <c r="L12" t="s">
        <v>865</v>
      </c>
      <c r="M12" t="s">
        <v>866</v>
      </c>
    </row>
    <row r="13" spans="1:13" x14ac:dyDescent="0.25">
      <c r="A13" t="s">
        <v>867</v>
      </c>
      <c r="B13" t="s">
        <v>868</v>
      </c>
      <c r="C13" t="s">
        <v>869</v>
      </c>
      <c r="D13" t="s">
        <v>820</v>
      </c>
      <c r="E13" t="s">
        <v>870</v>
      </c>
      <c r="F13">
        <v>7.2</v>
      </c>
      <c r="G13">
        <v>2100</v>
      </c>
      <c r="H13">
        <v>6164</v>
      </c>
      <c r="I13" t="s">
        <v>857</v>
      </c>
      <c r="J13" t="str" cm="1">
        <f t="array" ref="J13">_xlfn.SWITCH(VALUE(RIGHT(I13,1)),1,"Foundation",2,"Activation",3,"Adaptation",4,"Consolidation",5,"TrailGenic","")</f>
        <v>Adaptation</v>
      </c>
      <c r="K13" t="s">
        <v>848</v>
      </c>
      <c r="L13" t="s">
        <v>871</v>
      </c>
      <c r="M13" t="s">
        <v>872</v>
      </c>
    </row>
    <row r="14" spans="1:13" x14ac:dyDescent="0.25">
      <c r="A14" t="s">
        <v>873</v>
      </c>
      <c r="B14" t="s">
        <v>874</v>
      </c>
      <c r="C14" t="s">
        <v>869</v>
      </c>
      <c r="D14" t="s">
        <v>820</v>
      </c>
      <c r="E14" t="s">
        <v>870</v>
      </c>
      <c r="F14">
        <v>7.8</v>
      </c>
      <c r="G14">
        <v>2100</v>
      </c>
      <c r="H14">
        <v>6161</v>
      </c>
      <c r="I14" t="s">
        <v>857</v>
      </c>
      <c r="J14" t="str" cm="1">
        <f t="array" ref="J14">_xlfn.SWITCH(VALUE(RIGHT(I14,1)),1,"Foundation",2,"Activation",3,"Adaptation",4,"Consolidation",5,"TrailGenic","")</f>
        <v>Adaptation</v>
      </c>
      <c r="K14" t="s">
        <v>848</v>
      </c>
      <c r="L14" t="s">
        <v>858</v>
      </c>
      <c r="M14" t="s">
        <v>875</v>
      </c>
    </row>
    <row r="15" spans="1:13" x14ac:dyDescent="0.25">
      <c r="A15" t="s">
        <v>876</v>
      </c>
      <c r="B15" t="s">
        <v>877</v>
      </c>
      <c r="C15" t="s">
        <v>869</v>
      </c>
      <c r="D15" t="s">
        <v>820</v>
      </c>
      <c r="E15" t="s">
        <v>870</v>
      </c>
      <c r="F15">
        <v>14.8</v>
      </c>
      <c r="G15">
        <v>4500</v>
      </c>
      <c r="H15">
        <v>5710</v>
      </c>
      <c r="I15" t="s">
        <v>878</v>
      </c>
      <c r="J15" t="str" cm="1">
        <f t="array" ref="J15">_xlfn.SWITCH(VALUE(RIGHT(I15,1)),1,"Foundation",2,"Activation",3,"Adaptation",4,"Consolidation",5,"TrailGenic","")</f>
        <v>Consolidation</v>
      </c>
      <c r="K15" t="s">
        <v>848</v>
      </c>
      <c r="L15" t="s">
        <v>879</v>
      </c>
      <c r="M15" t="s">
        <v>880</v>
      </c>
    </row>
    <row r="16" spans="1:13" x14ac:dyDescent="0.25">
      <c r="A16" t="s">
        <v>881</v>
      </c>
      <c r="B16" t="s">
        <v>882</v>
      </c>
      <c r="C16" t="s">
        <v>869</v>
      </c>
      <c r="D16" t="s">
        <v>820</v>
      </c>
      <c r="E16" t="s">
        <v>870</v>
      </c>
      <c r="F16">
        <v>14</v>
      </c>
      <c r="G16">
        <v>4200</v>
      </c>
      <c r="H16">
        <v>5710</v>
      </c>
      <c r="I16" t="s">
        <v>878</v>
      </c>
      <c r="J16" t="str" cm="1">
        <f t="array" ref="J16">_xlfn.SWITCH(VALUE(RIGHT(I16,1)),1,"Foundation",2,"Activation",3,"Adaptation",4,"Consolidation",5,"TrailGenic","")</f>
        <v>Consolidation</v>
      </c>
      <c r="K16" t="s">
        <v>848</v>
      </c>
      <c r="L16" t="s">
        <v>879</v>
      </c>
      <c r="M16" t="s">
        <v>883</v>
      </c>
    </row>
    <row r="17" spans="1:13" x14ac:dyDescent="0.25">
      <c r="A17" t="s">
        <v>884</v>
      </c>
      <c r="B17" t="s">
        <v>885</v>
      </c>
      <c r="C17" t="s">
        <v>869</v>
      </c>
      <c r="D17" t="s">
        <v>820</v>
      </c>
      <c r="E17" t="s">
        <v>870</v>
      </c>
      <c r="F17">
        <v>8.3000000000000007</v>
      </c>
      <c r="G17">
        <v>2800</v>
      </c>
      <c r="H17">
        <v>9399</v>
      </c>
      <c r="I17" t="s">
        <v>878</v>
      </c>
      <c r="J17" t="str" cm="1">
        <f t="array" ref="J17">_xlfn.SWITCH(VALUE(RIGHT(I17,1)),1,"Foundation",2,"Activation",3,"Adaptation",4,"Consolidation",5,"TrailGenic","")</f>
        <v>Consolidation</v>
      </c>
      <c r="K17" t="s">
        <v>886</v>
      </c>
      <c r="L17" t="s">
        <v>887</v>
      </c>
      <c r="M17" t="s">
        <v>888</v>
      </c>
    </row>
    <row r="18" spans="1:13" x14ac:dyDescent="0.25">
      <c r="A18" t="s">
        <v>889</v>
      </c>
      <c r="B18" t="s">
        <v>890</v>
      </c>
      <c r="C18" t="s">
        <v>869</v>
      </c>
      <c r="D18" t="s">
        <v>820</v>
      </c>
      <c r="E18" t="s">
        <v>870</v>
      </c>
      <c r="F18">
        <v>7.2</v>
      </c>
      <c r="G18">
        <v>2700</v>
      </c>
      <c r="H18">
        <v>8250</v>
      </c>
      <c r="I18" t="s">
        <v>878</v>
      </c>
      <c r="J18" t="str" cm="1">
        <f t="array" ref="J18">_xlfn.SWITCH(VALUE(RIGHT(I18,1)),1,"Foundation",2,"Activation",3,"Adaptation",4,"Consolidation",5,"TrailGenic","")</f>
        <v>Consolidation</v>
      </c>
      <c r="K18" t="s">
        <v>886</v>
      </c>
      <c r="L18" t="s">
        <v>891</v>
      </c>
      <c r="M18" t="s">
        <v>892</v>
      </c>
    </row>
    <row r="19" spans="1:13" x14ac:dyDescent="0.25">
      <c r="A19" t="s">
        <v>893</v>
      </c>
      <c r="B19" t="s">
        <v>894</v>
      </c>
      <c r="C19" t="s">
        <v>895</v>
      </c>
      <c r="D19" t="s">
        <v>820</v>
      </c>
      <c r="E19" t="s">
        <v>870</v>
      </c>
      <c r="F19">
        <v>8.4</v>
      </c>
      <c r="G19">
        <v>3900</v>
      </c>
      <c r="H19">
        <v>10064</v>
      </c>
      <c r="I19" t="s">
        <v>896</v>
      </c>
      <c r="J19" t="str" cm="1">
        <f t="array" ref="J19">_xlfn.SWITCH(VALUE(RIGHT(I19,1)),1,"Foundation",2,"Activation",3,"Adaptation",4,"Consolidation",5,"TrailGenic","")</f>
        <v>TrailGenic</v>
      </c>
      <c r="K19" t="s">
        <v>886</v>
      </c>
      <c r="L19" t="s">
        <v>897</v>
      </c>
      <c r="M19" t="s">
        <v>898</v>
      </c>
    </row>
    <row r="20" spans="1:13" x14ac:dyDescent="0.25">
      <c r="A20" t="s">
        <v>899</v>
      </c>
      <c r="B20" t="s">
        <v>900</v>
      </c>
      <c r="C20" t="s">
        <v>895</v>
      </c>
      <c r="D20" t="s">
        <v>820</v>
      </c>
      <c r="E20" t="s">
        <v>870</v>
      </c>
      <c r="F20">
        <v>7</v>
      </c>
      <c r="G20">
        <v>4700</v>
      </c>
      <c r="H20">
        <v>10064</v>
      </c>
      <c r="I20" t="s">
        <v>896</v>
      </c>
      <c r="J20" t="str" cm="1">
        <f t="array" ref="J20">_xlfn.SWITCH(VALUE(RIGHT(I20,1)),1,"Foundation",2,"Activation",3,"Adaptation",4,"Consolidation",5,"TrailGenic","")</f>
        <v>TrailGenic</v>
      </c>
      <c r="K20" t="s">
        <v>886</v>
      </c>
      <c r="L20" t="s">
        <v>901</v>
      </c>
      <c r="M20" t="s">
        <v>902</v>
      </c>
    </row>
    <row r="21" spans="1:13" x14ac:dyDescent="0.25">
      <c r="A21" t="s">
        <v>903</v>
      </c>
      <c r="B21" t="s">
        <v>904</v>
      </c>
      <c r="C21" t="s">
        <v>895</v>
      </c>
      <c r="D21" t="s">
        <v>820</v>
      </c>
      <c r="E21" t="s">
        <v>870</v>
      </c>
      <c r="F21">
        <v>11</v>
      </c>
      <c r="G21">
        <v>3500</v>
      </c>
      <c r="H21">
        <v>8985</v>
      </c>
      <c r="I21" t="s">
        <v>878</v>
      </c>
      <c r="J21" t="str" cm="1">
        <f t="array" ref="J21">_xlfn.SWITCH(VALUE(RIGHT(I21,1)),1,"Foundation",2,"Activation",3,"Adaptation",4,"Consolidation",5,"TrailGenic","")</f>
        <v>Consolidation</v>
      </c>
      <c r="K21" t="s">
        <v>886</v>
      </c>
      <c r="L21" t="s">
        <v>887</v>
      </c>
      <c r="M21" t="s">
        <v>905</v>
      </c>
    </row>
    <row r="22" spans="1:13" x14ac:dyDescent="0.25">
      <c r="A22" t="s">
        <v>906</v>
      </c>
      <c r="B22" t="s">
        <v>907</v>
      </c>
      <c r="C22" t="s">
        <v>895</v>
      </c>
      <c r="D22" t="s">
        <v>820</v>
      </c>
      <c r="E22" t="s">
        <v>870</v>
      </c>
      <c r="F22">
        <v>12</v>
      </c>
      <c r="G22">
        <v>4400</v>
      </c>
      <c r="H22">
        <v>8859</v>
      </c>
      <c r="I22" t="s">
        <v>878</v>
      </c>
      <c r="J22" t="str" cm="1">
        <f t="array" ref="J22">_xlfn.SWITCH(VALUE(RIGHT(I22,1)),1,"Foundation",2,"Activation",3,"Adaptation",4,"Consolidation",5,"TrailGenic","")</f>
        <v>Consolidation</v>
      </c>
      <c r="K22" t="s">
        <v>886</v>
      </c>
      <c r="L22" t="s">
        <v>908</v>
      </c>
      <c r="M22" t="s">
        <v>909</v>
      </c>
    </row>
    <row r="23" spans="1:13" x14ac:dyDescent="0.25">
      <c r="A23" t="s">
        <v>910</v>
      </c>
      <c r="B23" t="s">
        <v>911</v>
      </c>
      <c r="C23" t="s">
        <v>895</v>
      </c>
      <c r="D23" t="s">
        <v>820</v>
      </c>
      <c r="E23" t="s">
        <v>870</v>
      </c>
      <c r="F23">
        <v>13</v>
      </c>
      <c r="G23">
        <v>4200</v>
      </c>
      <c r="H23">
        <v>8693</v>
      </c>
      <c r="I23" t="s">
        <v>878</v>
      </c>
      <c r="J23" t="str" cm="1">
        <f t="array" ref="J23">_xlfn.SWITCH(VALUE(RIGHT(I23,1)),1,"Foundation",2,"Activation",3,"Adaptation",4,"Consolidation",5,"TrailGenic","")</f>
        <v>Consolidation</v>
      </c>
      <c r="K23" t="s">
        <v>886</v>
      </c>
      <c r="L23" t="s">
        <v>891</v>
      </c>
      <c r="M23" t="s">
        <v>912</v>
      </c>
    </row>
    <row r="24" spans="1:13" x14ac:dyDescent="0.25">
      <c r="A24" t="s">
        <v>913</v>
      </c>
      <c r="B24" t="s">
        <v>914</v>
      </c>
      <c r="C24" t="s">
        <v>895</v>
      </c>
      <c r="D24" t="s">
        <v>820</v>
      </c>
      <c r="E24" t="s">
        <v>870</v>
      </c>
      <c r="F24">
        <v>8.6</v>
      </c>
      <c r="G24">
        <v>2000</v>
      </c>
      <c r="H24">
        <v>5450</v>
      </c>
      <c r="I24" t="s">
        <v>878</v>
      </c>
      <c r="J24" t="str" cm="1">
        <f t="array" ref="J24">_xlfn.SWITCH(VALUE(RIGHT(I24,1)),1,"Foundation",2,"Activation",3,"Adaptation",4,"Consolidation",5,"TrailGenic","")</f>
        <v>Consolidation</v>
      </c>
      <c r="K24" t="s">
        <v>886</v>
      </c>
      <c r="L24" t="s">
        <v>887</v>
      </c>
      <c r="M24" t="s">
        <v>915</v>
      </c>
    </row>
    <row r="25" spans="1:13" x14ac:dyDescent="0.25">
      <c r="A25" t="s">
        <v>916</v>
      </c>
      <c r="B25" t="s">
        <v>917</v>
      </c>
      <c r="C25" t="s">
        <v>918</v>
      </c>
      <c r="D25" t="s">
        <v>820</v>
      </c>
      <c r="E25" t="s">
        <v>870</v>
      </c>
      <c r="F25">
        <v>8</v>
      </c>
      <c r="G25">
        <v>2400</v>
      </c>
      <c r="H25">
        <v>8846</v>
      </c>
      <c r="I25" t="s">
        <v>878</v>
      </c>
      <c r="J25" t="str" cm="1">
        <f t="array" ref="J25">_xlfn.SWITCH(VALUE(RIGHT(I25,1)),1,"Foundation",2,"Activation",3,"Adaptation",4,"Consolidation",5,"TrailGenic","")</f>
        <v>Consolidation</v>
      </c>
      <c r="K25" t="s">
        <v>886</v>
      </c>
      <c r="L25" t="s">
        <v>908</v>
      </c>
      <c r="M25" t="s">
        <v>919</v>
      </c>
    </row>
    <row r="26" spans="1:13" x14ac:dyDescent="0.25">
      <c r="A26" t="s">
        <v>920</v>
      </c>
      <c r="B26" t="s">
        <v>921</v>
      </c>
      <c r="C26" t="s">
        <v>918</v>
      </c>
      <c r="D26" t="s">
        <v>820</v>
      </c>
      <c r="E26" t="s">
        <v>870</v>
      </c>
      <c r="F26">
        <v>11.4</v>
      </c>
      <c r="G26">
        <v>4600</v>
      </c>
      <c r="H26">
        <v>10834</v>
      </c>
      <c r="I26" t="s">
        <v>896</v>
      </c>
      <c r="J26" t="str" cm="1">
        <f t="array" ref="J26">_xlfn.SWITCH(VALUE(RIGHT(I26,1)),1,"Foundation",2,"Activation",3,"Adaptation",4,"Consolidation",5,"TrailGenic","")</f>
        <v>TrailGenic</v>
      </c>
      <c r="K26" t="s">
        <v>886</v>
      </c>
      <c r="L26" t="s">
        <v>922</v>
      </c>
      <c r="M26" t="s">
        <v>923</v>
      </c>
    </row>
    <row r="27" spans="1:13" x14ac:dyDescent="0.25">
      <c r="A27" t="s">
        <v>924</v>
      </c>
      <c r="B27" t="s">
        <v>925</v>
      </c>
      <c r="C27" t="s">
        <v>926</v>
      </c>
      <c r="D27" t="s">
        <v>820</v>
      </c>
      <c r="E27" t="s">
        <v>870</v>
      </c>
      <c r="F27">
        <v>17.3</v>
      </c>
      <c r="G27">
        <v>5500</v>
      </c>
      <c r="H27">
        <v>11503</v>
      </c>
      <c r="I27" t="s">
        <v>896</v>
      </c>
      <c r="J27" t="str" cm="1">
        <f t="array" ref="J27">_xlfn.SWITCH(VALUE(RIGHT(I27,1)),1,"Foundation",2,"Activation",3,"Adaptation",4,"Consolidation",5,"TrailGenic","")</f>
        <v>TrailGenic</v>
      </c>
      <c r="K27" t="s">
        <v>886</v>
      </c>
      <c r="L27" t="s">
        <v>927</v>
      </c>
      <c r="M27" t="s">
        <v>928</v>
      </c>
    </row>
    <row r="28" spans="1:13" x14ac:dyDescent="0.25">
      <c r="A28" t="s">
        <v>929</v>
      </c>
      <c r="B28" t="s">
        <v>930</v>
      </c>
      <c r="C28" t="s">
        <v>931</v>
      </c>
      <c r="D28" t="s">
        <v>820</v>
      </c>
      <c r="E28" t="s">
        <v>870</v>
      </c>
      <c r="F28">
        <v>9.3000000000000007</v>
      </c>
      <c r="G28">
        <v>2100</v>
      </c>
      <c r="H28">
        <v>3273</v>
      </c>
      <c r="I28" t="s">
        <v>857</v>
      </c>
      <c r="J28" t="str" cm="1">
        <f t="array" ref="J28">_xlfn.SWITCH(VALUE(RIGHT(I28,1)),1,"Foundation",2,"Activation",3,"Adaptation",4,"Consolidation",5,"TrailGenic","")</f>
        <v>Adaptation</v>
      </c>
      <c r="K28" t="s">
        <v>823</v>
      </c>
      <c r="L28" t="s">
        <v>865</v>
      </c>
      <c r="M28" t="s">
        <v>932</v>
      </c>
    </row>
    <row r="29" spans="1:13" x14ac:dyDescent="0.25">
      <c r="A29" t="s">
        <v>933</v>
      </c>
      <c r="B29" t="s">
        <v>934</v>
      </c>
      <c r="C29" t="s">
        <v>935</v>
      </c>
      <c r="D29" t="s">
        <v>820</v>
      </c>
      <c r="E29" t="s">
        <v>834</v>
      </c>
      <c r="F29">
        <v>5</v>
      </c>
      <c r="G29">
        <v>900</v>
      </c>
      <c r="H29">
        <v>1000</v>
      </c>
      <c r="I29" t="s">
        <v>835</v>
      </c>
      <c r="J29" t="str" cm="1">
        <f t="array" ref="J29">_xlfn.SWITCH(VALUE(RIGHT(I29,1)),1,"Foundation",2,"Activation",3,"Adaptation",4,"Consolidation",5,"TrailGenic","")</f>
        <v>Activation</v>
      </c>
      <c r="K29" t="s">
        <v>823</v>
      </c>
      <c r="L29" t="s">
        <v>936</v>
      </c>
      <c r="M29" t="s">
        <v>937</v>
      </c>
    </row>
    <row r="30" spans="1:13" x14ac:dyDescent="0.25">
      <c r="A30" t="s">
        <v>938</v>
      </c>
      <c r="B30" t="s">
        <v>939</v>
      </c>
      <c r="C30" t="s">
        <v>940</v>
      </c>
      <c r="D30" t="s">
        <v>820</v>
      </c>
      <c r="E30" t="s">
        <v>834</v>
      </c>
      <c r="F30">
        <v>10</v>
      </c>
      <c r="G30">
        <v>1600</v>
      </c>
      <c r="H30">
        <v>1100</v>
      </c>
      <c r="I30" t="s">
        <v>835</v>
      </c>
      <c r="J30" t="str" cm="1">
        <f t="array" ref="J30">_xlfn.SWITCH(VALUE(RIGHT(I30,1)),1,"Foundation",2,"Activation",3,"Adaptation",4,"Consolidation",5,"TrailGenic","")</f>
        <v>Activation</v>
      </c>
      <c r="K30" t="s">
        <v>823</v>
      </c>
      <c r="L30" t="s">
        <v>936</v>
      </c>
      <c r="M30" t="s">
        <v>941</v>
      </c>
    </row>
    <row r="31" spans="1:13" x14ac:dyDescent="0.25">
      <c r="A31" t="s">
        <v>942</v>
      </c>
      <c r="B31" t="s">
        <v>943</v>
      </c>
      <c r="C31" t="s">
        <v>944</v>
      </c>
      <c r="D31" t="s">
        <v>820</v>
      </c>
      <c r="E31" t="s">
        <v>821</v>
      </c>
      <c r="F31">
        <v>3</v>
      </c>
      <c r="G31">
        <v>350</v>
      </c>
      <c r="H31">
        <v>340</v>
      </c>
      <c r="I31" t="s">
        <v>822</v>
      </c>
      <c r="J31" t="str" cm="1">
        <f t="array" ref="J31">_xlfn.SWITCH(VALUE(RIGHT(I31,1)),1,"Foundation",2,"Activation",3,"Adaptation",4,"Consolidation",5,"TrailGenic","")</f>
        <v>Foundation</v>
      </c>
      <c r="K31" t="s">
        <v>823</v>
      </c>
      <c r="L31" t="s">
        <v>945</v>
      </c>
      <c r="M31" t="s">
        <v>946</v>
      </c>
    </row>
    <row r="32" spans="1:13" x14ac:dyDescent="0.25">
      <c r="A32" t="s">
        <v>947</v>
      </c>
      <c r="B32" t="s">
        <v>948</v>
      </c>
      <c r="C32" t="s">
        <v>944</v>
      </c>
      <c r="D32" t="s">
        <v>820</v>
      </c>
      <c r="E32" t="s">
        <v>834</v>
      </c>
      <c r="F32">
        <v>3</v>
      </c>
      <c r="G32">
        <v>900</v>
      </c>
      <c r="H32">
        <v>1591</v>
      </c>
      <c r="I32" t="s">
        <v>835</v>
      </c>
      <c r="J32" t="str" cm="1">
        <f t="array" ref="J32">_xlfn.SWITCH(VALUE(RIGHT(I32,1)),1,"Foundation",2,"Activation",3,"Adaptation",4,"Consolidation",5,"TrailGenic","")</f>
        <v>Activation</v>
      </c>
      <c r="K32" t="s">
        <v>823</v>
      </c>
      <c r="L32" t="s">
        <v>836</v>
      </c>
      <c r="M32" t="s">
        <v>949</v>
      </c>
    </row>
    <row r="33" spans="1:13" x14ac:dyDescent="0.25">
      <c r="A33" t="s">
        <v>950</v>
      </c>
      <c r="B33" t="s">
        <v>951</v>
      </c>
      <c r="C33" t="s">
        <v>952</v>
      </c>
      <c r="D33" t="s">
        <v>820</v>
      </c>
      <c r="E33" t="s">
        <v>834</v>
      </c>
      <c r="F33">
        <v>7.5</v>
      </c>
      <c r="G33">
        <v>2000</v>
      </c>
      <c r="H33">
        <v>2894</v>
      </c>
      <c r="I33" t="s">
        <v>857</v>
      </c>
      <c r="J33" t="str" cm="1">
        <f t="array" ref="J33">_xlfn.SWITCH(VALUE(RIGHT(I33,1)),1,"Foundation",2,"Activation",3,"Adaptation",4,"Consolidation",5,"TrailGenic","")</f>
        <v>Adaptation</v>
      </c>
      <c r="K33" t="s">
        <v>823</v>
      </c>
      <c r="L33" t="s">
        <v>865</v>
      </c>
      <c r="M33" t="s">
        <v>953</v>
      </c>
    </row>
    <row r="34" spans="1:13" x14ac:dyDescent="0.25">
      <c r="A34" t="s">
        <v>954</v>
      </c>
      <c r="B34" t="s">
        <v>955</v>
      </c>
      <c r="C34" t="s">
        <v>956</v>
      </c>
      <c r="D34" t="s">
        <v>820</v>
      </c>
      <c r="E34" t="s">
        <v>870</v>
      </c>
      <c r="F34">
        <v>6</v>
      </c>
      <c r="G34">
        <v>1800</v>
      </c>
      <c r="H34">
        <v>3111</v>
      </c>
      <c r="I34" t="s">
        <v>835</v>
      </c>
      <c r="J34" t="str" cm="1">
        <f t="array" ref="J34">_xlfn.SWITCH(VALUE(RIGHT(I34,1)),1,"Foundation",2,"Activation",3,"Adaptation",4,"Consolidation",5,"TrailGenic","")</f>
        <v>Activation</v>
      </c>
      <c r="K34" t="s">
        <v>823</v>
      </c>
      <c r="L34" t="s">
        <v>936</v>
      </c>
      <c r="M34" t="s">
        <v>957</v>
      </c>
    </row>
    <row r="35" spans="1:13" x14ac:dyDescent="0.25">
      <c r="A35" t="s">
        <v>958</v>
      </c>
      <c r="B35" t="s">
        <v>959</v>
      </c>
      <c r="C35" t="s">
        <v>956</v>
      </c>
      <c r="D35" t="s">
        <v>820</v>
      </c>
      <c r="E35" t="s">
        <v>870</v>
      </c>
      <c r="F35">
        <v>6.5</v>
      </c>
      <c r="G35">
        <v>1000</v>
      </c>
      <c r="H35">
        <v>2000</v>
      </c>
      <c r="I35" t="s">
        <v>835</v>
      </c>
      <c r="J35" t="str" cm="1">
        <f t="array" ref="J35">_xlfn.SWITCH(VALUE(RIGHT(I35,1)),1,"Foundation",2,"Activation",3,"Adaptation",4,"Consolidation",5,"TrailGenic","")</f>
        <v>Activation</v>
      </c>
      <c r="K35" t="s">
        <v>823</v>
      </c>
      <c r="L35" t="s">
        <v>960</v>
      </c>
      <c r="M35" t="s">
        <v>961</v>
      </c>
    </row>
    <row r="36" spans="1:13" x14ac:dyDescent="0.25">
      <c r="A36" t="s">
        <v>962</v>
      </c>
      <c r="B36" t="s">
        <v>963</v>
      </c>
      <c r="C36" t="s">
        <v>964</v>
      </c>
      <c r="D36" t="s">
        <v>820</v>
      </c>
      <c r="E36" t="s">
        <v>834</v>
      </c>
      <c r="F36">
        <v>3.4</v>
      </c>
      <c r="G36">
        <v>600</v>
      </c>
      <c r="H36">
        <v>1900</v>
      </c>
      <c r="I36" t="s">
        <v>835</v>
      </c>
      <c r="J36" t="str" cm="1">
        <f t="array" ref="J36">_xlfn.SWITCH(VALUE(RIGHT(I36,1)),1,"Foundation",2,"Activation",3,"Adaptation",4,"Consolidation",5,"TrailGenic","")</f>
        <v>Activation</v>
      </c>
      <c r="K36" t="s">
        <v>848</v>
      </c>
      <c r="L36" t="s">
        <v>849</v>
      </c>
      <c r="M36" t="s">
        <v>965</v>
      </c>
    </row>
    <row r="37" spans="1:13" x14ac:dyDescent="0.25">
      <c r="A37" t="s">
        <v>966</v>
      </c>
      <c r="B37" t="s">
        <v>967</v>
      </c>
      <c r="C37" t="s">
        <v>964</v>
      </c>
      <c r="D37" t="s">
        <v>820</v>
      </c>
      <c r="E37" t="s">
        <v>834</v>
      </c>
      <c r="F37">
        <v>2.6</v>
      </c>
      <c r="G37">
        <v>600</v>
      </c>
      <c r="H37">
        <v>1500</v>
      </c>
      <c r="I37" t="s">
        <v>835</v>
      </c>
      <c r="J37" t="str" cm="1">
        <f t="array" ref="J37">_xlfn.SWITCH(VALUE(RIGHT(I37,1)),1,"Foundation",2,"Activation",3,"Adaptation",4,"Consolidation",5,"TrailGenic","")</f>
        <v>Activation</v>
      </c>
      <c r="K37" t="s">
        <v>848</v>
      </c>
      <c r="L37" t="s">
        <v>849</v>
      </c>
      <c r="M37" t="s">
        <v>968</v>
      </c>
    </row>
    <row r="38" spans="1:13" x14ac:dyDescent="0.25">
      <c r="A38" t="s">
        <v>969</v>
      </c>
      <c r="B38" t="s">
        <v>970</v>
      </c>
      <c r="C38" t="s">
        <v>971</v>
      </c>
      <c r="D38" t="s">
        <v>820</v>
      </c>
      <c r="E38" t="s">
        <v>834</v>
      </c>
      <c r="F38">
        <v>7</v>
      </c>
      <c r="G38">
        <v>2200</v>
      </c>
      <c r="H38">
        <v>3126</v>
      </c>
      <c r="I38" t="s">
        <v>857</v>
      </c>
      <c r="J38" t="str" cm="1">
        <f t="array" ref="J38">_xlfn.SWITCH(VALUE(RIGHT(I38,1)),1,"Foundation",2,"Activation",3,"Adaptation",4,"Consolidation",5,"TrailGenic","")</f>
        <v>Adaptation</v>
      </c>
      <c r="K38" t="s">
        <v>823</v>
      </c>
      <c r="L38" t="s">
        <v>972</v>
      </c>
      <c r="M38" t="s">
        <v>973</v>
      </c>
    </row>
    <row r="39" spans="1:13" x14ac:dyDescent="0.25">
      <c r="A39" t="s">
        <v>974</v>
      </c>
      <c r="B39" t="s">
        <v>975</v>
      </c>
      <c r="C39" t="s">
        <v>819</v>
      </c>
      <c r="D39" t="s">
        <v>820</v>
      </c>
      <c r="E39" t="s">
        <v>834</v>
      </c>
      <c r="F39">
        <v>4.7</v>
      </c>
      <c r="G39">
        <v>800</v>
      </c>
      <c r="H39">
        <v>1957</v>
      </c>
      <c r="I39" t="s">
        <v>835</v>
      </c>
      <c r="J39" t="str" cm="1">
        <f t="array" ref="J39">_xlfn.SWITCH(VALUE(RIGHT(I39,1)),1,"Foundation",2,"Activation",3,"Adaptation",4,"Consolidation",5,"TrailGenic","")</f>
        <v>Activation</v>
      </c>
      <c r="K39" t="s">
        <v>823</v>
      </c>
      <c r="L39" t="s">
        <v>936</v>
      </c>
      <c r="M39" t="s">
        <v>976</v>
      </c>
    </row>
    <row r="40" spans="1:13" x14ac:dyDescent="0.25">
      <c r="A40" t="s">
        <v>977</v>
      </c>
      <c r="B40" t="s">
        <v>978</v>
      </c>
      <c r="C40" t="s">
        <v>819</v>
      </c>
      <c r="D40" t="s">
        <v>820</v>
      </c>
      <c r="E40" t="s">
        <v>821</v>
      </c>
      <c r="F40">
        <v>7</v>
      </c>
      <c r="G40">
        <v>1200</v>
      </c>
      <c r="H40">
        <v>1680</v>
      </c>
      <c r="I40" t="s">
        <v>835</v>
      </c>
      <c r="J40" t="str" cm="1">
        <f t="array" ref="J40">_xlfn.SWITCH(VALUE(RIGHT(I40,1)),1,"Foundation",2,"Activation",3,"Adaptation",4,"Consolidation",5,"TrailGenic","")</f>
        <v>Activation</v>
      </c>
      <c r="K40" t="s">
        <v>823</v>
      </c>
      <c r="L40" t="s">
        <v>836</v>
      </c>
      <c r="M40" t="s">
        <v>979</v>
      </c>
    </row>
    <row r="41" spans="1:13" x14ac:dyDescent="0.25">
      <c r="A41" t="s">
        <v>980</v>
      </c>
      <c r="B41" t="s">
        <v>981</v>
      </c>
      <c r="C41" t="s">
        <v>931</v>
      </c>
      <c r="D41" t="s">
        <v>820</v>
      </c>
      <c r="E41" t="s">
        <v>834</v>
      </c>
      <c r="F41">
        <v>4.2</v>
      </c>
      <c r="G41">
        <v>600</v>
      </c>
      <c r="H41">
        <v>1300</v>
      </c>
      <c r="I41" t="s">
        <v>835</v>
      </c>
      <c r="J41" t="str" cm="1">
        <f t="array" ref="J41">_xlfn.SWITCH(VALUE(RIGHT(I41,1)),1,"Foundation",2,"Activation",3,"Adaptation",4,"Consolidation",5,"TrailGenic","")</f>
        <v>Activation</v>
      </c>
      <c r="K41" t="s">
        <v>823</v>
      </c>
      <c r="L41" t="s">
        <v>936</v>
      </c>
      <c r="M41" t="s">
        <v>982</v>
      </c>
    </row>
    <row r="42" spans="1:13" x14ac:dyDescent="0.25">
      <c r="A42" t="s">
        <v>983</v>
      </c>
      <c r="B42" t="s">
        <v>984</v>
      </c>
      <c r="C42" t="s">
        <v>985</v>
      </c>
      <c r="D42" t="s">
        <v>986</v>
      </c>
      <c r="E42" t="s">
        <v>987</v>
      </c>
      <c r="F42">
        <v>6</v>
      </c>
      <c r="G42">
        <v>2100</v>
      </c>
      <c r="H42">
        <v>2517</v>
      </c>
      <c r="I42" t="s">
        <v>857</v>
      </c>
      <c r="J42" t="str" cm="1">
        <f t="array" ref="J42">_xlfn.SWITCH(VALUE(RIGHT(I42,1)),1,"Foundation",2,"Activation",3,"Adaptation",4,"Consolidation",5,"TrailGenic","")</f>
        <v>Adaptation</v>
      </c>
      <c r="K42" t="s">
        <v>823</v>
      </c>
      <c r="L42" t="s">
        <v>865</v>
      </c>
      <c r="M42" t="s">
        <v>988</v>
      </c>
    </row>
    <row r="43" spans="1:13" x14ac:dyDescent="0.25">
      <c r="A43" t="s">
        <v>989</v>
      </c>
      <c r="B43" t="s">
        <v>990</v>
      </c>
      <c r="C43" t="s">
        <v>991</v>
      </c>
      <c r="D43" t="s">
        <v>986</v>
      </c>
      <c r="E43" t="s">
        <v>987</v>
      </c>
      <c r="F43">
        <v>13</v>
      </c>
      <c r="G43">
        <v>3700</v>
      </c>
      <c r="H43">
        <v>3849</v>
      </c>
      <c r="I43" t="s">
        <v>878</v>
      </c>
      <c r="J43" t="str" cm="1">
        <f t="array" ref="J43">_xlfn.SWITCH(VALUE(RIGHT(I43,1)),1,"Foundation",2,"Activation",3,"Adaptation",4,"Consolidation",5,"TrailGenic","")</f>
        <v>Consolidation</v>
      </c>
      <c r="K43" t="s">
        <v>848</v>
      </c>
      <c r="L43" t="s">
        <v>992</v>
      </c>
      <c r="M43" t="s">
        <v>993</v>
      </c>
    </row>
    <row r="44" spans="1:13" x14ac:dyDescent="0.25">
      <c r="A44" t="s">
        <v>994</v>
      </c>
      <c r="B44" t="s">
        <v>995</v>
      </c>
      <c r="C44" t="s">
        <v>996</v>
      </c>
      <c r="D44" t="s">
        <v>986</v>
      </c>
      <c r="E44" t="s">
        <v>987</v>
      </c>
      <c r="F44">
        <v>7</v>
      </c>
      <c r="G44">
        <v>2200</v>
      </c>
      <c r="H44">
        <v>1360</v>
      </c>
      <c r="I44" t="s">
        <v>835</v>
      </c>
      <c r="J44" t="str" cm="1">
        <f t="array" ref="J44">_xlfn.SWITCH(VALUE(RIGHT(I44,1)),1,"Foundation",2,"Activation",3,"Adaptation",4,"Consolidation",5,"TrailGenic","")</f>
        <v>Activation</v>
      </c>
      <c r="K44" t="s">
        <v>848</v>
      </c>
      <c r="L44" t="s">
        <v>849</v>
      </c>
      <c r="M44" t="s">
        <v>997</v>
      </c>
    </row>
    <row r="45" spans="1:13" x14ac:dyDescent="0.25">
      <c r="A45" t="s">
        <v>998</v>
      </c>
      <c r="B45" t="s">
        <v>999</v>
      </c>
      <c r="C45" t="s">
        <v>996</v>
      </c>
      <c r="D45" t="s">
        <v>986</v>
      </c>
      <c r="E45" t="s">
        <v>987</v>
      </c>
      <c r="F45">
        <v>7.5</v>
      </c>
      <c r="G45">
        <v>1800</v>
      </c>
      <c r="H45">
        <v>2571</v>
      </c>
      <c r="I45" t="s">
        <v>857</v>
      </c>
      <c r="J45" t="str" cm="1">
        <f t="array" ref="J45">_xlfn.SWITCH(VALUE(RIGHT(I45,1)),1,"Foundation",2,"Activation",3,"Adaptation",4,"Consolidation",5,"TrailGenic","")</f>
        <v>Adaptation</v>
      </c>
      <c r="K45" t="s">
        <v>848</v>
      </c>
      <c r="L45" t="s">
        <v>1000</v>
      </c>
      <c r="M45" t="s">
        <v>1001</v>
      </c>
    </row>
    <row r="46" spans="1:13" x14ac:dyDescent="0.25">
      <c r="A46" t="s">
        <v>1002</v>
      </c>
      <c r="B46" t="s">
        <v>1003</v>
      </c>
      <c r="C46" t="s">
        <v>1004</v>
      </c>
      <c r="D46" t="s">
        <v>986</v>
      </c>
      <c r="E46" t="s">
        <v>987</v>
      </c>
      <c r="F46">
        <v>13</v>
      </c>
      <c r="G46">
        <v>1400</v>
      </c>
      <c r="H46">
        <v>560</v>
      </c>
      <c r="I46" t="s">
        <v>835</v>
      </c>
      <c r="J46" t="str" cm="1">
        <f t="array" ref="J46">_xlfn.SWITCH(VALUE(RIGHT(I46,1)),1,"Foundation",2,"Activation",3,"Adaptation",4,"Consolidation",5,"TrailGenic","")</f>
        <v>Activation</v>
      </c>
      <c r="K46" t="s">
        <v>848</v>
      </c>
      <c r="L46" t="s">
        <v>1005</v>
      </c>
      <c r="M46" t="s">
        <v>1006</v>
      </c>
    </row>
    <row r="47" spans="1:13" x14ac:dyDescent="0.25">
      <c r="A47" t="s">
        <v>1007</v>
      </c>
      <c r="B47" t="s">
        <v>1008</v>
      </c>
      <c r="C47" t="s">
        <v>1009</v>
      </c>
      <c r="D47" t="s">
        <v>1010</v>
      </c>
      <c r="E47" t="s">
        <v>987</v>
      </c>
      <c r="F47">
        <v>4</v>
      </c>
      <c r="G47">
        <v>1160</v>
      </c>
      <c r="H47">
        <v>2080</v>
      </c>
      <c r="I47" t="s">
        <v>835</v>
      </c>
      <c r="J47" t="str" cm="1">
        <f t="array" ref="J47">_xlfn.SWITCH(VALUE(RIGHT(I47,1)),1,"Foundation",2,"Activation",3,"Adaptation",4,"Consolidation",5,"TrailGenic","")</f>
        <v>Activation</v>
      </c>
      <c r="K47" t="s">
        <v>848</v>
      </c>
      <c r="L47" t="s">
        <v>1011</v>
      </c>
      <c r="M47" t="s">
        <v>1012</v>
      </c>
    </row>
    <row r="48" spans="1:13" x14ac:dyDescent="0.25">
      <c r="A48" t="s">
        <v>1013</v>
      </c>
      <c r="B48" t="s">
        <v>1014</v>
      </c>
      <c r="C48" t="s">
        <v>1015</v>
      </c>
      <c r="D48" t="s">
        <v>1010</v>
      </c>
      <c r="E48" t="s">
        <v>987</v>
      </c>
      <c r="F48">
        <v>8</v>
      </c>
      <c r="G48">
        <v>3200</v>
      </c>
      <c r="H48">
        <v>3900</v>
      </c>
      <c r="I48" t="s">
        <v>857</v>
      </c>
      <c r="J48" t="str" cm="1">
        <f t="array" ref="J48">_xlfn.SWITCH(VALUE(RIGHT(I48,1)),1,"Foundation",2,"Activation",3,"Adaptation",4,"Consolidation",5,"TrailGenic","")</f>
        <v>Adaptation</v>
      </c>
      <c r="K48" t="s">
        <v>848</v>
      </c>
      <c r="L48" t="s">
        <v>858</v>
      </c>
      <c r="M48" t="s">
        <v>1016</v>
      </c>
    </row>
    <row r="49" spans="1:13" x14ac:dyDescent="0.25">
      <c r="A49" t="s">
        <v>1017</v>
      </c>
      <c r="B49" t="s">
        <v>1018</v>
      </c>
      <c r="C49" t="s">
        <v>1009</v>
      </c>
      <c r="D49" t="s">
        <v>1010</v>
      </c>
      <c r="E49" t="s">
        <v>987</v>
      </c>
      <c r="F49">
        <v>9.4</v>
      </c>
      <c r="G49">
        <v>4000</v>
      </c>
      <c r="H49">
        <v>4841</v>
      </c>
      <c r="I49" t="s">
        <v>878</v>
      </c>
      <c r="J49" t="str" cm="1">
        <f t="array" ref="J49">_xlfn.SWITCH(VALUE(RIGHT(I49,1)),1,"Foundation",2,"Activation",3,"Adaptation",4,"Consolidation",5,"TrailGenic","")</f>
        <v>Consolidation</v>
      </c>
      <c r="K49" t="s">
        <v>848</v>
      </c>
      <c r="L49" t="s">
        <v>1019</v>
      </c>
      <c r="M49" t="s">
        <v>1020</v>
      </c>
    </row>
    <row r="50" spans="1:13" x14ac:dyDescent="0.25">
      <c r="A50" t="s">
        <v>1021</v>
      </c>
      <c r="B50" t="s">
        <v>1022</v>
      </c>
      <c r="C50" t="s">
        <v>1023</v>
      </c>
      <c r="D50" t="s">
        <v>1010</v>
      </c>
      <c r="E50" t="s">
        <v>987</v>
      </c>
      <c r="F50">
        <v>5</v>
      </c>
      <c r="G50">
        <v>2000</v>
      </c>
      <c r="H50">
        <v>2522</v>
      </c>
      <c r="I50" t="s">
        <v>857</v>
      </c>
      <c r="J50" t="str" cm="1">
        <f t="array" ref="J50">_xlfn.SWITCH(VALUE(RIGHT(I50,1)),1,"Foundation",2,"Activation",3,"Adaptation",4,"Consolidation",5,"TrailGenic","")</f>
        <v>Adaptation</v>
      </c>
      <c r="K50" t="s">
        <v>848</v>
      </c>
      <c r="L50" t="s">
        <v>858</v>
      </c>
      <c r="M50" t="s">
        <v>1024</v>
      </c>
    </row>
    <row r="51" spans="1:13" x14ac:dyDescent="0.25">
      <c r="A51" t="s">
        <v>1025</v>
      </c>
      <c r="B51" t="s">
        <v>1026</v>
      </c>
      <c r="C51" t="s">
        <v>1027</v>
      </c>
      <c r="D51" t="s">
        <v>1010</v>
      </c>
      <c r="E51" t="s">
        <v>987</v>
      </c>
      <c r="F51">
        <v>5.4</v>
      </c>
      <c r="G51">
        <v>1350</v>
      </c>
      <c r="H51">
        <v>2400</v>
      </c>
      <c r="I51" t="s">
        <v>835</v>
      </c>
      <c r="J51" t="str" cm="1">
        <f t="array" ref="J51">_xlfn.SWITCH(VALUE(RIGHT(I51,1)),1,"Foundation",2,"Activation",3,"Adaptation",4,"Consolidation",5,"TrailGenic","")</f>
        <v>Activation</v>
      </c>
      <c r="K51" t="s">
        <v>848</v>
      </c>
      <c r="L51" t="s">
        <v>849</v>
      </c>
      <c r="M51" t="s">
        <v>1028</v>
      </c>
    </row>
    <row r="52" spans="1:13" x14ac:dyDescent="0.25">
      <c r="A52" t="s">
        <v>1029</v>
      </c>
      <c r="B52" t="s">
        <v>1030</v>
      </c>
      <c r="C52" t="s">
        <v>1031</v>
      </c>
      <c r="D52" t="s">
        <v>1032</v>
      </c>
      <c r="E52" t="s">
        <v>821</v>
      </c>
      <c r="F52">
        <v>5</v>
      </c>
      <c r="G52">
        <v>600</v>
      </c>
      <c r="H52">
        <v>1000</v>
      </c>
      <c r="I52" t="s">
        <v>822</v>
      </c>
      <c r="J52" t="str" cm="1">
        <f t="array" ref="J52">_xlfn.SWITCH(VALUE(RIGHT(I52,1)),1,"Foundation",2,"Activation",3,"Adaptation",4,"Consolidation",5,"TrailGenic","")</f>
        <v>Foundation</v>
      </c>
      <c r="K52" t="s">
        <v>848</v>
      </c>
      <c r="L52" t="s">
        <v>1033</v>
      </c>
      <c r="M52" t="s">
        <v>1034</v>
      </c>
    </row>
    <row r="53" spans="1:13" x14ac:dyDescent="0.25">
      <c r="A53" t="s">
        <v>1035</v>
      </c>
      <c r="B53" t="s">
        <v>1036</v>
      </c>
      <c r="C53" t="s">
        <v>1037</v>
      </c>
      <c r="D53" t="s">
        <v>1032</v>
      </c>
      <c r="E53" t="s">
        <v>987</v>
      </c>
      <c r="F53">
        <v>6.9</v>
      </c>
      <c r="G53">
        <v>2950</v>
      </c>
      <c r="H53">
        <v>2948</v>
      </c>
      <c r="I53" t="s">
        <v>878</v>
      </c>
      <c r="J53" t="str" cm="1">
        <f t="array" ref="J53">_xlfn.SWITCH(VALUE(RIGHT(I53,1)),1,"Foundation",2,"Activation",3,"Adaptation",4,"Consolidation",5,"TrailGenic","")</f>
        <v>Consolidation</v>
      </c>
      <c r="K53" t="s">
        <v>823</v>
      </c>
      <c r="L53" t="s">
        <v>1038</v>
      </c>
      <c r="M53" t="s">
        <v>1039</v>
      </c>
    </row>
    <row r="54" spans="1:13" x14ac:dyDescent="0.25">
      <c r="A54" t="s">
        <v>1040</v>
      </c>
      <c r="B54" t="s">
        <v>1041</v>
      </c>
      <c r="C54" t="s">
        <v>1042</v>
      </c>
      <c r="D54" t="s">
        <v>1032</v>
      </c>
      <c r="E54" t="s">
        <v>987</v>
      </c>
      <c r="F54">
        <v>4.5999999999999996</v>
      </c>
      <c r="G54">
        <v>1500</v>
      </c>
      <c r="H54">
        <v>1600</v>
      </c>
      <c r="I54" t="s">
        <v>835</v>
      </c>
      <c r="J54" t="str" cm="1">
        <f t="array" ref="J54">_xlfn.SWITCH(VALUE(RIGHT(I54,1)),1,"Foundation",2,"Activation",3,"Adaptation",4,"Consolidation",5,"TrailGenic","")</f>
        <v>Activation</v>
      </c>
      <c r="K54" t="s">
        <v>823</v>
      </c>
      <c r="L54" t="s">
        <v>836</v>
      </c>
      <c r="M54" t="s">
        <v>1043</v>
      </c>
    </row>
    <row r="55" spans="1:13" x14ac:dyDescent="0.25">
      <c r="A55" t="s">
        <v>1044</v>
      </c>
      <c r="B55" t="s">
        <v>1045</v>
      </c>
      <c r="C55" t="s">
        <v>1042</v>
      </c>
      <c r="D55" t="s">
        <v>1032</v>
      </c>
      <c r="E55" t="s">
        <v>987</v>
      </c>
      <c r="F55">
        <v>13</v>
      </c>
      <c r="G55">
        <v>1900</v>
      </c>
      <c r="H55">
        <v>1200</v>
      </c>
      <c r="I55" t="s">
        <v>835</v>
      </c>
      <c r="J55" t="str" cm="1">
        <f t="array" ref="J55">_xlfn.SWITCH(VALUE(RIGHT(I55,1)),1,"Foundation",2,"Activation",3,"Adaptation",4,"Consolidation",5,"TrailGenic","")</f>
        <v>Activation</v>
      </c>
      <c r="K55" t="s">
        <v>848</v>
      </c>
      <c r="L55" t="s">
        <v>1046</v>
      </c>
      <c r="M55" t="s">
        <v>1047</v>
      </c>
    </row>
    <row r="56" spans="1:13" x14ac:dyDescent="0.25">
      <c r="A56" t="s">
        <v>1048</v>
      </c>
      <c r="B56" t="s">
        <v>1049</v>
      </c>
      <c r="C56" t="s">
        <v>1050</v>
      </c>
      <c r="D56" t="s">
        <v>1051</v>
      </c>
      <c r="E56" t="s">
        <v>987</v>
      </c>
      <c r="F56">
        <v>2.7</v>
      </c>
      <c r="G56">
        <v>1450</v>
      </c>
      <c r="H56">
        <v>7100</v>
      </c>
      <c r="I56" t="s">
        <v>835</v>
      </c>
      <c r="J56" t="str" cm="1">
        <f t="array" ref="J56">_xlfn.SWITCH(VALUE(RIGHT(I56,1)),1,"Foundation",2,"Activation",3,"Adaptation",4,"Consolidation",5,"TrailGenic","")</f>
        <v>Activation</v>
      </c>
      <c r="K56" t="s">
        <v>823</v>
      </c>
      <c r="L56" t="s">
        <v>836</v>
      </c>
      <c r="M56" t="s">
        <v>1052</v>
      </c>
    </row>
    <row r="57" spans="1:13" x14ac:dyDescent="0.25">
      <c r="A57" t="s">
        <v>1053</v>
      </c>
      <c r="B57" t="s">
        <v>1054</v>
      </c>
      <c r="C57" t="s">
        <v>1050</v>
      </c>
      <c r="D57" t="s">
        <v>1051</v>
      </c>
      <c r="E57" t="s">
        <v>987</v>
      </c>
      <c r="F57">
        <v>3.4</v>
      </c>
      <c r="G57">
        <v>1400</v>
      </c>
      <c r="H57">
        <v>6950</v>
      </c>
      <c r="I57" t="s">
        <v>857</v>
      </c>
      <c r="J57" t="str" cm="1">
        <f t="array" ref="J57">_xlfn.SWITCH(VALUE(RIGHT(I57,1)),1,"Foundation",2,"Activation",3,"Adaptation",4,"Consolidation",5,"TrailGenic","")</f>
        <v>Adaptation</v>
      </c>
      <c r="K57" t="s">
        <v>848</v>
      </c>
      <c r="L57" t="s">
        <v>1055</v>
      </c>
      <c r="M57" t="s">
        <v>1056</v>
      </c>
    </row>
    <row r="58" spans="1:13" x14ac:dyDescent="0.25">
      <c r="A58" t="s">
        <v>1057</v>
      </c>
      <c r="B58" t="s">
        <v>1058</v>
      </c>
      <c r="C58" t="s">
        <v>1059</v>
      </c>
      <c r="D58" t="s">
        <v>1060</v>
      </c>
      <c r="E58" t="s">
        <v>987</v>
      </c>
      <c r="F58">
        <v>7</v>
      </c>
      <c r="G58">
        <v>1300</v>
      </c>
      <c r="H58">
        <v>7851</v>
      </c>
      <c r="I58" t="s">
        <v>835</v>
      </c>
      <c r="J58" t="str" cm="1">
        <f t="array" ref="J58">_xlfn.SWITCH(VALUE(RIGHT(I58,1)),1,"Foundation",2,"Activation",3,"Adaptation",4,"Consolidation",5,"TrailGenic","")</f>
        <v>Activation</v>
      </c>
      <c r="K58" t="s">
        <v>823</v>
      </c>
      <c r="L58" t="s">
        <v>836</v>
      </c>
      <c r="M58" t="s">
        <v>1061</v>
      </c>
    </row>
    <row r="59" spans="1:13" x14ac:dyDescent="0.25">
      <c r="A59" t="s">
        <v>1062</v>
      </c>
      <c r="B59" t="s">
        <v>1063</v>
      </c>
      <c r="C59" t="s">
        <v>1064</v>
      </c>
      <c r="D59" t="s">
        <v>1060</v>
      </c>
      <c r="E59" t="s">
        <v>1065</v>
      </c>
      <c r="F59">
        <v>4.3</v>
      </c>
      <c r="G59">
        <v>750</v>
      </c>
      <c r="H59">
        <v>6800</v>
      </c>
      <c r="I59" t="s">
        <v>835</v>
      </c>
      <c r="J59" t="str" cm="1">
        <f t="array" ref="J59">_xlfn.SWITCH(VALUE(RIGHT(I59,1)),1,"Foundation",2,"Activation",3,"Adaptation",4,"Consolidation",5,"TrailGenic","")</f>
        <v>Activation</v>
      </c>
      <c r="K59" t="s">
        <v>823</v>
      </c>
      <c r="L59" t="s">
        <v>1066</v>
      </c>
      <c r="M59" t="s">
        <v>1067</v>
      </c>
    </row>
    <row r="60" spans="1:13" x14ac:dyDescent="0.25">
      <c r="A60" t="s">
        <v>1068</v>
      </c>
      <c r="B60" t="s">
        <v>1069</v>
      </c>
      <c r="C60" t="s">
        <v>1050</v>
      </c>
      <c r="D60" t="s">
        <v>1051</v>
      </c>
      <c r="E60" t="s">
        <v>987</v>
      </c>
      <c r="F60">
        <v>6.6</v>
      </c>
      <c r="G60">
        <v>2800</v>
      </c>
      <c r="H60">
        <v>8461</v>
      </c>
      <c r="I60" t="s">
        <v>878</v>
      </c>
      <c r="J60" t="str" cm="1">
        <f t="array" ref="J60">_xlfn.SWITCH(VALUE(RIGHT(I60,1)),1,"Foundation",2,"Activation",3,"Adaptation",4,"Consolidation",5,"TrailGenic","")</f>
        <v>Consolidation</v>
      </c>
      <c r="K60" t="s">
        <v>848</v>
      </c>
      <c r="L60" t="s">
        <v>1070</v>
      </c>
      <c r="M60" t="s">
        <v>1071</v>
      </c>
    </row>
    <row r="61" spans="1:13" x14ac:dyDescent="0.25">
      <c r="A61" t="s">
        <v>1072</v>
      </c>
      <c r="B61" t="s">
        <v>1073</v>
      </c>
      <c r="C61" t="s">
        <v>1074</v>
      </c>
      <c r="D61" t="s">
        <v>1075</v>
      </c>
      <c r="E61" t="s">
        <v>834</v>
      </c>
      <c r="F61">
        <v>2.4</v>
      </c>
      <c r="G61">
        <v>1400</v>
      </c>
      <c r="H61">
        <v>2704</v>
      </c>
      <c r="I61" t="s">
        <v>857</v>
      </c>
      <c r="J61" t="str" cm="1">
        <f t="array" ref="J61">_xlfn.SWITCH(VALUE(RIGHT(I61,1)),1,"Foundation",2,"Activation",3,"Adaptation",4,"Consolidation",5,"TrailGenic","")</f>
        <v>Adaptation</v>
      </c>
      <c r="K61" t="s">
        <v>823</v>
      </c>
      <c r="L61" t="s">
        <v>1076</v>
      </c>
      <c r="M61" t="s">
        <v>1077</v>
      </c>
    </row>
    <row r="62" spans="1:13" x14ac:dyDescent="0.25">
      <c r="A62" t="s">
        <v>1078</v>
      </c>
      <c r="B62" t="s">
        <v>1079</v>
      </c>
      <c r="C62" t="s">
        <v>1074</v>
      </c>
      <c r="D62" t="s">
        <v>1075</v>
      </c>
      <c r="E62" t="s">
        <v>834</v>
      </c>
      <c r="F62">
        <v>2.2999999999999998</v>
      </c>
      <c r="G62">
        <v>1200</v>
      </c>
      <c r="H62">
        <v>2608</v>
      </c>
      <c r="I62" t="s">
        <v>835</v>
      </c>
      <c r="J62" t="str" cm="1">
        <f t="array" ref="J62">_xlfn.SWITCH(VALUE(RIGHT(I62,1)),1,"Foundation",2,"Activation",3,"Adaptation",4,"Consolidation",5,"TrailGenic","")</f>
        <v>Activation</v>
      </c>
      <c r="K62" t="s">
        <v>823</v>
      </c>
      <c r="L62" t="s">
        <v>836</v>
      </c>
      <c r="M62" t="s">
        <v>1080</v>
      </c>
    </row>
    <row r="63" spans="1:13" x14ac:dyDescent="0.25">
      <c r="A63" t="s">
        <v>1081</v>
      </c>
      <c r="B63" t="s">
        <v>1082</v>
      </c>
      <c r="C63" t="s">
        <v>1074</v>
      </c>
      <c r="D63" t="s">
        <v>1075</v>
      </c>
      <c r="E63" t="s">
        <v>834</v>
      </c>
      <c r="F63">
        <v>6</v>
      </c>
      <c r="G63">
        <v>1200</v>
      </c>
      <c r="H63">
        <v>2330</v>
      </c>
      <c r="I63" t="s">
        <v>857</v>
      </c>
      <c r="J63" t="str" cm="1">
        <f t="array" ref="J63">_xlfn.SWITCH(VALUE(RIGHT(I63,1)),1,"Foundation",2,"Activation",3,"Adaptation",4,"Consolidation",5,"TrailGenic","")</f>
        <v>Adaptation</v>
      </c>
      <c r="K63" t="s">
        <v>823</v>
      </c>
      <c r="L63" t="s">
        <v>1083</v>
      </c>
      <c r="M63" t="s">
        <v>1084</v>
      </c>
    </row>
    <row r="64" spans="1:13" x14ac:dyDescent="0.25">
      <c r="A64" t="s">
        <v>1085</v>
      </c>
      <c r="B64" t="s">
        <v>1086</v>
      </c>
      <c r="C64" t="s">
        <v>1087</v>
      </c>
      <c r="D64" t="s">
        <v>1075</v>
      </c>
      <c r="E64" t="s">
        <v>834</v>
      </c>
      <c r="F64">
        <v>5</v>
      </c>
      <c r="G64">
        <v>1300</v>
      </c>
      <c r="H64">
        <v>3150</v>
      </c>
      <c r="I64" t="s">
        <v>835</v>
      </c>
      <c r="J64" t="str" cm="1">
        <f t="array" ref="J64">_xlfn.SWITCH(VALUE(RIGHT(I64,1)),1,"Foundation",2,"Activation",3,"Adaptation",4,"Consolidation",5,"TrailGenic","")</f>
        <v>Activation</v>
      </c>
      <c r="K64" t="s">
        <v>823</v>
      </c>
      <c r="L64" t="s">
        <v>836</v>
      </c>
      <c r="M64" t="s">
        <v>1088</v>
      </c>
    </row>
    <row r="65" spans="1:13" x14ac:dyDescent="0.25">
      <c r="A65" t="s">
        <v>1089</v>
      </c>
      <c r="B65" t="s">
        <v>1090</v>
      </c>
      <c r="C65" t="s">
        <v>1091</v>
      </c>
      <c r="D65" t="s">
        <v>1092</v>
      </c>
      <c r="E65" t="s">
        <v>834</v>
      </c>
      <c r="F65">
        <v>5.0999999999999996</v>
      </c>
      <c r="G65">
        <v>2000</v>
      </c>
      <c r="H65">
        <v>4905</v>
      </c>
      <c r="I65" t="s">
        <v>835</v>
      </c>
      <c r="J65" t="str" cm="1">
        <f t="array" ref="J65">_xlfn.SWITCH(VALUE(RIGHT(I65,1)),1,"Foundation",2,"Activation",3,"Adaptation",4,"Consolidation",5,"TrailGenic","")</f>
        <v>Activation</v>
      </c>
      <c r="K65" t="s">
        <v>823</v>
      </c>
      <c r="L65" t="s">
        <v>836</v>
      </c>
      <c r="M65" t="s">
        <v>1093</v>
      </c>
    </row>
    <row r="66" spans="1:13" x14ac:dyDescent="0.25">
      <c r="A66" t="s">
        <v>1094</v>
      </c>
      <c r="B66" t="s">
        <v>1095</v>
      </c>
      <c r="C66" t="s">
        <v>1091</v>
      </c>
      <c r="D66" t="s">
        <v>1092</v>
      </c>
      <c r="E66" t="s">
        <v>834</v>
      </c>
      <c r="F66">
        <v>2.2999999999999998</v>
      </c>
      <c r="G66">
        <v>400</v>
      </c>
      <c r="H66">
        <v>4700</v>
      </c>
      <c r="I66" t="s">
        <v>822</v>
      </c>
      <c r="J66" t="str" cm="1">
        <f t="array" ref="J66">_xlfn.SWITCH(VALUE(RIGHT(I66,1)),1,"Foundation",2,"Activation",3,"Adaptation",4,"Consolidation",5,"TrailGenic","")</f>
        <v>Foundation</v>
      </c>
      <c r="K66" t="s">
        <v>823</v>
      </c>
      <c r="L66" t="s">
        <v>1096</v>
      </c>
      <c r="M66" t="s">
        <v>1097</v>
      </c>
    </row>
    <row r="67" spans="1:13" x14ac:dyDescent="0.25">
      <c r="A67" t="s">
        <v>1098</v>
      </c>
      <c r="B67" t="s">
        <v>1099</v>
      </c>
      <c r="C67" t="s">
        <v>1091</v>
      </c>
      <c r="D67" t="s">
        <v>1092</v>
      </c>
      <c r="E67" t="s">
        <v>987</v>
      </c>
      <c r="F67">
        <v>8.5</v>
      </c>
      <c r="G67">
        <v>4000</v>
      </c>
      <c r="H67">
        <v>11916</v>
      </c>
      <c r="I67" t="s">
        <v>896</v>
      </c>
      <c r="J67" t="str" cm="1">
        <f t="array" ref="J67">_xlfn.SWITCH(VALUE(RIGHT(I67,1)),1,"Foundation",2,"Activation",3,"Adaptation",4,"Consolidation",5,"TrailGenic","")</f>
        <v>TrailGenic</v>
      </c>
      <c r="K67" t="s">
        <v>886</v>
      </c>
      <c r="L67" t="s">
        <v>927</v>
      </c>
      <c r="M67" t="s">
        <v>1100</v>
      </c>
    </row>
    <row r="68" spans="1:13" x14ac:dyDescent="0.25">
      <c r="A68" t="s">
        <v>1101</v>
      </c>
      <c r="B68" t="s">
        <v>1102</v>
      </c>
      <c r="C68" t="s">
        <v>1103</v>
      </c>
      <c r="D68" t="s">
        <v>1104</v>
      </c>
      <c r="E68" t="s">
        <v>987</v>
      </c>
      <c r="F68">
        <v>7</v>
      </c>
      <c r="G68">
        <v>4200</v>
      </c>
      <c r="H68">
        <v>9026</v>
      </c>
      <c r="I68" t="s">
        <v>878</v>
      </c>
      <c r="J68" t="str" cm="1">
        <f t="array" ref="J68">_xlfn.SWITCH(VALUE(RIGHT(I68,1)),1,"Foundation",2,"Activation",3,"Adaptation",4,"Consolidation",5,"TrailGenic","")</f>
        <v>Consolidation</v>
      </c>
      <c r="K68" t="s">
        <v>848</v>
      </c>
      <c r="L68" t="s">
        <v>1038</v>
      </c>
      <c r="M68" t="s">
        <v>1105</v>
      </c>
    </row>
    <row r="69" spans="1:13" x14ac:dyDescent="0.25">
      <c r="A69" t="s">
        <v>1106</v>
      </c>
      <c r="B69" t="s">
        <v>1107</v>
      </c>
      <c r="C69" t="s">
        <v>1103</v>
      </c>
      <c r="D69" t="s">
        <v>1104</v>
      </c>
      <c r="E69" t="s">
        <v>1065</v>
      </c>
      <c r="F69">
        <v>1</v>
      </c>
      <c r="G69">
        <v>400</v>
      </c>
      <c r="H69">
        <v>5414</v>
      </c>
      <c r="I69" t="s">
        <v>822</v>
      </c>
      <c r="J69" t="str" cm="1">
        <f t="array" ref="J69">_xlfn.SWITCH(VALUE(RIGHT(I69,1)),1,"Foundation",2,"Activation",3,"Adaptation",4,"Consolidation",5,"TrailGenic","")</f>
        <v>Foundation</v>
      </c>
      <c r="K69" t="s">
        <v>823</v>
      </c>
      <c r="L69" t="s">
        <v>843</v>
      </c>
      <c r="M69" t="s">
        <v>1108</v>
      </c>
    </row>
    <row r="70" spans="1:13" x14ac:dyDescent="0.25">
      <c r="A70" t="s">
        <v>1109</v>
      </c>
      <c r="B70" t="s">
        <v>1110</v>
      </c>
      <c r="C70" t="s">
        <v>1111</v>
      </c>
      <c r="D70" t="s">
        <v>1112</v>
      </c>
      <c r="E70" t="s">
        <v>987</v>
      </c>
      <c r="F70">
        <v>3</v>
      </c>
      <c r="G70">
        <v>1250</v>
      </c>
      <c r="H70">
        <v>1260</v>
      </c>
      <c r="I70" t="s">
        <v>857</v>
      </c>
      <c r="J70" t="str" cm="1">
        <f t="array" ref="J70">_xlfn.SWITCH(VALUE(RIGHT(I70,1)),1,"Foundation",2,"Activation",3,"Adaptation",4,"Consolidation",5,"TrailGenic","")</f>
        <v>Adaptation</v>
      </c>
      <c r="K70" t="s">
        <v>848</v>
      </c>
      <c r="L70" t="s">
        <v>1113</v>
      </c>
      <c r="M70" t="s">
        <v>1114</v>
      </c>
    </row>
    <row r="71" spans="1:13" x14ac:dyDescent="0.25">
      <c r="A71" t="s">
        <v>1115</v>
      </c>
      <c r="B71" t="s">
        <v>1116</v>
      </c>
      <c r="C71" t="s">
        <v>1117</v>
      </c>
      <c r="D71" t="s">
        <v>1112</v>
      </c>
      <c r="E71" t="s">
        <v>987</v>
      </c>
      <c r="F71">
        <v>4.5</v>
      </c>
      <c r="G71">
        <v>1200</v>
      </c>
      <c r="H71">
        <v>1284</v>
      </c>
      <c r="I71" t="s">
        <v>835</v>
      </c>
      <c r="J71" t="str" cm="1">
        <f t="array" ref="J71">_xlfn.SWITCH(VALUE(RIGHT(I71,1)),1,"Foundation",2,"Activation",3,"Adaptation",4,"Consolidation",5,"TrailGenic","")</f>
        <v>Activation</v>
      </c>
      <c r="K71" t="s">
        <v>848</v>
      </c>
      <c r="L71" t="s">
        <v>1011</v>
      </c>
      <c r="M71" t="s">
        <v>1118</v>
      </c>
    </row>
    <row r="72" spans="1:13" x14ac:dyDescent="0.25">
      <c r="A72" t="s">
        <v>1119</v>
      </c>
      <c r="B72" t="s">
        <v>1120</v>
      </c>
      <c r="C72" t="s">
        <v>1121</v>
      </c>
      <c r="D72" t="s">
        <v>1122</v>
      </c>
      <c r="E72" t="s">
        <v>987</v>
      </c>
      <c r="F72">
        <v>4.3</v>
      </c>
      <c r="G72">
        <v>500</v>
      </c>
      <c r="H72">
        <v>410</v>
      </c>
      <c r="I72" t="s">
        <v>835</v>
      </c>
      <c r="J72" t="str" cm="1">
        <f t="array" ref="J72">_xlfn.SWITCH(VALUE(RIGHT(I72,1)),1,"Foundation",2,"Activation",3,"Adaptation",4,"Consolidation",5,"TrailGenic","")</f>
        <v>Activation</v>
      </c>
      <c r="K72" t="s">
        <v>848</v>
      </c>
      <c r="L72" t="s">
        <v>1123</v>
      </c>
      <c r="M72" t="s">
        <v>1124</v>
      </c>
    </row>
    <row r="73" spans="1:13" x14ac:dyDescent="0.25">
      <c r="A73" t="s">
        <v>1125</v>
      </c>
      <c r="B73" t="s">
        <v>1126</v>
      </c>
      <c r="C73" t="s">
        <v>1127</v>
      </c>
      <c r="D73" t="s">
        <v>1122</v>
      </c>
      <c r="E73" t="s">
        <v>987</v>
      </c>
      <c r="F73">
        <v>2.5</v>
      </c>
      <c r="G73">
        <v>200</v>
      </c>
      <c r="H73">
        <v>200</v>
      </c>
      <c r="I73" t="s">
        <v>822</v>
      </c>
      <c r="J73" t="str" cm="1">
        <f t="array" ref="J73">_xlfn.SWITCH(VALUE(RIGHT(I73,1)),1,"Foundation",2,"Activation",3,"Adaptation",4,"Consolidation",5,"TrailGenic","")</f>
        <v>Foundation</v>
      </c>
      <c r="K73" t="s">
        <v>848</v>
      </c>
      <c r="L73" t="s">
        <v>1128</v>
      </c>
      <c r="M73" t="s">
        <v>1129</v>
      </c>
    </row>
    <row r="74" spans="1:13" x14ac:dyDescent="0.25">
      <c r="A74" t="s">
        <v>1130</v>
      </c>
      <c r="B74" t="s">
        <v>1131</v>
      </c>
      <c r="C74" t="s">
        <v>1132</v>
      </c>
      <c r="D74" t="s">
        <v>1133</v>
      </c>
      <c r="E74" t="s">
        <v>987</v>
      </c>
      <c r="F74">
        <v>8</v>
      </c>
      <c r="G74">
        <v>1400</v>
      </c>
      <c r="H74">
        <v>635</v>
      </c>
      <c r="I74" t="s">
        <v>835</v>
      </c>
      <c r="J74" t="str" cm="1">
        <f t="array" ref="J74">_xlfn.SWITCH(VALUE(RIGHT(I74,1)),1,"Foundation",2,"Activation",3,"Adaptation",4,"Consolidation",5,"TrailGenic","")</f>
        <v>Activation</v>
      </c>
      <c r="K74" t="s">
        <v>848</v>
      </c>
      <c r="L74" t="s">
        <v>1011</v>
      </c>
      <c r="M74" t="s">
        <v>1134</v>
      </c>
    </row>
    <row r="75" spans="1:13" x14ac:dyDescent="0.25">
      <c r="A75" t="s">
        <v>1135</v>
      </c>
      <c r="B75" t="s">
        <v>1136</v>
      </c>
      <c r="C75" t="s">
        <v>1137</v>
      </c>
      <c r="D75" t="s">
        <v>1133</v>
      </c>
      <c r="E75" t="s">
        <v>987</v>
      </c>
      <c r="F75">
        <v>3.8</v>
      </c>
      <c r="G75">
        <v>1800</v>
      </c>
      <c r="H75">
        <v>3165</v>
      </c>
      <c r="I75" t="s">
        <v>878</v>
      </c>
      <c r="J75" t="str" cm="1">
        <f t="array" ref="J75">_xlfn.SWITCH(VALUE(RIGHT(I75,1)),1,"Foundation",2,"Activation",3,"Adaptation",4,"Consolidation",5,"TrailGenic","")</f>
        <v>Consolidation</v>
      </c>
      <c r="K75" t="s">
        <v>886</v>
      </c>
      <c r="L75" t="s">
        <v>1138</v>
      </c>
      <c r="M75" t="s">
        <v>1139</v>
      </c>
    </row>
    <row r="76" spans="1:13" x14ac:dyDescent="0.25">
      <c r="A76" t="s">
        <v>1140</v>
      </c>
      <c r="B76" t="s">
        <v>1141</v>
      </c>
      <c r="C76" t="s">
        <v>1142</v>
      </c>
      <c r="D76" t="s">
        <v>1133</v>
      </c>
      <c r="E76" t="s">
        <v>870</v>
      </c>
      <c r="F76">
        <v>7.4</v>
      </c>
      <c r="G76">
        <v>4300</v>
      </c>
      <c r="H76">
        <v>6288</v>
      </c>
      <c r="I76" t="s">
        <v>896</v>
      </c>
      <c r="J76" t="str" cm="1">
        <f t="array" ref="J76">_xlfn.SWITCH(VALUE(RIGHT(I76,1)),1,"Foundation",2,"Activation",3,"Adaptation",4,"Consolidation",5,"TrailGenic","")</f>
        <v>TrailGenic</v>
      </c>
      <c r="K76" t="s">
        <v>886</v>
      </c>
      <c r="L76" t="s">
        <v>1143</v>
      </c>
      <c r="M76" t="s">
        <v>1144</v>
      </c>
    </row>
    <row r="77" spans="1:13" x14ac:dyDescent="0.25">
      <c r="A77" t="s">
        <v>1145</v>
      </c>
      <c r="B77" t="s">
        <v>1146</v>
      </c>
      <c r="C77" t="s">
        <v>1147</v>
      </c>
      <c r="D77" t="s">
        <v>1148</v>
      </c>
      <c r="E77" t="s">
        <v>1065</v>
      </c>
      <c r="F77">
        <v>2</v>
      </c>
      <c r="G77">
        <v>700</v>
      </c>
      <c r="H77">
        <v>1686</v>
      </c>
      <c r="I77" t="s">
        <v>822</v>
      </c>
      <c r="J77" t="str" cm="1">
        <f t="array" ref="J77">_xlfn.SWITCH(VALUE(RIGHT(I77,1)),1,"Foundation",2,"Activation",3,"Adaptation",4,"Consolidation",5,"TrailGenic","")</f>
        <v>Foundation</v>
      </c>
      <c r="K77" t="s">
        <v>823</v>
      </c>
      <c r="L77" t="s">
        <v>1149</v>
      </c>
      <c r="M77" t="s">
        <v>1150</v>
      </c>
    </row>
    <row r="78" spans="1:13" x14ac:dyDescent="0.25">
      <c r="A78" t="s">
        <v>1151</v>
      </c>
      <c r="B78" t="s">
        <v>1152</v>
      </c>
      <c r="C78" t="s">
        <v>1153</v>
      </c>
      <c r="D78" t="s">
        <v>1148</v>
      </c>
      <c r="E78" t="s">
        <v>987</v>
      </c>
      <c r="F78">
        <v>2.2000000000000002</v>
      </c>
      <c r="G78">
        <v>600</v>
      </c>
      <c r="H78">
        <v>1808</v>
      </c>
      <c r="I78" t="s">
        <v>835</v>
      </c>
      <c r="J78" t="str" cm="1">
        <f t="array" ref="J78">_xlfn.SWITCH(VALUE(RIGHT(I78,1)),1,"Foundation",2,"Activation",3,"Adaptation",4,"Consolidation",5,"TrailGenic","")</f>
        <v>Activation</v>
      </c>
      <c r="K78" t="s">
        <v>823</v>
      </c>
      <c r="L78" t="s">
        <v>836</v>
      </c>
      <c r="M78" t="s">
        <v>1154</v>
      </c>
    </row>
    <row r="79" spans="1:13" x14ac:dyDescent="0.25">
      <c r="A79" t="s">
        <v>1155</v>
      </c>
      <c r="B79" t="s">
        <v>1156</v>
      </c>
      <c r="C79" t="s">
        <v>1157</v>
      </c>
      <c r="D79" t="s">
        <v>1158</v>
      </c>
      <c r="E79" t="s">
        <v>870</v>
      </c>
      <c r="F79">
        <v>5.7</v>
      </c>
      <c r="G79">
        <v>490</v>
      </c>
      <c r="H79">
        <v>3400</v>
      </c>
      <c r="I79" t="s">
        <v>835</v>
      </c>
      <c r="J79" t="str" cm="1">
        <f t="array" ref="J79">_xlfn.SWITCH(VALUE(RIGHT(I79,1)),1,"Foundation",2,"Activation",3,"Adaptation",4,"Consolidation",5,"TrailGenic","")</f>
        <v>Activation</v>
      </c>
      <c r="K79" t="s">
        <v>823</v>
      </c>
      <c r="L79" t="s">
        <v>960</v>
      </c>
      <c r="M79" t="s">
        <v>1159</v>
      </c>
    </row>
    <row r="80" spans="1:13" x14ac:dyDescent="0.25">
      <c r="A80" t="s">
        <v>1160</v>
      </c>
      <c r="B80" t="s">
        <v>1161</v>
      </c>
      <c r="C80" t="s">
        <v>1162</v>
      </c>
      <c r="D80" t="s">
        <v>1163</v>
      </c>
      <c r="E80" t="s">
        <v>1065</v>
      </c>
      <c r="F80">
        <v>5</v>
      </c>
      <c r="G80">
        <v>600</v>
      </c>
      <c r="H80">
        <v>750</v>
      </c>
      <c r="I80" t="s">
        <v>822</v>
      </c>
      <c r="J80" t="str" cm="1">
        <f t="array" ref="J80">_xlfn.SWITCH(VALUE(RIGHT(I80,1)),1,"Foundation",2,"Activation",3,"Adaptation",4,"Consolidation",5,"TrailGenic","")</f>
        <v>Foundation</v>
      </c>
      <c r="K80" t="s">
        <v>823</v>
      </c>
      <c r="L80" t="s">
        <v>1164</v>
      </c>
      <c r="M80" t="s">
        <v>1165</v>
      </c>
    </row>
    <row r="81" spans="1:13" x14ac:dyDescent="0.25">
      <c r="A81" t="s">
        <v>1166</v>
      </c>
      <c r="B81" t="s">
        <v>1167</v>
      </c>
      <c r="C81" t="s">
        <v>1168</v>
      </c>
      <c r="D81" t="s">
        <v>1169</v>
      </c>
      <c r="E81" t="s">
        <v>1065</v>
      </c>
      <c r="F81">
        <v>8</v>
      </c>
      <c r="G81">
        <v>400</v>
      </c>
      <c r="H81">
        <v>700</v>
      </c>
      <c r="I81" t="s">
        <v>822</v>
      </c>
      <c r="J81" t="str" cm="1">
        <f t="array" ref="J81">_xlfn.SWITCH(VALUE(RIGHT(I81,1)),1,"Foundation",2,"Activation",3,"Adaptation",4,"Consolidation",5,"TrailGenic","")</f>
        <v>Foundation</v>
      </c>
      <c r="K81" t="s">
        <v>848</v>
      </c>
      <c r="L81" t="s">
        <v>1170</v>
      </c>
      <c r="M81" t="s">
        <v>1171</v>
      </c>
    </row>
    <row r="82" spans="1:13" x14ac:dyDescent="0.25">
      <c r="A82" t="s">
        <v>1172</v>
      </c>
      <c r="B82" t="s">
        <v>1173</v>
      </c>
      <c r="C82" t="s">
        <v>1168</v>
      </c>
      <c r="D82" t="s">
        <v>1169</v>
      </c>
      <c r="E82" t="s">
        <v>1065</v>
      </c>
      <c r="F82">
        <v>0.5</v>
      </c>
      <c r="G82">
        <v>200</v>
      </c>
      <c r="H82">
        <v>775</v>
      </c>
      <c r="I82" t="s">
        <v>822</v>
      </c>
      <c r="J82" t="str" cm="1">
        <f t="array" ref="J82">_xlfn.SWITCH(VALUE(RIGHT(I82,1)),1,"Foundation",2,"Activation",3,"Adaptation",4,"Consolidation",5,"TrailGenic","")</f>
        <v>Foundation</v>
      </c>
      <c r="K82" t="s">
        <v>823</v>
      </c>
      <c r="L82" t="s">
        <v>843</v>
      </c>
      <c r="M82" t="s">
        <v>1174</v>
      </c>
    </row>
    <row r="83" spans="1:13" x14ac:dyDescent="0.25">
      <c r="A83" t="s">
        <v>1175</v>
      </c>
      <c r="B83" t="s">
        <v>1176</v>
      </c>
      <c r="C83" t="s">
        <v>1177</v>
      </c>
      <c r="D83" t="s">
        <v>1178</v>
      </c>
      <c r="E83" t="s">
        <v>987</v>
      </c>
      <c r="F83">
        <v>4</v>
      </c>
      <c r="G83">
        <v>300</v>
      </c>
      <c r="H83">
        <v>700</v>
      </c>
      <c r="I83" t="s">
        <v>822</v>
      </c>
      <c r="J83" t="str" cm="1">
        <f t="array" ref="J83">_xlfn.SWITCH(VALUE(RIGHT(I83,1)),1,"Foundation",2,"Activation",3,"Adaptation",4,"Consolidation",5,"TrailGenic","")</f>
        <v>Foundation</v>
      </c>
      <c r="K83" t="s">
        <v>848</v>
      </c>
      <c r="L83" t="s">
        <v>1170</v>
      </c>
      <c r="M83" t="s">
        <v>1179</v>
      </c>
    </row>
    <row r="84" spans="1:13" x14ac:dyDescent="0.25">
      <c r="A84" t="s">
        <v>1180</v>
      </c>
      <c r="B84" t="s">
        <v>1181</v>
      </c>
      <c r="C84" t="s">
        <v>1182</v>
      </c>
      <c r="D84" t="s">
        <v>1178</v>
      </c>
      <c r="E84" t="s">
        <v>1065</v>
      </c>
      <c r="F84">
        <v>0.5</v>
      </c>
      <c r="G84">
        <v>150</v>
      </c>
      <c r="H84">
        <v>700</v>
      </c>
      <c r="I84" t="s">
        <v>822</v>
      </c>
      <c r="J84" t="str" cm="1">
        <f t="array" ref="J84">_xlfn.SWITCH(VALUE(RIGHT(I84,1)),1,"Foundation",2,"Activation",3,"Adaptation",4,"Consolidation",5,"TrailGenic","")</f>
        <v>Foundation</v>
      </c>
      <c r="K84" t="s">
        <v>823</v>
      </c>
      <c r="L84" t="s">
        <v>1183</v>
      </c>
      <c r="M84" t="s">
        <v>1184</v>
      </c>
    </row>
    <row r="85" spans="1:13" x14ac:dyDescent="0.25">
      <c r="A85" t="s">
        <v>1185</v>
      </c>
      <c r="B85" t="s">
        <v>1186</v>
      </c>
      <c r="C85" t="s">
        <v>1187</v>
      </c>
      <c r="D85" t="s">
        <v>1188</v>
      </c>
      <c r="E85" t="s">
        <v>870</v>
      </c>
      <c r="F85">
        <v>6.8</v>
      </c>
      <c r="G85">
        <v>2600</v>
      </c>
      <c r="H85">
        <v>4083</v>
      </c>
      <c r="I85" t="s">
        <v>878</v>
      </c>
      <c r="J85" t="str" cm="1">
        <f t="array" ref="J85">_xlfn.SWITCH(VALUE(RIGHT(I85,1)),1,"Foundation",2,"Activation",3,"Adaptation",4,"Consolidation",5,"TrailGenic","")</f>
        <v>Consolidation</v>
      </c>
      <c r="K85" t="s">
        <v>886</v>
      </c>
      <c r="L85" t="s">
        <v>1138</v>
      </c>
      <c r="M85" t="s">
        <v>1189</v>
      </c>
    </row>
    <row r="86" spans="1:13" x14ac:dyDescent="0.25">
      <c r="A86" t="s">
        <v>1190</v>
      </c>
      <c r="B86" t="s">
        <v>1191</v>
      </c>
      <c r="C86" t="s">
        <v>1187</v>
      </c>
      <c r="D86" t="s">
        <v>1188</v>
      </c>
      <c r="E86" t="s">
        <v>870</v>
      </c>
      <c r="F86">
        <v>7</v>
      </c>
      <c r="G86">
        <v>2700</v>
      </c>
      <c r="H86">
        <v>4393</v>
      </c>
      <c r="I86" t="s">
        <v>878</v>
      </c>
      <c r="J86" t="str" cm="1">
        <f t="array" ref="J86">_xlfn.SWITCH(VALUE(RIGHT(I86,1)),1,"Foundation",2,"Activation",3,"Adaptation",4,"Consolidation",5,"TrailGenic","")</f>
        <v>Consolidation</v>
      </c>
      <c r="K86" t="s">
        <v>886</v>
      </c>
      <c r="L86" t="s">
        <v>1138</v>
      </c>
      <c r="M86" t="s">
        <v>1192</v>
      </c>
    </row>
    <row r="87" spans="1:13" x14ac:dyDescent="0.25">
      <c r="A87" t="s">
        <v>1193</v>
      </c>
      <c r="B87" t="s">
        <v>1194</v>
      </c>
      <c r="C87" t="s">
        <v>1195</v>
      </c>
      <c r="D87" t="s">
        <v>1196</v>
      </c>
      <c r="E87" t="s">
        <v>987</v>
      </c>
      <c r="F87">
        <v>8</v>
      </c>
      <c r="G87">
        <v>1800</v>
      </c>
      <c r="H87">
        <v>1521</v>
      </c>
      <c r="I87" t="s">
        <v>835</v>
      </c>
      <c r="J87" t="str" cm="1">
        <f t="array" ref="J87">_xlfn.SWITCH(VALUE(RIGHT(I87,1)),1,"Foundation",2,"Activation",3,"Adaptation",4,"Consolidation",5,"TrailGenic","")</f>
        <v>Activation</v>
      </c>
      <c r="K87" t="s">
        <v>848</v>
      </c>
      <c r="L87" t="s">
        <v>836</v>
      </c>
      <c r="M87" t="s">
        <v>1197</v>
      </c>
    </row>
    <row r="88" spans="1:13" x14ac:dyDescent="0.25">
      <c r="A88" t="s">
        <v>1198</v>
      </c>
      <c r="B88" t="s">
        <v>1199</v>
      </c>
      <c r="C88" t="s">
        <v>1200</v>
      </c>
      <c r="D88" t="s">
        <v>1196</v>
      </c>
      <c r="E88" t="s">
        <v>1065</v>
      </c>
      <c r="F88">
        <v>7</v>
      </c>
      <c r="G88">
        <v>400</v>
      </c>
      <c r="H88">
        <v>350</v>
      </c>
      <c r="I88" t="s">
        <v>822</v>
      </c>
      <c r="J88" t="str" cm="1">
        <f t="array" ref="J88">_xlfn.SWITCH(VALUE(RIGHT(I88,1)),1,"Foundation",2,"Activation",3,"Adaptation",4,"Consolidation",5,"TrailGenic","")</f>
        <v>Foundation</v>
      </c>
      <c r="K88" t="s">
        <v>848</v>
      </c>
      <c r="L88" t="s">
        <v>1033</v>
      </c>
      <c r="M88" t="s">
        <v>1201</v>
      </c>
    </row>
    <row r="89" spans="1:13" x14ac:dyDescent="0.25">
      <c r="A89" t="s">
        <v>1202</v>
      </c>
      <c r="B89" t="s">
        <v>1203</v>
      </c>
      <c r="C89" t="s">
        <v>1204</v>
      </c>
      <c r="D89" t="s">
        <v>1205</v>
      </c>
      <c r="E89" t="s">
        <v>987</v>
      </c>
      <c r="F89">
        <v>6</v>
      </c>
      <c r="G89">
        <v>800</v>
      </c>
      <c r="H89">
        <v>1050</v>
      </c>
      <c r="I89" t="s">
        <v>822</v>
      </c>
      <c r="J89" t="str" cm="1">
        <f t="array" ref="J89">_xlfn.SWITCH(VALUE(RIGHT(I89,1)),1,"Foundation",2,"Activation",3,"Adaptation",4,"Consolidation",5,"TrailGenic","")</f>
        <v>Foundation</v>
      </c>
      <c r="K89" t="s">
        <v>848</v>
      </c>
      <c r="L89" t="s">
        <v>1128</v>
      </c>
      <c r="M89" t="s">
        <v>1206</v>
      </c>
    </row>
    <row r="90" spans="1:13" x14ac:dyDescent="0.25">
      <c r="A90" t="s">
        <v>1207</v>
      </c>
      <c r="B90" t="s">
        <v>1208</v>
      </c>
      <c r="C90" t="s">
        <v>1209</v>
      </c>
      <c r="D90" t="s">
        <v>1210</v>
      </c>
      <c r="E90" t="s">
        <v>987</v>
      </c>
      <c r="F90">
        <v>2.4</v>
      </c>
      <c r="G90">
        <v>200</v>
      </c>
      <c r="H90">
        <v>920</v>
      </c>
      <c r="I90" t="s">
        <v>822</v>
      </c>
      <c r="J90" t="str" cm="1">
        <f t="array" ref="J90">_xlfn.SWITCH(VALUE(RIGHT(I90,1)),1,"Foundation",2,"Activation",3,"Adaptation",4,"Consolidation",5,"TrailGenic","")</f>
        <v>Foundation</v>
      </c>
      <c r="K90" t="s">
        <v>848</v>
      </c>
      <c r="L90" t="s">
        <v>1128</v>
      </c>
      <c r="M90" t="s">
        <v>1211</v>
      </c>
    </row>
    <row r="91" spans="1:13" x14ac:dyDescent="0.25">
      <c r="A91" t="s">
        <v>1212</v>
      </c>
      <c r="B91" t="s">
        <v>1213</v>
      </c>
      <c r="C91" t="s">
        <v>1214</v>
      </c>
      <c r="D91" t="s">
        <v>1215</v>
      </c>
      <c r="E91" t="s">
        <v>1065</v>
      </c>
      <c r="F91">
        <v>3</v>
      </c>
      <c r="G91">
        <v>400</v>
      </c>
      <c r="H91">
        <v>3800</v>
      </c>
      <c r="I91" t="s">
        <v>822</v>
      </c>
      <c r="J91" t="str" cm="1">
        <f t="array" ref="J91">_xlfn.SWITCH(VALUE(RIGHT(I91,1)),1,"Foundation",2,"Activation",3,"Adaptation",4,"Consolidation",5,"TrailGenic","")</f>
        <v>Foundation</v>
      </c>
      <c r="K91" t="s">
        <v>823</v>
      </c>
      <c r="L91" t="s">
        <v>1149</v>
      </c>
      <c r="M91" t="s">
        <v>1216</v>
      </c>
    </row>
    <row r="92" spans="1:13" x14ac:dyDescent="0.25">
      <c r="A92" t="s">
        <v>1217</v>
      </c>
      <c r="B92" t="s">
        <v>1218</v>
      </c>
      <c r="C92" t="s">
        <v>1219</v>
      </c>
      <c r="D92" t="s">
        <v>1104</v>
      </c>
      <c r="E92" t="s">
        <v>987</v>
      </c>
      <c r="F92">
        <v>14.5</v>
      </c>
      <c r="G92">
        <v>4500</v>
      </c>
      <c r="H92">
        <v>11752</v>
      </c>
      <c r="I92" t="s">
        <v>896</v>
      </c>
      <c r="J92" t="str" cm="1">
        <f t="array" ref="J92">_xlfn.SWITCH(VALUE(RIGHT(I92,1)),1,"Foundation",2,"Activation",3,"Adaptation",4,"Consolidation",5,"TrailGenic","")</f>
        <v>TrailGenic</v>
      </c>
      <c r="K92" t="s">
        <v>886</v>
      </c>
      <c r="L92" t="s">
        <v>1220</v>
      </c>
      <c r="M92" t="s">
        <v>1221</v>
      </c>
    </row>
    <row r="93" spans="1:13" x14ac:dyDescent="0.25">
      <c r="A93" t="s">
        <v>1222</v>
      </c>
      <c r="B93" t="s">
        <v>1223</v>
      </c>
      <c r="C93" t="s">
        <v>1050</v>
      </c>
      <c r="D93" t="s">
        <v>1051</v>
      </c>
      <c r="E93" t="s">
        <v>1065</v>
      </c>
      <c r="F93">
        <v>3.3</v>
      </c>
      <c r="G93">
        <v>1400</v>
      </c>
      <c r="H93">
        <v>6863</v>
      </c>
      <c r="I93" t="s">
        <v>835</v>
      </c>
      <c r="J93" t="str" cm="1">
        <f t="array" ref="J93">_xlfn.SWITCH(VALUE(RIGHT(I93,1)),1,"Foundation",2,"Activation",3,"Adaptation",4,"Consolidation",5,"TrailGenic","")</f>
        <v>Activation</v>
      </c>
      <c r="K93" t="s">
        <v>823</v>
      </c>
      <c r="L93" t="s">
        <v>836</v>
      </c>
      <c r="M93" t="s">
        <v>1224</v>
      </c>
    </row>
    <row r="94" spans="1:13" x14ac:dyDescent="0.25">
      <c r="A94" t="s">
        <v>1225</v>
      </c>
      <c r="B94" t="s">
        <v>1226</v>
      </c>
      <c r="C94" t="s">
        <v>1227</v>
      </c>
      <c r="D94" t="s">
        <v>1228</v>
      </c>
      <c r="E94" t="s">
        <v>870</v>
      </c>
      <c r="F94">
        <v>8.5</v>
      </c>
      <c r="G94">
        <v>1300</v>
      </c>
      <c r="H94">
        <v>5089</v>
      </c>
      <c r="I94" t="s">
        <v>857</v>
      </c>
      <c r="J94" t="str" cm="1">
        <f t="array" ref="J94">_xlfn.SWITCH(VALUE(RIGHT(I94,1)),1,"Foundation",2,"Activation",3,"Adaptation",4,"Consolidation",5,"TrailGenic","")</f>
        <v>Adaptation</v>
      </c>
      <c r="K94" t="s">
        <v>886</v>
      </c>
      <c r="L94" t="s">
        <v>1138</v>
      </c>
      <c r="M94" t="s">
        <v>1229</v>
      </c>
    </row>
    <row r="95" spans="1:13" x14ac:dyDescent="0.25">
      <c r="A95" t="s">
        <v>1230</v>
      </c>
      <c r="B95" t="s">
        <v>1231</v>
      </c>
      <c r="C95" t="s">
        <v>996</v>
      </c>
      <c r="D95" t="s">
        <v>986</v>
      </c>
      <c r="E95" t="s">
        <v>987</v>
      </c>
      <c r="F95">
        <v>6</v>
      </c>
      <c r="G95">
        <v>1300</v>
      </c>
      <c r="H95">
        <v>2100</v>
      </c>
      <c r="I95" t="s">
        <v>835</v>
      </c>
      <c r="J95" t="str" cm="1">
        <f t="array" ref="J95">_xlfn.SWITCH(VALUE(RIGHT(I95,1)),1,"Foundation",2,"Activation",3,"Adaptation",4,"Consolidation",5,"TrailGenic","")</f>
        <v>Activation</v>
      </c>
      <c r="K95" t="s">
        <v>848</v>
      </c>
      <c r="L95" t="s">
        <v>1232</v>
      </c>
      <c r="M95" t="s">
        <v>1233</v>
      </c>
    </row>
    <row r="96" spans="1:13" x14ac:dyDescent="0.25">
      <c r="A96" t="s">
        <v>1234</v>
      </c>
      <c r="B96" t="s">
        <v>1235</v>
      </c>
      <c r="C96" t="s">
        <v>1236</v>
      </c>
      <c r="D96" t="s">
        <v>820</v>
      </c>
      <c r="E96" t="s">
        <v>834</v>
      </c>
      <c r="F96">
        <v>5.2</v>
      </c>
      <c r="G96">
        <v>1100</v>
      </c>
      <c r="H96">
        <v>1300</v>
      </c>
      <c r="I96" t="s">
        <v>822</v>
      </c>
      <c r="J96" t="str" cm="1">
        <f t="array" ref="J96">_xlfn.SWITCH(VALUE(RIGHT(I96,1)),1,"Foundation",2,"Activation",3,"Adaptation",4,"Consolidation",5,"TrailGenic","")</f>
        <v>Foundation</v>
      </c>
      <c r="K96" t="s">
        <v>823</v>
      </c>
      <c r="L96" t="s">
        <v>945</v>
      </c>
      <c r="M96" t="s">
        <v>1237</v>
      </c>
    </row>
    <row r="97" spans="1:13" x14ac:dyDescent="0.25">
      <c r="A97" t="s">
        <v>1238</v>
      </c>
      <c r="B97" t="s">
        <v>1239</v>
      </c>
      <c r="C97" t="s">
        <v>819</v>
      </c>
      <c r="D97" t="s">
        <v>820</v>
      </c>
      <c r="E97" t="s">
        <v>821</v>
      </c>
      <c r="F97">
        <v>3</v>
      </c>
      <c r="G97">
        <v>500</v>
      </c>
      <c r="H97">
        <v>1000</v>
      </c>
      <c r="I97" t="s">
        <v>822</v>
      </c>
      <c r="J97" t="str" cm="1">
        <f t="array" ref="J97">_xlfn.SWITCH(VALUE(RIGHT(I97,1)),1,"Foundation",2,"Activation",3,"Adaptation",4,"Consolidation",5,"TrailGenic","")</f>
        <v>Foundation</v>
      </c>
      <c r="K97" t="s">
        <v>848</v>
      </c>
      <c r="L97" t="s">
        <v>1240</v>
      </c>
      <c r="M97" t="s">
        <v>1241</v>
      </c>
    </row>
    <row r="98" spans="1:13" x14ac:dyDescent="0.25">
      <c r="A98" t="s">
        <v>1242</v>
      </c>
      <c r="B98" t="s">
        <v>1243</v>
      </c>
      <c r="C98" t="s">
        <v>819</v>
      </c>
      <c r="D98" t="s">
        <v>820</v>
      </c>
      <c r="E98" t="s">
        <v>834</v>
      </c>
      <c r="F98">
        <v>7.3</v>
      </c>
      <c r="G98">
        <v>1900</v>
      </c>
      <c r="H98">
        <v>2126</v>
      </c>
      <c r="I98" t="s">
        <v>835</v>
      </c>
      <c r="J98" t="str" cm="1">
        <f t="array" ref="J98">_xlfn.SWITCH(VALUE(RIGHT(I98,1)),1,"Foundation",2,"Activation",3,"Adaptation",4,"Consolidation",5,"TrailGenic","")</f>
        <v>Activation</v>
      </c>
      <c r="K98" t="s">
        <v>823</v>
      </c>
      <c r="L98" t="s">
        <v>936</v>
      </c>
      <c r="M98" t="s">
        <v>1244</v>
      </c>
    </row>
    <row r="99" spans="1:13" x14ac:dyDescent="0.25">
      <c r="A99" t="s">
        <v>1245</v>
      </c>
      <c r="B99" t="s">
        <v>1246</v>
      </c>
      <c r="C99" t="s">
        <v>1247</v>
      </c>
      <c r="D99" t="s">
        <v>1248</v>
      </c>
      <c r="E99" t="s">
        <v>834</v>
      </c>
      <c r="F99">
        <v>1.3</v>
      </c>
      <c r="G99">
        <v>350</v>
      </c>
      <c r="H99">
        <v>1048</v>
      </c>
      <c r="I99" t="s">
        <v>822</v>
      </c>
      <c r="J99" t="str" cm="1">
        <f t="array" ref="J99">_xlfn.SWITCH(VALUE(RIGHT(I99,1)),1,"Foundation",2,"Activation",3,"Adaptation",4,"Consolidation",5,"TrailGenic","")</f>
        <v>Foundation</v>
      </c>
      <c r="K99" t="s">
        <v>823</v>
      </c>
      <c r="L99" t="s">
        <v>1249</v>
      </c>
      <c r="M99" t="s">
        <v>1250</v>
      </c>
    </row>
    <row r="100" spans="1:13" x14ac:dyDescent="0.25">
      <c r="A100" t="s">
        <v>1251</v>
      </c>
      <c r="B100" t="s">
        <v>1252</v>
      </c>
      <c r="C100" t="s">
        <v>1247</v>
      </c>
      <c r="D100" t="s">
        <v>1248</v>
      </c>
      <c r="E100" t="s">
        <v>821</v>
      </c>
      <c r="F100">
        <v>1.6</v>
      </c>
      <c r="G100">
        <v>560</v>
      </c>
      <c r="H100">
        <v>760</v>
      </c>
      <c r="I100" t="s">
        <v>822</v>
      </c>
      <c r="J100" t="str" cm="1">
        <f t="array" ref="J100">_xlfn.SWITCH(VALUE(RIGHT(I100,1)),1,"Foundation",2,"Activation",3,"Adaptation",4,"Consolidation",5,"TrailGenic","")</f>
        <v>Foundation</v>
      </c>
      <c r="K100" t="s">
        <v>823</v>
      </c>
      <c r="L100" t="s">
        <v>824</v>
      </c>
      <c r="M100" t="s">
        <v>1174</v>
      </c>
    </row>
    <row r="101" spans="1:13" x14ac:dyDescent="0.25">
      <c r="A101" t="s">
        <v>1253</v>
      </c>
      <c r="B101" t="s">
        <v>1254</v>
      </c>
      <c r="C101" t="s">
        <v>1247</v>
      </c>
      <c r="D101" t="s">
        <v>1248</v>
      </c>
      <c r="E101" t="s">
        <v>834</v>
      </c>
      <c r="F101">
        <v>1.6</v>
      </c>
      <c r="G101">
        <v>600</v>
      </c>
      <c r="H101">
        <v>800</v>
      </c>
      <c r="I101" t="s">
        <v>822</v>
      </c>
      <c r="J101" t="str" cm="1">
        <f t="array" ref="J101">_xlfn.SWITCH(VALUE(RIGHT(I101,1)),1,"Foundation",2,"Activation",3,"Adaptation",4,"Consolidation",5,"TrailGenic","")</f>
        <v>Foundation</v>
      </c>
      <c r="K101" t="s">
        <v>848</v>
      </c>
      <c r="L101" t="s">
        <v>1255</v>
      </c>
      <c r="M101" t="s">
        <v>1256</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CB43-6EAD-432C-B66E-B0AC8A38EEC0}">
  <dimension ref="A1:N32"/>
  <sheetViews>
    <sheetView workbookViewId="0">
      <pane xSplit="2" ySplit="1" topLeftCell="C2" activePane="bottomRight" state="frozen"/>
      <selection pane="topRight" activeCell="C1" sqref="C1"/>
      <selection pane="bottomLeft" activeCell="A2" sqref="A2"/>
      <selection pane="bottomRight" activeCell="D15" sqref="D15"/>
    </sheetView>
  </sheetViews>
  <sheetFormatPr defaultRowHeight="15" outlineLevelCol="1" x14ac:dyDescent="0.25"/>
  <cols>
    <col min="1" max="1" width="14.28515625" customWidth="1"/>
    <col min="2" max="2" width="60.5703125" customWidth="1"/>
    <col min="3" max="3" width="34.28515625" customWidth="1"/>
    <col min="4" max="4" width="24.7109375" customWidth="1"/>
    <col min="5" max="5" width="22.85546875" customWidth="1"/>
    <col min="6" max="8" width="19" customWidth="1"/>
    <col min="9" max="9" width="24.7109375" customWidth="1"/>
    <col min="10" max="10" width="22.85546875" customWidth="1"/>
    <col min="11" max="11" width="19" hidden="1" customWidth="1" outlineLevel="1"/>
    <col min="12" max="12" width="59" customWidth="1" collapsed="1"/>
    <col min="13" max="13" width="99.140625" bestFit="1" customWidth="1"/>
    <col min="14" max="14" width="89.28515625" bestFit="1" customWidth="1"/>
  </cols>
  <sheetData>
    <row r="1" spans="1:14" x14ac:dyDescent="0.25">
      <c r="A1" s="57" t="s">
        <v>806</v>
      </c>
      <c r="B1" s="57" t="s">
        <v>807</v>
      </c>
      <c r="C1" s="57" t="s">
        <v>808</v>
      </c>
      <c r="D1" s="57" t="s">
        <v>809</v>
      </c>
      <c r="E1" s="57" t="s">
        <v>810</v>
      </c>
      <c r="F1" s="57" t="s">
        <v>811</v>
      </c>
      <c r="G1" s="57" t="s">
        <v>812</v>
      </c>
      <c r="H1" s="57" t="s">
        <v>1257</v>
      </c>
      <c r="I1" s="57" t="s">
        <v>813</v>
      </c>
      <c r="J1" s="57" t="s">
        <v>752</v>
      </c>
      <c r="K1" s="57" t="s">
        <v>814</v>
      </c>
      <c r="L1" s="57" t="s">
        <v>815</v>
      </c>
      <c r="M1" s="57" t="s">
        <v>1284</v>
      </c>
      <c r="N1" s="57" t="s">
        <v>816</v>
      </c>
    </row>
    <row r="2" spans="1:14" x14ac:dyDescent="0.25">
      <c r="A2" t="s">
        <v>1312</v>
      </c>
      <c r="B2" t="s">
        <v>1258</v>
      </c>
      <c r="C2" t="s">
        <v>1259</v>
      </c>
      <c r="D2" t="s">
        <v>820</v>
      </c>
      <c r="E2" t="s">
        <v>870</v>
      </c>
      <c r="F2">
        <v>21.4</v>
      </c>
      <c r="G2">
        <v>6100</v>
      </c>
      <c r="H2">
        <v>14505</v>
      </c>
      <c r="I2" t="s">
        <v>896</v>
      </c>
      <c r="J2" t="str" cm="1">
        <f t="array" ref="J2">_xlfn.SWITCH(VALUE(RIGHT(I2,1)),1,"Foundation",2,"Activation",3,"Adaptation",4,"Consolidation",5,"TrailGenic","")</f>
        <v>TrailGenic</v>
      </c>
      <c r="K2" t="s">
        <v>886</v>
      </c>
      <c r="L2" t="s">
        <v>1260</v>
      </c>
      <c r="M2" t="s">
        <v>1285</v>
      </c>
      <c r="N2" t="s">
        <v>1261</v>
      </c>
    </row>
    <row r="3" spans="1:14" x14ac:dyDescent="0.25">
      <c r="A3" t="s">
        <v>1313</v>
      </c>
      <c r="B3" t="s">
        <v>1262</v>
      </c>
      <c r="C3" t="s">
        <v>1269</v>
      </c>
      <c r="D3" t="s">
        <v>820</v>
      </c>
      <c r="E3" t="s">
        <v>870</v>
      </c>
      <c r="F3">
        <v>22</v>
      </c>
      <c r="G3">
        <v>4000</v>
      </c>
      <c r="H3">
        <v>14042</v>
      </c>
      <c r="I3" t="s">
        <v>896</v>
      </c>
      <c r="J3" t="str" cm="1">
        <f t="array" ref="J3">_xlfn.SWITCH(VALUE(RIGHT(I3,1)),1,"Foundation",2,"Activation",3,"Adaptation",4,"Consolidation",5,"TrailGenic","")</f>
        <v>TrailGenic</v>
      </c>
      <c r="K3" t="s">
        <v>886</v>
      </c>
      <c r="L3" t="s">
        <v>1260</v>
      </c>
      <c r="M3" t="s">
        <v>1305</v>
      </c>
      <c r="N3" t="s">
        <v>1270</v>
      </c>
    </row>
    <row r="4" spans="1:14" x14ac:dyDescent="0.25">
      <c r="A4" t="s">
        <v>1314</v>
      </c>
      <c r="B4" t="s">
        <v>1264</v>
      </c>
      <c r="C4" t="s">
        <v>1272</v>
      </c>
      <c r="D4" t="s">
        <v>1273</v>
      </c>
      <c r="E4" t="s">
        <v>987</v>
      </c>
      <c r="F4">
        <v>10</v>
      </c>
      <c r="G4">
        <v>3400</v>
      </c>
      <c r="H4">
        <v>12637</v>
      </c>
      <c r="I4" t="s">
        <v>878</v>
      </c>
      <c r="J4" t="str" cm="1">
        <f t="array" ref="J4">_xlfn.SWITCH(VALUE(RIGHT(I4,1)),1,"Foundation",2,"Activation",3,"Adaptation",4,"Consolidation",5,"TrailGenic","")</f>
        <v>Consolidation</v>
      </c>
      <c r="K4" t="s">
        <v>886</v>
      </c>
      <c r="L4" t="s">
        <v>887</v>
      </c>
      <c r="M4" t="s">
        <v>1307</v>
      </c>
      <c r="N4" t="s">
        <v>1274</v>
      </c>
    </row>
    <row r="5" spans="1:14" x14ac:dyDescent="0.25">
      <c r="A5" t="s">
        <v>1315</v>
      </c>
      <c r="B5" t="s">
        <v>1099</v>
      </c>
      <c r="C5" t="s">
        <v>1091</v>
      </c>
      <c r="D5" t="s">
        <v>1092</v>
      </c>
      <c r="E5" t="s">
        <v>987</v>
      </c>
      <c r="F5">
        <v>8.5</v>
      </c>
      <c r="G5">
        <v>4000</v>
      </c>
      <c r="H5">
        <v>11916</v>
      </c>
      <c r="I5" t="s">
        <v>896</v>
      </c>
      <c r="J5" t="str" cm="1">
        <f t="array" ref="J5">_xlfn.SWITCH(VALUE(RIGHT(I5,1)),1,"Foundation",2,"Activation",3,"Adaptation",4,"Consolidation",5,"TrailGenic","")</f>
        <v>TrailGenic</v>
      </c>
      <c r="K5" t="s">
        <v>886</v>
      </c>
      <c r="L5" t="s">
        <v>927</v>
      </c>
      <c r="M5" t="s">
        <v>1291</v>
      </c>
      <c r="N5" t="s">
        <v>1100</v>
      </c>
    </row>
    <row r="6" spans="1:14" x14ac:dyDescent="0.25">
      <c r="A6" t="s">
        <v>1316</v>
      </c>
      <c r="B6" t="s">
        <v>925</v>
      </c>
      <c r="C6" t="s">
        <v>926</v>
      </c>
      <c r="D6" t="s">
        <v>820</v>
      </c>
      <c r="E6" t="s">
        <v>870</v>
      </c>
      <c r="F6">
        <v>17.3</v>
      </c>
      <c r="G6">
        <v>5500</v>
      </c>
      <c r="H6">
        <v>11503</v>
      </c>
      <c r="I6" t="s">
        <v>896</v>
      </c>
      <c r="J6" t="str" cm="1">
        <f t="array" ref="J6">_xlfn.SWITCH(VALUE(RIGHT(I6,1)),1,"Foundation",2,"Activation",3,"Adaptation",4,"Consolidation",5,"TrailGenic","")</f>
        <v>TrailGenic</v>
      </c>
      <c r="K6" t="s">
        <v>886</v>
      </c>
      <c r="L6" t="s">
        <v>927</v>
      </c>
      <c r="M6" t="s">
        <v>1298</v>
      </c>
      <c r="N6" t="s">
        <v>928</v>
      </c>
    </row>
    <row r="7" spans="1:14" x14ac:dyDescent="0.25">
      <c r="A7" t="s">
        <v>1317</v>
      </c>
      <c r="B7" t="s">
        <v>1263</v>
      </c>
      <c r="C7" t="s">
        <v>926</v>
      </c>
      <c r="D7" t="s">
        <v>820</v>
      </c>
      <c r="E7" t="s">
        <v>870</v>
      </c>
      <c r="F7">
        <v>19</v>
      </c>
      <c r="G7">
        <v>4700</v>
      </c>
      <c r="H7">
        <v>11503</v>
      </c>
      <c r="I7" t="s">
        <v>896</v>
      </c>
      <c r="J7" t="str" cm="1">
        <f t="array" ref="J7">_xlfn.SWITCH(VALUE(RIGHT(I7,1)),1,"Foundation",2,"Activation",3,"Adaptation",4,"Consolidation",5,"TrailGenic","")</f>
        <v>TrailGenic</v>
      </c>
      <c r="K7" t="s">
        <v>886</v>
      </c>
      <c r="L7" t="s">
        <v>927</v>
      </c>
      <c r="M7" t="s">
        <v>1306</v>
      </c>
      <c r="N7" t="s">
        <v>1271</v>
      </c>
    </row>
    <row r="8" spans="1:14" x14ac:dyDescent="0.25">
      <c r="A8" t="s">
        <v>1318</v>
      </c>
      <c r="B8" t="s">
        <v>921</v>
      </c>
      <c r="C8" t="s">
        <v>918</v>
      </c>
      <c r="D8" t="s">
        <v>820</v>
      </c>
      <c r="E8" t="s">
        <v>870</v>
      </c>
      <c r="F8">
        <v>11.4</v>
      </c>
      <c r="G8">
        <v>4600</v>
      </c>
      <c r="H8">
        <v>10834</v>
      </c>
      <c r="I8" t="s">
        <v>896</v>
      </c>
      <c r="J8" t="str" cm="1">
        <f t="array" ref="J8">_xlfn.SWITCH(VALUE(RIGHT(I8,1)),1,"Foundation",2,"Activation",3,"Adaptation",4,"Consolidation",5,"TrailGenic","")</f>
        <v>TrailGenic</v>
      </c>
      <c r="K8" t="s">
        <v>886</v>
      </c>
      <c r="L8" t="s">
        <v>922</v>
      </c>
      <c r="M8" t="s">
        <v>1299</v>
      </c>
      <c r="N8" t="s">
        <v>923</v>
      </c>
    </row>
    <row r="9" spans="1:14" x14ac:dyDescent="0.25">
      <c r="A9" t="s">
        <v>1319</v>
      </c>
      <c r="B9" t="s">
        <v>1266</v>
      </c>
      <c r="C9" t="s">
        <v>926</v>
      </c>
      <c r="D9" t="s">
        <v>820</v>
      </c>
      <c r="E9" t="s">
        <v>870</v>
      </c>
      <c r="F9">
        <v>16</v>
      </c>
      <c r="G9">
        <v>4700</v>
      </c>
      <c r="H9">
        <v>10649</v>
      </c>
      <c r="I9" t="s">
        <v>878</v>
      </c>
      <c r="J9" t="str" cm="1">
        <f t="array" ref="J9">_xlfn.SWITCH(VALUE(RIGHT(I9,1)),1,"Foundation",2,"Activation",3,"Adaptation",4,"Consolidation",5,"TrailGenic","")</f>
        <v>Consolidation</v>
      </c>
      <c r="K9" t="s">
        <v>886</v>
      </c>
      <c r="L9" t="s">
        <v>1278</v>
      </c>
      <c r="M9" t="s">
        <v>1309</v>
      </c>
      <c r="N9" t="s">
        <v>1279</v>
      </c>
    </row>
    <row r="10" spans="1:14" x14ac:dyDescent="0.25">
      <c r="A10" t="s">
        <v>1320</v>
      </c>
      <c r="B10" t="s">
        <v>900</v>
      </c>
      <c r="C10" t="s">
        <v>895</v>
      </c>
      <c r="D10" t="s">
        <v>820</v>
      </c>
      <c r="E10" t="s">
        <v>870</v>
      </c>
      <c r="F10">
        <v>7</v>
      </c>
      <c r="G10">
        <v>4700</v>
      </c>
      <c r="H10">
        <v>10064</v>
      </c>
      <c r="I10" t="s">
        <v>896</v>
      </c>
      <c r="J10" t="str" cm="1">
        <f t="array" ref="J10">_xlfn.SWITCH(VALUE(RIGHT(I10,1)),1,"Foundation",2,"Activation",3,"Adaptation",4,"Consolidation",5,"TrailGenic","")</f>
        <v>TrailGenic</v>
      </c>
      <c r="K10" t="s">
        <v>886</v>
      </c>
      <c r="L10" t="s">
        <v>901</v>
      </c>
      <c r="M10" t="s">
        <v>1289</v>
      </c>
      <c r="N10" t="s">
        <v>902</v>
      </c>
    </row>
    <row r="11" spans="1:14" x14ac:dyDescent="0.25">
      <c r="A11" t="s">
        <v>1321</v>
      </c>
      <c r="B11" t="s">
        <v>894</v>
      </c>
      <c r="C11" t="s">
        <v>895</v>
      </c>
      <c r="D11" t="s">
        <v>820</v>
      </c>
      <c r="E11" t="s">
        <v>870</v>
      </c>
      <c r="F11">
        <v>8.4</v>
      </c>
      <c r="G11">
        <v>3900</v>
      </c>
      <c r="H11">
        <v>10064</v>
      </c>
      <c r="I11" t="s">
        <v>896</v>
      </c>
      <c r="J11" t="str" cm="1">
        <f t="array" ref="J11">_xlfn.SWITCH(VALUE(RIGHT(I11,1)),1,"Foundation",2,"Activation",3,"Adaptation",4,"Consolidation",5,"TrailGenic","")</f>
        <v>TrailGenic</v>
      </c>
      <c r="K11" t="s">
        <v>886</v>
      </c>
      <c r="L11" t="s">
        <v>897</v>
      </c>
      <c r="M11" t="s">
        <v>1290</v>
      </c>
      <c r="N11" t="s">
        <v>898</v>
      </c>
    </row>
    <row r="12" spans="1:14" x14ac:dyDescent="0.25">
      <c r="A12" t="s">
        <v>1322</v>
      </c>
      <c r="B12" t="s">
        <v>1267</v>
      </c>
      <c r="C12" t="s">
        <v>869</v>
      </c>
      <c r="D12" t="s">
        <v>820</v>
      </c>
      <c r="E12" t="s">
        <v>870</v>
      </c>
      <c r="F12">
        <v>8</v>
      </c>
      <c r="G12">
        <v>2800</v>
      </c>
      <c r="H12">
        <v>9407</v>
      </c>
      <c r="I12" t="s">
        <v>878</v>
      </c>
      <c r="J12" t="str" cm="1">
        <f t="array" ref="J12">_xlfn.SWITCH(VALUE(RIGHT(I12,1)),1,"Foundation",2,"Activation",3,"Adaptation",4,"Consolidation",5,"TrailGenic","")</f>
        <v>Consolidation</v>
      </c>
      <c r="K12" t="s">
        <v>886</v>
      </c>
      <c r="L12" t="s">
        <v>887</v>
      </c>
      <c r="M12" t="s">
        <v>1310</v>
      </c>
      <c r="N12" t="s">
        <v>1280</v>
      </c>
    </row>
    <row r="13" spans="1:14" x14ac:dyDescent="0.25">
      <c r="A13" t="s">
        <v>1323</v>
      </c>
      <c r="B13" t="s">
        <v>904</v>
      </c>
      <c r="C13" t="s">
        <v>895</v>
      </c>
      <c r="D13" t="s">
        <v>820</v>
      </c>
      <c r="E13" t="s">
        <v>870</v>
      </c>
      <c r="F13">
        <v>11</v>
      </c>
      <c r="G13">
        <v>3500</v>
      </c>
      <c r="H13">
        <v>8985</v>
      </c>
      <c r="I13" t="s">
        <v>878</v>
      </c>
      <c r="J13" t="str" cm="1">
        <f t="array" ref="J13">_xlfn.SWITCH(VALUE(RIGHT(I13,1)),1,"Foundation",2,"Activation",3,"Adaptation",4,"Consolidation",5,"TrailGenic","")</f>
        <v>Consolidation</v>
      </c>
      <c r="K13" t="s">
        <v>886</v>
      </c>
      <c r="L13" t="s">
        <v>887</v>
      </c>
      <c r="M13" t="s">
        <v>1303</v>
      </c>
      <c r="N13" t="s">
        <v>905</v>
      </c>
    </row>
    <row r="14" spans="1:14" x14ac:dyDescent="0.25">
      <c r="A14" t="s">
        <v>1324</v>
      </c>
      <c r="B14" t="s">
        <v>907</v>
      </c>
      <c r="C14" t="s">
        <v>895</v>
      </c>
      <c r="D14" t="s">
        <v>820</v>
      </c>
      <c r="E14" t="s">
        <v>870</v>
      </c>
      <c r="F14">
        <v>12</v>
      </c>
      <c r="G14">
        <v>4400</v>
      </c>
      <c r="H14">
        <v>8859</v>
      </c>
      <c r="I14" t="s">
        <v>878</v>
      </c>
      <c r="J14" t="str" cm="1">
        <f t="array" ref="J14">_xlfn.SWITCH(VALUE(RIGHT(I14,1)),1,"Foundation",2,"Activation",3,"Adaptation",4,"Consolidation",5,"TrailGenic","")</f>
        <v>Consolidation</v>
      </c>
      <c r="K14" t="s">
        <v>886</v>
      </c>
      <c r="L14" t="s">
        <v>908</v>
      </c>
      <c r="M14" t="s">
        <v>1286</v>
      </c>
      <c r="N14" t="s">
        <v>909</v>
      </c>
    </row>
    <row r="15" spans="1:14" x14ac:dyDescent="0.25">
      <c r="A15" t="s">
        <v>1325</v>
      </c>
      <c r="B15" t="s">
        <v>917</v>
      </c>
      <c r="C15" t="s">
        <v>918</v>
      </c>
      <c r="D15" t="s">
        <v>820</v>
      </c>
      <c r="E15" t="s">
        <v>870</v>
      </c>
      <c r="F15">
        <v>8</v>
      </c>
      <c r="G15">
        <v>2400</v>
      </c>
      <c r="H15">
        <v>8846</v>
      </c>
      <c r="I15" t="s">
        <v>878</v>
      </c>
      <c r="J15" t="str" cm="1">
        <f t="array" ref="J15">_xlfn.SWITCH(VALUE(RIGHT(I15,1)),1,"Foundation",2,"Activation",3,"Adaptation",4,"Consolidation",5,"TrailGenic","")</f>
        <v>Consolidation</v>
      </c>
      <c r="K15" t="s">
        <v>886</v>
      </c>
      <c r="L15" t="s">
        <v>908</v>
      </c>
      <c r="M15" t="s">
        <v>1302</v>
      </c>
      <c r="N15" t="s">
        <v>919</v>
      </c>
    </row>
    <row r="16" spans="1:14" x14ac:dyDescent="0.25">
      <c r="A16" t="s">
        <v>1326</v>
      </c>
      <c r="B16" t="s">
        <v>1268</v>
      </c>
      <c r="C16" t="s">
        <v>1281</v>
      </c>
      <c r="D16" t="s">
        <v>820</v>
      </c>
      <c r="E16" t="s">
        <v>870</v>
      </c>
      <c r="F16">
        <v>16.5</v>
      </c>
      <c r="G16">
        <v>4800</v>
      </c>
      <c r="H16">
        <v>8846</v>
      </c>
      <c r="I16" t="s">
        <v>896</v>
      </c>
      <c r="J16" t="str" cm="1">
        <f t="array" ref="J16">_xlfn.SWITCH(VALUE(RIGHT(I16,1)),1,"Foundation",2,"Activation",3,"Adaptation",4,"Consolidation",5,"TrailGenic","")</f>
        <v>TrailGenic</v>
      </c>
      <c r="K16" t="s">
        <v>886</v>
      </c>
      <c r="L16" t="s">
        <v>1282</v>
      </c>
      <c r="M16" t="s">
        <v>1311</v>
      </c>
      <c r="N16" t="s">
        <v>1283</v>
      </c>
    </row>
    <row r="17" spans="1:14" x14ac:dyDescent="0.25">
      <c r="A17" t="s">
        <v>1327</v>
      </c>
      <c r="B17" t="s">
        <v>911</v>
      </c>
      <c r="C17" t="s">
        <v>895</v>
      </c>
      <c r="D17" t="s">
        <v>820</v>
      </c>
      <c r="E17" t="s">
        <v>870</v>
      </c>
      <c r="F17">
        <v>13</v>
      </c>
      <c r="G17">
        <v>4200</v>
      </c>
      <c r="H17">
        <v>8693</v>
      </c>
      <c r="I17" t="s">
        <v>878</v>
      </c>
      <c r="J17" t="str" cm="1">
        <f t="array" ref="J17">_xlfn.SWITCH(VALUE(RIGHT(I17,1)),1,"Foundation",2,"Activation",3,"Adaptation",4,"Consolidation",5,"TrailGenic","")</f>
        <v>Consolidation</v>
      </c>
      <c r="K17" t="s">
        <v>886</v>
      </c>
      <c r="L17" t="s">
        <v>891</v>
      </c>
      <c r="M17" t="s">
        <v>1296</v>
      </c>
      <c r="N17" t="s">
        <v>912</v>
      </c>
    </row>
    <row r="18" spans="1:14" x14ac:dyDescent="0.25">
      <c r="A18" t="s">
        <v>1328</v>
      </c>
      <c r="B18" t="s">
        <v>890</v>
      </c>
      <c r="C18" t="s">
        <v>869</v>
      </c>
      <c r="D18" t="s">
        <v>820</v>
      </c>
      <c r="E18" t="s">
        <v>870</v>
      </c>
      <c r="F18">
        <v>7.2</v>
      </c>
      <c r="G18">
        <v>2700</v>
      </c>
      <c r="H18">
        <v>8250</v>
      </c>
      <c r="I18" t="s">
        <v>878</v>
      </c>
      <c r="J18" t="str" cm="1">
        <f t="array" ref="J18">_xlfn.SWITCH(VALUE(RIGHT(I18,1)),1,"Foundation",2,"Activation",3,"Adaptation",4,"Consolidation",5,"TrailGenic","")</f>
        <v>Consolidation</v>
      </c>
      <c r="K18" t="s">
        <v>886</v>
      </c>
      <c r="L18" t="s">
        <v>891</v>
      </c>
      <c r="M18" t="s">
        <v>1292</v>
      </c>
      <c r="N18" t="s">
        <v>892</v>
      </c>
    </row>
    <row r="19" spans="1:14" x14ac:dyDescent="0.25">
      <c r="A19" t="s">
        <v>1329</v>
      </c>
      <c r="B19" t="s">
        <v>868</v>
      </c>
      <c r="C19" t="s">
        <v>869</v>
      </c>
      <c r="D19" t="s">
        <v>820</v>
      </c>
      <c r="E19" t="s">
        <v>870</v>
      </c>
      <c r="F19">
        <v>7.2</v>
      </c>
      <c r="G19">
        <v>2100</v>
      </c>
      <c r="H19">
        <v>6164</v>
      </c>
      <c r="I19" t="s">
        <v>857</v>
      </c>
      <c r="J19" t="str" cm="1">
        <f t="array" ref="J19">_xlfn.SWITCH(VALUE(RIGHT(I19,1)),1,"Foundation",2,"Activation",3,"Adaptation",4,"Consolidation",5,"TrailGenic","")</f>
        <v>Adaptation</v>
      </c>
      <c r="K19" t="s">
        <v>848</v>
      </c>
      <c r="L19" t="s">
        <v>871</v>
      </c>
      <c r="M19" t="s">
        <v>1301</v>
      </c>
      <c r="N19" t="s">
        <v>872</v>
      </c>
    </row>
    <row r="20" spans="1:14" x14ac:dyDescent="0.25">
      <c r="A20" t="s">
        <v>1330</v>
      </c>
      <c r="B20" t="s">
        <v>882</v>
      </c>
      <c r="C20" t="s">
        <v>869</v>
      </c>
      <c r="D20" t="s">
        <v>820</v>
      </c>
      <c r="E20" t="s">
        <v>870</v>
      </c>
      <c r="F20">
        <v>14</v>
      </c>
      <c r="G20">
        <v>4200</v>
      </c>
      <c r="H20">
        <v>5710</v>
      </c>
      <c r="I20" t="s">
        <v>878</v>
      </c>
      <c r="J20" t="str" cm="1">
        <f t="array" ref="J20">_xlfn.SWITCH(VALUE(RIGHT(I20,1)),1,"Foundation",2,"Activation",3,"Adaptation",4,"Consolidation",5,"TrailGenic","")</f>
        <v>Consolidation</v>
      </c>
      <c r="K20" t="s">
        <v>848</v>
      </c>
      <c r="L20" t="s">
        <v>879</v>
      </c>
      <c r="M20" t="s">
        <v>1294</v>
      </c>
      <c r="N20" t="s">
        <v>883</v>
      </c>
    </row>
    <row r="21" spans="1:14" x14ac:dyDescent="0.25">
      <c r="A21" t="s">
        <v>1331</v>
      </c>
      <c r="B21" t="s">
        <v>877</v>
      </c>
      <c r="C21" t="s">
        <v>869</v>
      </c>
      <c r="D21" t="s">
        <v>820</v>
      </c>
      <c r="E21" t="s">
        <v>870</v>
      </c>
      <c r="F21">
        <v>14.8</v>
      </c>
      <c r="G21">
        <v>4500</v>
      </c>
      <c r="H21">
        <v>5710</v>
      </c>
      <c r="I21" t="s">
        <v>878</v>
      </c>
      <c r="J21" t="str" cm="1">
        <f t="array" ref="J21">_xlfn.SWITCH(VALUE(RIGHT(I21,1)),1,"Foundation",2,"Activation",3,"Adaptation",4,"Consolidation",5,"TrailGenic","")</f>
        <v>Consolidation</v>
      </c>
      <c r="K21" t="s">
        <v>848</v>
      </c>
      <c r="L21" t="s">
        <v>879</v>
      </c>
      <c r="M21" t="s">
        <v>1295</v>
      </c>
      <c r="N21" t="s">
        <v>880</v>
      </c>
    </row>
    <row r="22" spans="1:14" x14ac:dyDescent="0.25">
      <c r="A22" t="s">
        <v>1332</v>
      </c>
      <c r="B22" t="s">
        <v>914</v>
      </c>
      <c r="C22" t="s">
        <v>895</v>
      </c>
      <c r="D22" t="s">
        <v>820</v>
      </c>
      <c r="E22" t="s">
        <v>870</v>
      </c>
      <c r="F22">
        <v>8.6</v>
      </c>
      <c r="G22">
        <v>2000</v>
      </c>
      <c r="H22">
        <v>5450</v>
      </c>
      <c r="I22" t="s">
        <v>878</v>
      </c>
      <c r="J22" t="str" cm="1">
        <f t="array" ref="J22">_xlfn.SWITCH(VALUE(RIGHT(I22,1)),1,"Foundation",2,"Activation",3,"Adaptation",4,"Consolidation",5,"TrailGenic","")</f>
        <v>Consolidation</v>
      </c>
      <c r="K22" t="s">
        <v>886</v>
      </c>
      <c r="L22" t="s">
        <v>887</v>
      </c>
      <c r="M22" t="s">
        <v>1288</v>
      </c>
      <c r="N22" t="s">
        <v>915</v>
      </c>
    </row>
    <row r="23" spans="1:14" x14ac:dyDescent="0.25">
      <c r="A23" t="s">
        <v>1333</v>
      </c>
      <c r="B23" t="s">
        <v>864</v>
      </c>
      <c r="C23" t="s">
        <v>819</v>
      </c>
      <c r="D23" t="s">
        <v>820</v>
      </c>
      <c r="E23" t="s">
        <v>834</v>
      </c>
      <c r="F23">
        <v>8.6</v>
      </c>
      <c r="G23">
        <v>3300</v>
      </c>
      <c r="H23">
        <v>5074</v>
      </c>
      <c r="I23" t="s">
        <v>857</v>
      </c>
      <c r="J23" t="str" cm="1">
        <f t="array" ref="J23">_xlfn.SWITCH(VALUE(RIGHT(I23,1)),1,"Foundation",2,"Activation",3,"Adaptation",4,"Consolidation",5,"TrailGenic","")</f>
        <v>Adaptation</v>
      </c>
      <c r="K23" t="s">
        <v>823</v>
      </c>
      <c r="L23" t="s">
        <v>865</v>
      </c>
      <c r="M23" t="s">
        <v>1293</v>
      </c>
      <c r="N23" t="s">
        <v>866</v>
      </c>
    </row>
    <row r="24" spans="1:14" x14ac:dyDescent="0.25">
      <c r="A24" t="s">
        <v>1334</v>
      </c>
      <c r="B24" t="s">
        <v>1090</v>
      </c>
      <c r="C24" t="s">
        <v>1091</v>
      </c>
      <c r="D24" t="s">
        <v>1092</v>
      </c>
      <c r="E24" t="s">
        <v>834</v>
      </c>
      <c r="F24">
        <v>5.0999999999999996</v>
      </c>
      <c r="G24">
        <v>2000</v>
      </c>
      <c r="H24">
        <v>4905</v>
      </c>
      <c r="I24" t="s">
        <v>835</v>
      </c>
      <c r="J24" t="str" cm="1">
        <f t="array" ref="J24">_xlfn.SWITCH(VALUE(RIGHT(I24,1)),1,"Foundation",2,"Activation",3,"Adaptation",4,"Consolidation",5,"TrailGenic","")</f>
        <v>Activation</v>
      </c>
      <c r="K24" t="s">
        <v>823</v>
      </c>
      <c r="L24" t="s">
        <v>836</v>
      </c>
      <c r="M24" t="s">
        <v>1304</v>
      </c>
      <c r="N24" t="s">
        <v>1093</v>
      </c>
    </row>
    <row r="25" spans="1:14" x14ac:dyDescent="0.25">
      <c r="A25" t="s">
        <v>1335</v>
      </c>
      <c r="B25" t="s">
        <v>1265</v>
      </c>
      <c r="C25" t="s">
        <v>1275</v>
      </c>
      <c r="D25" t="s">
        <v>820</v>
      </c>
      <c r="E25" t="s">
        <v>834</v>
      </c>
      <c r="F25">
        <v>11</v>
      </c>
      <c r="G25">
        <v>4000</v>
      </c>
      <c r="H25">
        <v>3675</v>
      </c>
      <c r="I25" t="s">
        <v>857</v>
      </c>
      <c r="J25" t="str" cm="1">
        <f t="array" ref="J25">_xlfn.SWITCH(VALUE(RIGHT(I25,1)),1,"Foundation",2,"Activation",3,"Adaptation",4,"Consolidation",5,"TrailGenic","")</f>
        <v>Adaptation</v>
      </c>
      <c r="K25" t="s">
        <v>823</v>
      </c>
      <c r="L25" t="s">
        <v>1276</v>
      </c>
      <c r="M25" t="s">
        <v>1308</v>
      </c>
      <c r="N25" t="s">
        <v>1277</v>
      </c>
    </row>
    <row r="26" spans="1:14" x14ac:dyDescent="0.25">
      <c r="A26" t="s">
        <v>1336</v>
      </c>
      <c r="B26" t="s">
        <v>955</v>
      </c>
      <c r="C26" t="s">
        <v>956</v>
      </c>
      <c r="D26" t="s">
        <v>820</v>
      </c>
      <c r="E26" t="s">
        <v>870</v>
      </c>
      <c r="F26">
        <v>6</v>
      </c>
      <c r="G26">
        <v>1800</v>
      </c>
      <c r="H26">
        <v>3111</v>
      </c>
      <c r="I26" t="s">
        <v>835</v>
      </c>
      <c r="J26" t="str" cm="1">
        <f t="array" ref="J26">_xlfn.SWITCH(VALUE(RIGHT(I26,1)),1,"Foundation",2,"Activation",3,"Adaptation",4,"Consolidation",5,"TrailGenic","")</f>
        <v>Activation</v>
      </c>
      <c r="K26" t="s">
        <v>823</v>
      </c>
      <c r="L26" t="s">
        <v>936</v>
      </c>
      <c r="M26" t="s">
        <v>1300</v>
      </c>
      <c r="N26" t="s">
        <v>957</v>
      </c>
    </row>
    <row r="27" spans="1:14" x14ac:dyDescent="0.25">
      <c r="A27" t="s">
        <v>1337</v>
      </c>
      <c r="B27" t="s">
        <v>951</v>
      </c>
      <c r="C27" t="s">
        <v>952</v>
      </c>
      <c r="D27" t="s">
        <v>820</v>
      </c>
      <c r="E27" t="s">
        <v>834</v>
      </c>
      <c r="F27">
        <v>7.5</v>
      </c>
      <c r="G27">
        <v>2000</v>
      </c>
      <c r="H27">
        <v>2894</v>
      </c>
      <c r="I27" t="s">
        <v>857</v>
      </c>
      <c r="J27" t="str" cm="1">
        <f t="array" ref="J27">_xlfn.SWITCH(VALUE(RIGHT(I27,1)),1,"Foundation",2,"Activation",3,"Adaptation",4,"Consolidation",5,"TrailGenic","")</f>
        <v>Adaptation</v>
      </c>
      <c r="K27" t="s">
        <v>823</v>
      </c>
      <c r="L27" t="s">
        <v>865</v>
      </c>
      <c r="M27" t="s">
        <v>1297</v>
      </c>
      <c r="N27" t="s">
        <v>953</v>
      </c>
    </row>
    <row r="28" spans="1:14" x14ac:dyDescent="0.25">
      <c r="A28" t="s">
        <v>1338</v>
      </c>
      <c r="B28" t="s">
        <v>842</v>
      </c>
      <c r="C28" t="s">
        <v>819</v>
      </c>
      <c r="D28" t="s">
        <v>820</v>
      </c>
      <c r="E28" t="s">
        <v>821</v>
      </c>
      <c r="F28">
        <v>2.5</v>
      </c>
      <c r="G28">
        <v>450</v>
      </c>
      <c r="H28">
        <v>511</v>
      </c>
      <c r="I28" t="s">
        <v>822</v>
      </c>
      <c r="J28" t="str" cm="1">
        <f t="array" ref="J28">_xlfn.SWITCH(VALUE(RIGHT(I28,1)),1,"Foundation",2,"Activation",3,"Adaptation",4,"Consolidation",5,"TrailGenic","")</f>
        <v>Foundation</v>
      </c>
      <c r="K28" t="s">
        <v>823</v>
      </c>
      <c r="L28" t="s">
        <v>843</v>
      </c>
      <c r="M28" t="s">
        <v>1287</v>
      </c>
      <c r="N28" t="s">
        <v>844</v>
      </c>
    </row>
    <row r="32" spans="1:14" x14ac:dyDescent="0.25">
      <c r="C32" t="s">
        <v>1340</v>
      </c>
      <c r="D32" t="s">
        <v>1339</v>
      </c>
    </row>
  </sheetData>
  <sortState xmlns:xlrd2="http://schemas.microsoft.com/office/spreadsheetml/2017/richdata2" ref="A2:N28">
    <sortCondition descending="1" ref="H2:H28"/>
  </sortState>
  <phoneticPr fontId="8"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19DA-EF11-448C-B4B4-EDE355753DC3}">
  <sheetPr>
    <tabColor theme="4" tint="0.79998168889431442"/>
  </sheetPr>
  <dimension ref="A1:N37"/>
  <sheetViews>
    <sheetView zoomScale="90" zoomScaleNormal="90" workbookViewId="0">
      <pane xSplit="2" ySplit="3" topLeftCell="C4" activePane="bottomRight" state="frozen"/>
      <selection pane="topRight" activeCell="C1" sqref="C1"/>
      <selection pane="bottomLeft" activeCell="A4" sqref="A4"/>
      <selection pane="bottomRight" activeCell="L35" sqref="L35"/>
    </sheetView>
  </sheetViews>
  <sheetFormatPr defaultRowHeight="15" x14ac:dyDescent="0.25"/>
  <cols>
    <col min="1" max="1" width="21" customWidth="1"/>
    <col min="2" max="2" width="37.140625" customWidth="1"/>
    <col min="3" max="3" width="22.85546875" style="3" customWidth="1"/>
    <col min="4" max="5" width="22.85546875" customWidth="1"/>
    <col min="6" max="6" width="22.85546875" style="3" customWidth="1"/>
    <col min="7" max="8" width="11.7109375" bestFit="1" customWidth="1"/>
    <col min="9" max="10" width="11.140625" bestFit="1" customWidth="1"/>
    <col min="11" max="11" width="31" bestFit="1" customWidth="1"/>
    <col min="12" max="12" width="11.28515625" bestFit="1" customWidth="1"/>
    <col min="13" max="14" width="10.5703125" bestFit="1" customWidth="1"/>
  </cols>
  <sheetData>
    <row r="1" spans="1:14" ht="18.75" x14ac:dyDescent="0.3">
      <c r="A1" s="79" t="s">
        <v>745</v>
      </c>
    </row>
    <row r="3" spans="1:14" x14ac:dyDescent="0.25">
      <c r="A3" s="81" t="s">
        <v>746</v>
      </c>
      <c r="B3" s="81" t="s">
        <v>14</v>
      </c>
      <c r="C3" s="82" t="s">
        <v>747</v>
      </c>
      <c r="D3" s="82" t="s">
        <v>748</v>
      </c>
      <c r="E3" s="82" t="s">
        <v>749</v>
      </c>
      <c r="F3" s="82" t="s">
        <v>750</v>
      </c>
      <c r="G3" s="82" t="s">
        <v>771</v>
      </c>
      <c r="H3" s="82" t="s">
        <v>772</v>
      </c>
      <c r="I3" s="82" t="s">
        <v>773</v>
      </c>
      <c r="J3" s="82" t="s">
        <v>774</v>
      </c>
      <c r="K3" s="82" t="s">
        <v>775</v>
      </c>
      <c r="L3" s="82" t="s">
        <v>776</v>
      </c>
      <c r="M3" s="82" t="s">
        <v>777</v>
      </c>
      <c r="N3" s="82" t="s">
        <v>778</v>
      </c>
    </row>
    <row r="4" spans="1:14" x14ac:dyDescent="0.25">
      <c r="A4" s="83" t="s">
        <v>751</v>
      </c>
      <c r="B4" s="84" t="s">
        <v>0</v>
      </c>
      <c r="C4" s="96">
        <v>46084</v>
      </c>
      <c r="D4" s="96">
        <v>46086</v>
      </c>
      <c r="E4" s="96">
        <v>46091</v>
      </c>
      <c r="F4" s="96">
        <v>46093</v>
      </c>
      <c r="G4" s="96">
        <v>46097</v>
      </c>
      <c r="H4" s="96">
        <v>46099</v>
      </c>
      <c r="I4" s="96">
        <v>46105</v>
      </c>
      <c r="J4" s="93">
        <v>46107</v>
      </c>
      <c r="K4" s="96">
        <v>46119</v>
      </c>
      <c r="L4" s="96">
        <v>46121</v>
      </c>
      <c r="M4" s="93"/>
      <c r="N4" s="93"/>
    </row>
    <row r="5" spans="1:14" x14ac:dyDescent="0.25">
      <c r="A5" s="84" t="s">
        <v>751</v>
      </c>
      <c r="B5" s="84" t="s">
        <v>310</v>
      </c>
      <c r="C5" s="97">
        <v>0.39583333333333331</v>
      </c>
      <c r="D5" s="97">
        <v>0.39583333333333331</v>
      </c>
      <c r="E5" s="97">
        <v>0.39583333333333331</v>
      </c>
      <c r="F5" s="97">
        <v>0.41666666666666669</v>
      </c>
      <c r="G5" s="97">
        <v>0.36458333333333331</v>
      </c>
      <c r="H5" s="97">
        <v>0.36458333333333331</v>
      </c>
      <c r="I5" s="97">
        <v>0.38541666666666669</v>
      </c>
      <c r="J5" s="97">
        <v>0.40625</v>
      </c>
      <c r="K5" s="97">
        <v>0.40625</v>
      </c>
      <c r="L5" s="97">
        <v>0.40625</v>
      </c>
      <c r="M5" s="93"/>
      <c r="N5" s="93"/>
    </row>
    <row r="6" spans="1:14" x14ac:dyDescent="0.25">
      <c r="A6" s="84" t="s">
        <v>751</v>
      </c>
      <c r="B6" s="84" t="s">
        <v>752</v>
      </c>
      <c r="C6" s="98" t="s">
        <v>790</v>
      </c>
      <c r="D6" s="98" t="s">
        <v>790</v>
      </c>
      <c r="E6" s="98" t="s">
        <v>790</v>
      </c>
      <c r="F6" s="98" t="s">
        <v>790</v>
      </c>
      <c r="G6" s="98" t="s">
        <v>790</v>
      </c>
      <c r="H6" s="98" t="s">
        <v>790</v>
      </c>
      <c r="I6" s="98" t="s">
        <v>790</v>
      </c>
      <c r="J6" s="98" t="s">
        <v>790</v>
      </c>
      <c r="K6" s="98" t="s">
        <v>790</v>
      </c>
      <c r="L6" s="98" t="s">
        <v>790</v>
      </c>
      <c r="M6" s="84"/>
      <c r="N6" s="84"/>
    </row>
    <row r="7" spans="1:14" x14ac:dyDescent="0.25">
      <c r="A7" s="84" t="s">
        <v>751</v>
      </c>
      <c r="B7" s="84" t="s">
        <v>753</v>
      </c>
      <c r="C7" s="98">
        <v>2</v>
      </c>
      <c r="D7" s="98">
        <v>2</v>
      </c>
      <c r="E7" s="98">
        <v>2</v>
      </c>
      <c r="F7" s="98">
        <v>2</v>
      </c>
      <c r="G7" s="98">
        <v>2</v>
      </c>
      <c r="H7" s="98">
        <v>2</v>
      </c>
      <c r="I7" s="98">
        <v>2</v>
      </c>
      <c r="J7" s="98">
        <v>2</v>
      </c>
      <c r="K7" s="98">
        <v>2</v>
      </c>
      <c r="L7" s="98">
        <v>2</v>
      </c>
      <c r="M7" s="84"/>
      <c r="N7" s="84"/>
    </row>
    <row r="8" spans="1:14" x14ac:dyDescent="0.25">
      <c r="A8" s="84" t="s">
        <v>751</v>
      </c>
      <c r="B8" s="84" t="s">
        <v>754</v>
      </c>
      <c r="C8" s="105">
        <v>59</v>
      </c>
      <c r="D8" s="105">
        <v>58</v>
      </c>
      <c r="E8" s="105">
        <v>58</v>
      </c>
      <c r="F8" s="105">
        <v>57.45</v>
      </c>
      <c r="G8" s="108">
        <v>58.13</v>
      </c>
      <c r="H8" s="108">
        <v>59</v>
      </c>
      <c r="I8" s="108">
        <v>57.3</v>
      </c>
      <c r="J8" s="108">
        <v>57</v>
      </c>
      <c r="K8" s="108">
        <v>61</v>
      </c>
      <c r="L8" s="108">
        <v>57.2</v>
      </c>
      <c r="M8" s="94"/>
      <c r="N8" s="94"/>
    </row>
    <row r="9" spans="1:14" x14ac:dyDescent="0.25">
      <c r="A9" s="84" t="s">
        <v>751</v>
      </c>
      <c r="B9" s="84" t="s">
        <v>798</v>
      </c>
      <c r="C9" s="105">
        <v>3.2</v>
      </c>
      <c r="D9" s="105">
        <v>3.1</v>
      </c>
      <c r="E9" s="105">
        <v>3.2</v>
      </c>
      <c r="F9" s="108">
        <v>3.16</v>
      </c>
      <c r="G9" s="108">
        <v>3.18</v>
      </c>
      <c r="H9" s="108">
        <v>3.17</v>
      </c>
      <c r="I9" s="108">
        <v>3.18</v>
      </c>
      <c r="J9" s="108">
        <v>3.17</v>
      </c>
      <c r="K9" s="108">
        <v>3.17</v>
      </c>
      <c r="L9" s="108">
        <v>3.17</v>
      </c>
      <c r="M9" s="94"/>
      <c r="N9" s="94"/>
    </row>
    <row r="10" spans="1:14" ht="6" customHeight="1" x14ac:dyDescent="0.25">
      <c r="D10" s="3"/>
      <c r="E10" s="3"/>
      <c r="G10" s="3"/>
      <c r="H10" s="3"/>
      <c r="I10" s="3"/>
      <c r="J10" s="3"/>
      <c r="K10" s="3"/>
      <c r="L10" s="3"/>
    </row>
    <row r="11" spans="1:14" x14ac:dyDescent="0.25">
      <c r="A11" s="85" t="s">
        <v>755</v>
      </c>
      <c r="B11" s="86" t="s">
        <v>756</v>
      </c>
      <c r="C11" s="99" t="b">
        <v>1</v>
      </c>
      <c r="D11" s="99" t="b">
        <v>1</v>
      </c>
      <c r="E11" s="99" t="b">
        <v>1</v>
      </c>
      <c r="F11" s="99" t="b">
        <v>1</v>
      </c>
      <c r="G11" s="99" t="b">
        <v>1</v>
      </c>
      <c r="H11" s="99" t="b">
        <v>1</v>
      </c>
      <c r="I11" s="99" t="b">
        <v>1</v>
      </c>
      <c r="J11" s="99" t="b">
        <v>1</v>
      </c>
      <c r="K11" s="99" t="b">
        <v>1</v>
      </c>
      <c r="L11" s="99" t="b">
        <v>1</v>
      </c>
      <c r="M11" s="80"/>
      <c r="N11" s="80"/>
    </row>
    <row r="12" spans="1:14" x14ac:dyDescent="0.25">
      <c r="A12" s="86" t="s">
        <v>755</v>
      </c>
      <c r="B12" s="86" t="s">
        <v>779</v>
      </c>
      <c r="C12" s="100">
        <v>0.83</v>
      </c>
      <c r="D12" s="100">
        <v>0.86</v>
      </c>
      <c r="E12" s="100">
        <v>0.98</v>
      </c>
      <c r="F12" s="100">
        <v>0.92</v>
      </c>
      <c r="G12" s="100">
        <v>0.91</v>
      </c>
      <c r="H12" s="100">
        <v>0.99</v>
      </c>
      <c r="I12" s="100">
        <v>0.93</v>
      </c>
      <c r="J12" s="100">
        <v>0.97</v>
      </c>
      <c r="K12" s="100">
        <v>0.78</v>
      </c>
      <c r="L12" s="100">
        <v>0.92</v>
      </c>
      <c r="M12" s="80"/>
      <c r="N12" s="80"/>
    </row>
    <row r="13" spans="1:14" x14ac:dyDescent="0.25">
      <c r="A13" s="86" t="s">
        <v>755</v>
      </c>
      <c r="B13" s="86" t="s">
        <v>780</v>
      </c>
      <c r="C13" s="100">
        <f t="shared" ref="C13:I13" si="0">1-C12</f>
        <v>0.17000000000000004</v>
      </c>
      <c r="D13" s="100">
        <f t="shared" si="0"/>
        <v>0.14000000000000001</v>
      </c>
      <c r="E13" s="100">
        <f t="shared" si="0"/>
        <v>2.0000000000000018E-2</v>
      </c>
      <c r="F13" s="100">
        <f t="shared" si="0"/>
        <v>7.999999999999996E-2</v>
      </c>
      <c r="G13" s="100">
        <f t="shared" si="0"/>
        <v>8.9999999999999969E-2</v>
      </c>
      <c r="H13" s="100">
        <f t="shared" si="0"/>
        <v>1.0000000000000009E-2</v>
      </c>
      <c r="I13" s="100">
        <f t="shared" si="0"/>
        <v>6.9999999999999951E-2</v>
      </c>
      <c r="J13" s="100">
        <f>1-J12</f>
        <v>3.0000000000000027E-2</v>
      </c>
      <c r="K13" s="100">
        <f>1-K12</f>
        <v>0.21999999999999997</v>
      </c>
      <c r="L13" s="100">
        <v>0.08</v>
      </c>
      <c r="M13" s="80"/>
      <c r="N13" s="80"/>
    </row>
    <row r="14" spans="1:14" x14ac:dyDescent="0.25">
      <c r="A14" s="86" t="s">
        <v>755</v>
      </c>
      <c r="B14" s="86" t="s">
        <v>799</v>
      </c>
      <c r="C14" s="106">
        <v>112</v>
      </c>
      <c r="D14" s="106">
        <v>102</v>
      </c>
      <c r="E14" s="106">
        <v>102</v>
      </c>
      <c r="F14" s="106">
        <v>105</v>
      </c>
      <c r="G14" s="106">
        <v>108</v>
      </c>
      <c r="H14" s="106">
        <v>102</v>
      </c>
      <c r="I14" s="106">
        <v>95</v>
      </c>
      <c r="J14" s="106">
        <v>89</v>
      </c>
      <c r="K14" s="106">
        <v>108</v>
      </c>
      <c r="L14" s="106">
        <v>89</v>
      </c>
      <c r="M14" s="80"/>
      <c r="N14" s="80"/>
    </row>
    <row r="15" spans="1:14" x14ac:dyDescent="0.25">
      <c r="A15" s="86" t="s">
        <v>755</v>
      </c>
      <c r="B15" s="86" t="s">
        <v>757</v>
      </c>
      <c r="C15" s="99" t="s">
        <v>791</v>
      </c>
      <c r="D15" s="99" t="s">
        <v>791</v>
      </c>
      <c r="E15" s="99" t="s">
        <v>791</v>
      </c>
      <c r="F15" s="99" t="s">
        <v>791</v>
      </c>
      <c r="G15" s="99" t="s">
        <v>791</v>
      </c>
      <c r="H15" s="99" t="s">
        <v>791</v>
      </c>
      <c r="I15" s="99" t="s">
        <v>791</v>
      </c>
      <c r="J15" s="99" t="s">
        <v>791</v>
      </c>
      <c r="K15" s="99" t="s">
        <v>791</v>
      </c>
      <c r="L15" s="99" t="s">
        <v>791</v>
      </c>
      <c r="M15" s="80"/>
      <c r="N15" s="80"/>
    </row>
    <row r="16" spans="1:14" ht="6" customHeight="1" x14ac:dyDescent="0.25">
      <c r="D16" s="3"/>
      <c r="E16" s="3"/>
      <c r="G16" s="3"/>
      <c r="H16" s="3"/>
      <c r="I16" s="3"/>
      <c r="J16" s="3"/>
      <c r="K16" s="3"/>
      <c r="L16" s="3"/>
    </row>
    <row r="17" spans="1:14" x14ac:dyDescent="0.25">
      <c r="A17" s="87" t="s">
        <v>758</v>
      </c>
      <c r="B17" s="88" t="s">
        <v>759</v>
      </c>
      <c r="C17" s="101">
        <v>59</v>
      </c>
      <c r="D17" s="101">
        <v>60</v>
      </c>
      <c r="E17" s="101">
        <v>60</v>
      </c>
      <c r="F17" s="101">
        <v>61</v>
      </c>
      <c r="G17" s="101">
        <v>59</v>
      </c>
      <c r="H17" s="101">
        <v>63</v>
      </c>
      <c r="I17" s="101">
        <v>55</v>
      </c>
      <c r="J17" s="101">
        <v>58</v>
      </c>
      <c r="K17" s="101">
        <v>59</v>
      </c>
      <c r="L17" s="101">
        <v>56</v>
      </c>
      <c r="M17" s="95"/>
      <c r="N17" s="95"/>
    </row>
    <row r="18" spans="1:14" x14ac:dyDescent="0.25">
      <c r="A18" s="88" t="s">
        <v>758</v>
      </c>
      <c r="B18" s="88" t="s">
        <v>760</v>
      </c>
      <c r="C18" s="101">
        <v>111</v>
      </c>
      <c r="D18" s="101">
        <v>107</v>
      </c>
      <c r="E18" s="101">
        <v>106</v>
      </c>
      <c r="F18" s="101">
        <v>108</v>
      </c>
      <c r="G18" s="101">
        <v>104</v>
      </c>
      <c r="H18" s="101">
        <v>102</v>
      </c>
      <c r="I18" s="101">
        <v>108</v>
      </c>
      <c r="J18" s="101">
        <v>104</v>
      </c>
      <c r="K18" s="101">
        <v>112</v>
      </c>
      <c r="L18" s="101">
        <v>111</v>
      </c>
      <c r="M18" s="95"/>
      <c r="N18" s="95"/>
    </row>
    <row r="19" spans="1:14" x14ac:dyDescent="0.25">
      <c r="A19" s="88" t="s">
        <v>758</v>
      </c>
      <c r="B19" s="88" t="s">
        <v>761</v>
      </c>
      <c r="C19" s="101">
        <v>134</v>
      </c>
      <c r="D19" s="101">
        <v>127</v>
      </c>
      <c r="E19" s="101">
        <v>117</v>
      </c>
      <c r="F19" s="101">
        <v>125</v>
      </c>
      <c r="G19" s="101">
        <v>123</v>
      </c>
      <c r="H19" s="101">
        <v>115</v>
      </c>
      <c r="I19" s="101">
        <v>125</v>
      </c>
      <c r="J19" s="101">
        <v>125</v>
      </c>
      <c r="K19" s="101">
        <v>128</v>
      </c>
      <c r="L19" s="101">
        <v>128</v>
      </c>
      <c r="M19" s="95"/>
      <c r="N19" s="95"/>
    </row>
    <row r="20" spans="1:14" x14ac:dyDescent="0.25">
      <c r="A20" s="88" t="s">
        <v>758</v>
      </c>
      <c r="B20" s="88" t="s">
        <v>1343</v>
      </c>
      <c r="C20" s="109">
        <f>C18/C9</f>
        <v>34.6875</v>
      </c>
      <c r="D20" s="109">
        <f t="shared" ref="D20:J20" si="1">D18/D9</f>
        <v>34.516129032258064</v>
      </c>
      <c r="E20" s="109">
        <f t="shared" si="1"/>
        <v>33.125</v>
      </c>
      <c r="F20" s="109">
        <f t="shared" si="1"/>
        <v>34.177215189873415</v>
      </c>
      <c r="G20" s="109">
        <f t="shared" si="1"/>
        <v>32.704402515723267</v>
      </c>
      <c r="H20" s="109">
        <f t="shared" si="1"/>
        <v>32.176656151419557</v>
      </c>
      <c r="I20" s="109">
        <f t="shared" si="1"/>
        <v>33.962264150943398</v>
      </c>
      <c r="J20" s="109">
        <f t="shared" si="1"/>
        <v>32.807570977917983</v>
      </c>
      <c r="K20" s="109">
        <f t="shared" ref="K20:L20" si="2">K18/K9</f>
        <v>35.331230283911673</v>
      </c>
      <c r="L20" s="109">
        <f t="shared" si="2"/>
        <v>35.01577287066246</v>
      </c>
      <c r="M20" s="95"/>
      <c r="N20" s="95"/>
    </row>
    <row r="21" spans="1:14" x14ac:dyDescent="0.25">
      <c r="A21" s="88" t="s">
        <v>758</v>
      </c>
      <c r="B21" s="88" t="s">
        <v>805</v>
      </c>
      <c r="C21" s="107">
        <v>-8.4000000000000005E-2</v>
      </c>
      <c r="D21" s="107">
        <v>7.9000000000000001E-2</v>
      </c>
      <c r="E21" s="107">
        <v>-8.9999999999999993E-3</v>
      </c>
      <c r="F21" s="107">
        <v>6.2E-2</v>
      </c>
      <c r="G21" s="107">
        <v>8.8999999999999996E-2</v>
      </c>
      <c r="H21" s="107">
        <v>0.02</v>
      </c>
      <c r="I21" s="107">
        <v>3.3000000000000002E-2</v>
      </c>
      <c r="J21" s="107">
        <v>6.5000000000000002E-2</v>
      </c>
      <c r="K21" s="107">
        <v>9.2999999999999999E-2</v>
      </c>
      <c r="L21" s="107">
        <v>0.05</v>
      </c>
      <c r="M21" s="95"/>
      <c r="N21" s="95"/>
    </row>
    <row r="22" spans="1:14" x14ac:dyDescent="0.25">
      <c r="A22" s="88" t="s">
        <v>758</v>
      </c>
      <c r="B22" s="88" t="s">
        <v>792</v>
      </c>
      <c r="C22" s="102">
        <v>78</v>
      </c>
      <c r="D22" s="102">
        <v>61</v>
      </c>
      <c r="E22" s="102">
        <v>65</v>
      </c>
      <c r="F22" s="102">
        <v>75</v>
      </c>
      <c r="G22" s="102">
        <v>66</v>
      </c>
      <c r="H22" s="102">
        <v>40</v>
      </c>
      <c r="I22" s="102">
        <v>79</v>
      </c>
      <c r="J22" s="102">
        <v>84</v>
      </c>
      <c r="K22" s="102">
        <v>71</v>
      </c>
      <c r="L22" s="102">
        <v>80</v>
      </c>
      <c r="M22" s="88"/>
      <c r="N22" s="88"/>
    </row>
    <row r="23" spans="1:14" x14ac:dyDescent="0.25">
      <c r="A23" s="88" t="s">
        <v>758</v>
      </c>
      <c r="B23" s="88" t="s">
        <v>762</v>
      </c>
      <c r="C23" s="101">
        <v>501</v>
      </c>
      <c r="D23" s="101">
        <v>303</v>
      </c>
      <c r="E23" s="101">
        <v>353</v>
      </c>
      <c r="F23" s="101">
        <v>426</v>
      </c>
      <c r="G23" s="101">
        <v>339</v>
      </c>
      <c r="H23" s="101">
        <v>314</v>
      </c>
      <c r="I23" s="101">
        <v>354</v>
      </c>
      <c r="J23" s="101">
        <f>426</f>
        <v>426</v>
      </c>
      <c r="K23" s="101">
        <v>332</v>
      </c>
      <c r="L23" s="101">
        <f>360+26</f>
        <v>386</v>
      </c>
      <c r="M23" s="95"/>
      <c r="N23" s="95"/>
    </row>
    <row r="24" spans="1:14" x14ac:dyDescent="0.25">
      <c r="A24" s="88" t="s">
        <v>758</v>
      </c>
      <c r="B24" s="88" t="s">
        <v>781</v>
      </c>
      <c r="C24" s="102">
        <v>1</v>
      </c>
      <c r="D24" s="102">
        <v>1</v>
      </c>
      <c r="E24" s="102">
        <v>1</v>
      </c>
      <c r="F24" s="102">
        <v>1</v>
      </c>
      <c r="G24" s="102">
        <v>1</v>
      </c>
      <c r="H24" s="102">
        <v>1</v>
      </c>
      <c r="I24" s="102">
        <v>1</v>
      </c>
      <c r="J24" s="102">
        <v>1</v>
      </c>
      <c r="K24" s="102">
        <v>1</v>
      </c>
      <c r="L24" s="102">
        <v>1</v>
      </c>
      <c r="M24" s="88"/>
      <c r="N24" s="88"/>
    </row>
    <row r="25" spans="1:14" x14ac:dyDescent="0.25">
      <c r="A25" s="88" t="s">
        <v>758</v>
      </c>
      <c r="B25" s="88" t="s">
        <v>1443</v>
      </c>
      <c r="C25" s="102">
        <v>1.7</v>
      </c>
      <c r="D25" s="102">
        <v>1.6</v>
      </c>
      <c r="E25" s="102">
        <v>1.6</v>
      </c>
      <c r="F25" s="102">
        <v>1.5</v>
      </c>
      <c r="G25" s="102">
        <v>1.5</v>
      </c>
      <c r="H25" s="102">
        <v>1.4</v>
      </c>
      <c r="I25" s="102">
        <v>1.5</v>
      </c>
      <c r="J25" s="102">
        <v>1.5</v>
      </c>
      <c r="K25" s="102">
        <v>1.6</v>
      </c>
      <c r="L25" s="102">
        <v>1.6</v>
      </c>
      <c r="M25" s="88"/>
      <c r="N25" s="88"/>
    </row>
    <row r="26" spans="1:14" x14ac:dyDescent="0.25">
      <c r="A26" s="88" t="s">
        <v>758</v>
      </c>
      <c r="B26" s="88" t="s">
        <v>1491</v>
      </c>
      <c r="C26" s="102">
        <v>0</v>
      </c>
      <c r="D26" s="102">
        <v>0</v>
      </c>
      <c r="E26" s="102">
        <v>0</v>
      </c>
      <c r="F26" s="102">
        <v>0</v>
      </c>
      <c r="G26" s="102">
        <v>0</v>
      </c>
      <c r="H26" s="102">
        <v>0</v>
      </c>
      <c r="I26" s="102">
        <v>0</v>
      </c>
      <c r="J26" s="102">
        <v>0</v>
      </c>
      <c r="K26" s="102">
        <v>0</v>
      </c>
      <c r="L26" s="102">
        <v>0</v>
      </c>
      <c r="M26" s="88"/>
      <c r="N26" s="88"/>
    </row>
    <row r="27" spans="1:14" x14ac:dyDescent="0.25">
      <c r="A27" s="88" t="s">
        <v>758</v>
      </c>
      <c r="B27" s="88" t="s">
        <v>804</v>
      </c>
      <c r="C27" s="102">
        <v>80</v>
      </c>
      <c r="D27" s="102">
        <v>81</v>
      </c>
      <c r="E27" s="102">
        <v>77</v>
      </c>
      <c r="F27" s="102">
        <v>89</v>
      </c>
      <c r="G27" s="102">
        <v>85</v>
      </c>
      <c r="H27" s="102">
        <v>87</v>
      </c>
      <c r="I27" s="102">
        <v>84</v>
      </c>
      <c r="J27" s="102">
        <v>85</v>
      </c>
      <c r="K27" s="102">
        <v>86</v>
      </c>
      <c r="L27" s="102">
        <v>84</v>
      </c>
      <c r="M27" s="88"/>
      <c r="N27" s="88"/>
    </row>
    <row r="28" spans="1:14" x14ac:dyDescent="0.25">
      <c r="A28" s="88" t="s">
        <v>758</v>
      </c>
      <c r="B28" s="88" t="s">
        <v>800</v>
      </c>
      <c r="C28" s="102">
        <v>568</v>
      </c>
      <c r="D28" s="102">
        <v>589</v>
      </c>
      <c r="E28" s="102">
        <v>479</v>
      </c>
      <c r="F28" s="102">
        <v>713</v>
      </c>
      <c r="G28" s="102">
        <v>634</v>
      </c>
      <c r="H28" s="102">
        <v>613</v>
      </c>
      <c r="I28" s="102">
        <v>635</v>
      </c>
      <c r="J28" s="102">
        <v>604</v>
      </c>
      <c r="K28" s="102">
        <v>708</v>
      </c>
      <c r="L28" s="102">
        <v>645</v>
      </c>
      <c r="M28" s="88"/>
      <c r="N28" s="88"/>
    </row>
    <row r="29" spans="1:14" x14ac:dyDescent="0.25">
      <c r="A29" s="88" t="s">
        <v>758</v>
      </c>
      <c r="B29" s="88" t="s">
        <v>763</v>
      </c>
      <c r="C29" s="102" t="s">
        <v>802</v>
      </c>
      <c r="D29" s="102" t="s">
        <v>802</v>
      </c>
      <c r="E29" s="102" t="s">
        <v>321</v>
      </c>
      <c r="F29" s="102" t="s">
        <v>802</v>
      </c>
      <c r="G29" s="102" t="s">
        <v>321</v>
      </c>
      <c r="H29" s="102" t="s">
        <v>321</v>
      </c>
      <c r="I29" s="102" t="s">
        <v>321</v>
      </c>
      <c r="J29" s="102" t="s">
        <v>802</v>
      </c>
      <c r="K29" s="102" t="s">
        <v>802</v>
      </c>
      <c r="L29" s="102" t="s">
        <v>802</v>
      </c>
      <c r="M29" s="88"/>
      <c r="N29" s="88"/>
    </row>
    <row r="30" spans="1:14" ht="6" customHeight="1" x14ac:dyDescent="0.25">
      <c r="D30" s="3"/>
      <c r="E30" s="3"/>
      <c r="G30" s="3"/>
      <c r="H30" s="3"/>
      <c r="I30" s="3"/>
      <c r="J30" s="3"/>
      <c r="K30" s="3"/>
      <c r="L30" s="3"/>
    </row>
    <row r="31" spans="1:14" x14ac:dyDescent="0.25">
      <c r="A31" s="89" t="s">
        <v>764</v>
      </c>
      <c r="B31" s="90" t="s">
        <v>765</v>
      </c>
      <c r="C31" s="103" t="s">
        <v>793</v>
      </c>
      <c r="D31" s="103" t="s">
        <v>801</v>
      </c>
      <c r="E31" s="103" t="s">
        <v>801</v>
      </c>
      <c r="F31" s="103" t="s">
        <v>801</v>
      </c>
      <c r="G31" s="103" t="s">
        <v>801</v>
      </c>
      <c r="H31" s="103" t="s">
        <v>793</v>
      </c>
      <c r="I31" s="103" t="s">
        <v>801</v>
      </c>
      <c r="J31" s="103" t="s">
        <v>793</v>
      </c>
      <c r="K31" s="103" t="s">
        <v>793</v>
      </c>
      <c r="L31" s="103" t="s">
        <v>793</v>
      </c>
      <c r="M31" s="90"/>
      <c r="N31" s="90"/>
    </row>
    <row r="32" spans="1:14" x14ac:dyDescent="0.25">
      <c r="A32" s="90" t="s">
        <v>764</v>
      </c>
      <c r="B32" s="90" t="s">
        <v>766</v>
      </c>
      <c r="C32" s="103" t="s">
        <v>794</v>
      </c>
      <c r="D32" s="103" t="s">
        <v>451</v>
      </c>
      <c r="E32" s="103" t="s">
        <v>451</v>
      </c>
      <c r="F32" s="103" t="s">
        <v>451</v>
      </c>
      <c r="G32" s="103" t="s">
        <v>451</v>
      </c>
      <c r="H32" s="103" t="s">
        <v>1469</v>
      </c>
      <c r="I32" s="103" t="s">
        <v>451</v>
      </c>
      <c r="J32" s="103" t="s">
        <v>1469</v>
      </c>
      <c r="K32" s="103" t="s">
        <v>1469</v>
      </c>
      <c r="L32" s="103" t="s">
        <v>1469</v>
      </c>
      <c r="M32" s="90"/>
      <c r="N32" s="90"/>
    </row>
    <row r="33" spans="1:14" x14ac:dyDescent="0.25">
      <c r="A33" s="90" t="s">
        <v>764</v>
      </c>
      <c r="B33" s="90" t="s">
        <v>767</v>
      </c>
      <c r="C33" s="103" t="s">
        <v>795</v>
      </c>
      <c r="D33" s="103" t="s">
        <v>1341</v>
      </c>
      <c r="E33" s="103" t="s">
        <v>1341</v>
      </c>
      <c r="F33" s="103" t="s">
        <v>1341</v>
      </c>
      <c r="G33" s="103" t="s">
        <v>1341</v>
      </c>
      <c r="H33" s="103" t="s">
        <v>795</v>
      </c>
      <c r="I33" s="103" t="s">
        <v>1341</v>
      </c>
      <c r="J33" s="103" t="s">
        <v>795</v>
      </c>
      <c r="K33" s="103" t="s">
        <v>795</v>
      </c>
      <c r="L33" s="103" t="s">
        <v>795</v>
      </c>
      <c r="M33" s="90"/>
      <c r="N33" s="90"/>
    </row>
    <row r="34" spans="1:14" ht="6" customHeight="1" x14ac:dyDescent="0.25">
      <c r="D34" s="3"/>
      <c r="E34" s="3"/>
      <c r="G34" s="3"/>
      <c r="H34" s="3"/>
      <c r="I34" s="3"/>
      <c r="J34" s="3"/>
    </row>
    <row r="35" spans="1:14" x14ac:dyDescent="0.25">
      <c r="A35" s="91" t="s">
        <v>768</v>
      </c>
      <c r="B35" s="92" t="s">
        <v>769</v>
      </c>
      <c r="C35" s="104" t="s">
        <v>796</v>
      </c>
      <c r="D35" s="104" t="s">
        <v>803</v>
      </c>
      <c r="E35" s="104" t="s">
        <v>796</v>
      </c>
      <c r="F35" s="104" t="s">
        <v>1342</v>
      </c>
      <c r="G35" s="104" t="s">
        <v>803</v>
      </c>
      <c r="H35" s="104" t="s">
        <v>803</v>
      </c>
      <c r="I35" s="104" t="s">
        <v>1342</v>
      </c>
      <c r="J35" s="104" t="s">
        <v>1342</v>
      </c>
      <c r="K35" s="104" t="s">
        <v>803</v>
      </c>
      <c r="L35" s="104" t="s">
        <v>1342</v>
      </c>
      <c r="M35" s="92"/>
      <c r="N35" s="92"/>
    </row>
    <row r="36" spans="1:14" x14ac:dyDescent="0.25">
      <c r="A36" s="92" t="s">
        <v>768</v>
      </c>
      <c r="B36" s="92" t="s">
        <v>770</v>
      </c>
      <c r="C36" s="104" t="s">
        <v>797</v>
      </c>
      <c r="D36" s="104" t="s">
        <v>797</v>
      </c>
      <c r="E36" s="104" t="s">
        <v>797</v>
      </c>
      <c r="F36" s="104" t="s">
        <v>797</v>
      </c>
      <c r="G36" s="104" t="s">
        <v>797</v>
      </c>
      <c r="H36" s="104" t="s">
        <v>797</v>
      </c>
      <c r="I36" s="104" t="s">
        <v>797</v>
      </c>
      <c r="J36" s="104" t="s">
        <v>797</v>
      </c>
      <c r="K36" s="104" t="s">
        <v>797</v>
      </c>
      <c r="L36" s="104" t="s">
        <v>797</v>
      </c>
      <c r="M36" s="92"/>
      <c r="N36" s="92"/>
    </row>
    <row r="37" spans="1:14" x14ac:dyDescent="0.25">
      <c r="A37" t="s">
        <v>1846</v>
      </c>
      <c r="K37" s="3" t="s">
        <v>1847</v>
      </c>
    </row>
  </sheetData>
  <phoneticPr fontId="8" type="noConversion"/>
  <dataValidations disablePrompts="1" count="1">
    <dataValidation type="list" allowBlank="1" showInputMessage="1" showErrorMessage="1" sqref="C29:F29" xr:uid="{369AD89F-4723-4332-AA53-C1AD47C26FD4}">
      <formula1>"Stable,Elevated HR drift,Sluggish,Strong"</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C6EDF-74D7-41A8-A9BA-FBE7D8EAFAB4}">
  <sheetPr>
    <tabColor theme="5" tint="-0.249977111117893"/>
  </sheetPr>
  <dimension ref="A1:N57"/>
  <sheetViews>
    <sheetView workbookViewId="0">
      <pane xSplit="2" ySplit="3" topLeftCell="C37" activePane="bottomRight" state="frozen"/>
      <selection pane="topRight" activeCell="C1" sqref="C1"/>
      <selection pane="bottomLeft" activeCell="A4" sqref="A4"/>
      <selection pane="bottomRight" activeCell="D52" sqref="D52"/>
    </sheetView>
  </sheetViews>
  <sheetFormatPr defaultRowHeight="15" x14ac:dyDescent="0.25"/>
  <cols>
    <col min="1" max="1" width="22.85546875" customWidth="1"/>
    <col min="2" max="2" width="41.85546875" customWidth="1"/>
    <col min="3" max="3" width="24.85546875" customWidth="1"/>
    <col min="4" max="4" width="22" customWidth="1"/>
    <col min="5" max="14" width="19" customWidth="1"/>
  </cols>
  <sheetData>
    <row r="1" spans="1:14" ht="18.75" x14ac:dyDescent="0.3">
      <c r="A1" s="118" t="s">
        <v>1436</v>
      </c>
    </row>
    <row r="2" spans="1:14" x14ac:dyDescent="0.25">
      <c r="A2" s="66"/>
      <c r="B2" s="66"/>
      <c r="C2" s="66"/>
      <c r="D2" s="66"/>
      <c r="E2" s="66"/>
      <c r="F2" s="66"/>
      <c r="G2" s="66"/>
      <c r="H2" s="66"/>
      <c r="I2" s="66"/>
      <c r="J2" s="66"/>
      <c r="K2" s="66"/>
      <c r="L2" s="66"/>
      <c r="M2" s="66"/>
      <c r="N2" s="66"/>
    </row>
    <row r="3" spans="1:14" x14ac:dyDescent="0.25">
      <c r="A3" s="119" t="s">
        <v>746</v>
      </c>
      <c r="B3" s="119" t="s">
        <v>14</v>
      </c>
      <c r="C3" s="120" t="s">
        <v>747</v>
      </c>
      <c r="D3" s="120" t="s">
        <v>748</v>
      </c>
      <c r="E3" s="120" t="s">
        <v>749</v>
      </c>
      <c r="F3" s="120" t="s">
        <v>750</v>
      </c>
      <c r="G3" s="120" t="s">
        <v>771</v>
      </c>
      <c r="H3" s="120" t="s">
        <v>772</v>
      </c>
      <c r="I3" s="120" t="s">
        <v>773</v>
      </c>
      <c r="J3" s="120" t="s">
        <v>774</v>
      </c>
      <c r="K3" s="120" t="s">
        <v>775</v>
      </c>
      <c r="L3" s="120" t="s">
        <v>776</v>
      </c>
      <c r="M3" s="120" t="s">
        <v>777</v>
      </c>
      <c r="N3" s="120" t="s">
        <v>778</v>
      </c>
    </row>
    <row r="4" spans="1:14" x14ac:dyDescent="0.25">
      <c r="A4" s="122" t="s">
        <v>751</v>
      </c>
      <c r="B4" s="121" t="s">
        <v>0</v>
      </c>
      <c r="C4" s="141">
        <v>46098</v>
      </c>
      <c r="D4" s="141">
        <v>46108</v>
      </c>
      <c r="E4" s="141">
        <v>46120</v>
      </c>
      <c r="F4" s="141"/>
      <c r="G4" s="141"/>
      <c r="H4" s="141"/>
      <c r="I4" s="141"/>
      <c r="J4" s="141"/>
      <c r="K4" s="141"/>
      <c r="L4" s="141"/>
      <c r="M4" s="141"/>
      <c r="N4" s="141"/>
    </row>
    <row r="5" spans="1:14" x14ac:dyDescent="0.25">
      <c r="A5" s="121" t="s">
        <v>751</v>
      </c>
      <c r="B5" s="121" t="s">
        <v>310</v>
      </c>
      <c r="C5" s="142">
        <v>0.36458333333333331</v>
      </c>
      <c r="D5" s="142">
        <v>0.40625</v>
      </c>
      <c r="E5" s="142">
        <v>0.40625</v>
      </c>
      <c r="F5" s="142"/>
      <c r="G5" s="142"/>
      <c r="H5" s="142"/>
      <c r="I5" s="142"/>
      <c r="J5" s="142"/>
      <c r="K5" s="142"/>
      <c r="L5" s="142"/>
      <c r="M5" s="142"/>
      <c r="N5" s="142"/>
    </row>
    <row r="6" spans="1:14" x14ac:dyDescent="0.25">
      <c r="A6" s="121" t="s">
        <v>751</v>
      </c>
      <c r="B6" s="121" t="s">
        <v>752</v>
      </c>
      <c r="C6" s="134" t="s">
        <v>1463</v>
      </c>
      <c r="D6" s="134" t="s">
        <v>1463</v>
      </c>
      <c r="E6" s="134" t="s">
        <v>1463</v>
      </c>
      <c r="F6" s="134"/>
      <c r="G6" s="134"/>
      <c r="H6" s="134"/>
      <c r="I6" s="134"/>
      <c r="J6" s="134"/>
      <c r="K6" s="134"/>
      <c r="L6" s="134"/>
      <c r="M6" s="134"/>
      <c r="N6" s="134"/>
    </row>
    <row r="7" spans="1:14" x14ac:dyDescent="0.25">
      <c r="A7" s="121" t="s">
        <v>751</v>
      </c>
      <c r="B7" s="121" t="s">
        <v>753</v>
      </c>
      <c r="C7" s="134">
        <v>1</v>
      </c>
      <c r="D7" s="134">
        <v>1</v>
      </c>
      <c r="E7" s="134">
        <v>1</v>
      </c>
      <c r="F7" s="134"/>
      <c r="G7" s="134"/>
      <c r="H7" s="134"/>
      <c r="I7" s="134"/>
      <c r="J7" s="134"/>
      <c r="K7" s="134"/>
      <c r="L7" s="134"/>
      <c r="M7" s="134"/>
      <c r="N7" s="134"/>
    </row>
    <row r="8" spans="1:14" x14ac:dyDescent="0.25">
      <c r="A8" s="121" t="s">
        <v>751</v>
      </c>
      <c r="B8" s="121" t="s">
        <v>754</v>
      </c>
      <c r="C8" s="143">
        <v>30</v>
      </c>
      <c r="D8" s="143">
        <v>31</v>
      </c>
      <c r="E8" s="143">
        <v>29.5</v>
      </c>
      <c r="F8" s="143"/>
      <c r="G8" s="143"/>
      <c r="H8" s="143"/>
      <c r="I8" s="143"/>
      <c r="J8" s="143"/>
      <c r="K8" s="143"/>
      <c r="L8" s="143"/>
      <c r="M8" s="143"/>
      <c r="N8" s="143"/>
    </row>
    <row r="9" spans="1:14" x14ac:dyDescent="0.25">
      <c r="A9" s="121" t="s">
        <v>751</v>
      </c>
      <c r="B9" s="121" t="s">
        <v>811</v>
      </c>
      <c r="C9" s="144">
        <v>2.38</v>
      </c>
      <c r="D9" s="144">
        <v>2.48</v>
      </c>
      <c r="E9" s="144">
        <v>2.4</v>
      </c>
      <c r="F9" s="144"/>
      <c r="G9" s="144"/>
      <c r="H9" s="144"/>
      <c r="I9" s="144"/>
      <c r="J9" s="144"/>
      <c r="K9" s="144"/>
      <c r="L9" s="144"/>
      <c r="M9" s="144"/>
      <c r="N9" s="144"/>
    </row>
    <row r="10" spans="1:14" x14ac:dyDescent="0.25">
      <c r="A10" s="121" t="s">
        <v>751</v>
      </c>
      <c r="B10" s="121" t="s">
        <v>1437</v>
      </c>
      <c r="C10" s="134" t="s">
        <v>1464</v>
      </c>
      <c r="D10" s="134" t="s">
        <v>1647</v>
      </c>
      <c r="E10" s="134" t="s">
        <v>1848</v>
      </c>
      <c r="F10" s="134"/>
      <c r="G10" s="134"/>
      <c r="H10" s="134"/>
      <c r="I10" s="134"/>
      <c r="J10" s="134"/>
      <c r="K10" s="134"/>
      <c r="L10" s="134"/>
      <c r="M10" s="134"/>
      <c r="N10" s="134"/>
    </row>
    <row r="11" spans="1:14" x14ac:dyDescent="0.25">
      <c r="A11" s="66"/>
      <c r="B11" s="66"/>
      <c r="C11" s="133"/>
      <c r="D11" s="133"/>
      <c r="E11" s="133"/>
      <c r="F11" s="133"/>
      <c r="G11" s="133"/>
      <c r="H11" s="133"/>
      <c r="I11" s="133"/>
      <c r="J11" s="133"/>
      <c r="K11" s="133"/>
      <c r="L11" s="133"/>
      <c r="M11" s="133"/>
      <c r="N11" s="133"/>
    </row>
    <row r="12" spans="1:14" x14ac:dyDescent="0.25">
      <c r="A12" s="30" t="s">
        <v>755</v>
      </c>
      <c r="B12" t="s">
        <v>756</v>
      </c>
      <c r="C12" s="3" t="b">
        <v>1</v>
      </c>
      <c r="D12" s="3" t="b">
        <v>1</v>
      </c>
      <c r="E12" s="3" t="b">
        <v>1</v>
      </c>
      <c r="F12" s="3"/>
      <c r="G12" s="3"/>
      <c r="H12" s="3"/>
      <c r="I12" s="3"/>
      <c r="J12" s="3"/>
      <c r="K12" s="3"/>
      <c r="L12" s="3"/>
      <c r="M12" s="3"/>
      <c r="N12" s="3"/>
    </row>
    <row r="13" spans="1:14" x14ac:dyDescent="0.25">
      <c r="A13" t="s">
        <v>755</v>
      </c>
      <c r="B13" t="s">
        <v>1438</v>
      </c>
      <c r="C13" s="3">
        <v>62</v>
      </c>
      <c r="D13" s="3">
        <v>66</v>
      </c>
      <c r="E13" s="3">
        <v>66</v>
      </c>
      <c r="F13" s="3"/>
      <c r="G13" s="3"/>
      <c r="H13" s="3"/>
      <c r="I13" s="3"/>
      <c r="J13" s="3"/>
      <c r="K13" s="3"/>
      <c r="L13" s="3"/>
      <c r="M13" s="3"/>
      <c r="N13" s="3"/>
    </row>
    <row r="14" spans="1:14" x14ac:dyDescent="0.25">
      <c r="A14" t="s">
        <v>755</v>
      </c>
      <c r="B14" t="s">
        <v>1462</v>
      </c>
      <c r="C14" s="3" t="s">
        <v>791</v>
      </c>
      <c r="D14" s="3" t="s">
        <v>791</v>
      </c>
      <c r="E14" s="3" t="s">
        <v>791</v>
      </c>
      <c r="F14" s="3"/>
      <c r="G14" s="3"/>
      <c r="H14" s="3"/>
      <c r="I14" s="3"/>
      <c r="J14" s="3"/>
      <c r="K14" s="3"/>
      <c r="L14" s="3"/>
      <c r="M14" s="3"/>
      <c r="N14" s="3"/>
    </row>
    <row r="15" spans="1:14" x14ac:dyDescent="0.25">
      <c r="A15" t="s">
        <v>755</v>
      </c>
      <c r="B15" t="s">
        <v>1439</v>
      </c>
      <c r="C15" s="3">
        <v>178</v>
      </c>
      <c r="D15" s="3">
        <v>184</v>
      </c>
      <c r="E15" s="3">
        <v>198</v>
      </c>
      <c r="F15" s="3"/>
      <c r="G15" s="3"/>
      <c r="H15" s="3"/>
      <c r="I15" s="3"/>
      <c r="J15" s="3"/>
      <c r="K15" s="3"/>
      <c r="L15" s="3"/>
      <c r="M15" s="3"/>
      <c r="N15" s="3"/>
    </row>
    <row r="16" spans="1:14" x14ac:dyDescent="0.25">
      <c r="A16" t="s">
        <v>755</v>
      </c>
      <c r="B16" t="s">
        <v>1440</v>
      </c>
      <c r="C16" s="3">
        <v>134</v>
      </c>
      <c r="D16" s="3">
        <v>130</v>
      </c>
      <c r="E16" s="3">
        <v>138</v>
      </c>
      <c r="F16" s="3"/>
      <c r="G16" s="3"/>
      <c r="H16" s="3"/>
      <c r="I16" s="3"/>
      <c r="J16" s="3"/>
      <c r="K16" s="3"/>
      <c r="L16" s="3"/>
      <c r="M16" s="3"/>
      <c r="N16" s="3"/>
    </row>
    <row r="17" spans="1:14" x14ac:dyDescent="0.25">
      <c r="A17" t="s">
        <v>755</v>
      </c>
      <c r="B17" t="s">
        <v>1441</v>
      </c>
      <c r="C17" s="3">
        <v>0.91</v>
      </c>
      <c r="D17" s="3">
        <v>0.92</v>
      </c>
      <c r="E17" s="3">
        <v>0.92</v>
      </c>
      <c r="F17" s="3"/>
      <c r="G17" s="3"/>
      <c r="H17" s="3"/>
      <c r="I17" s="3"/>
      <c r="J17" s="3"/>
      <c r="K17" s="3"/>
      <c r="L17" s="3"/>
      <c r="M17" s="3"/>
      <c r="N17" s="3"/>
    </row>
    <row r="18" spans="1:14" x14ac:dyDescent="0.25">
      <c r="A18" s="66"/>
      <c r="B18" s="66"/>
      <c r="C18" s="133"/>
      <c r="D18" s="133"/>
      <c r="E18" s="133"/>
      <c r="F18" s="133"/>
      <c r="G18" s="133"/>
      <c r="H18" s="133"/>
      <c r="I18" s="133"/>
      <c r="J18" s="133"/>
      <c r="K18" s="133"/>
      <c r="L18" s="133"/>
      <c r="M18" s="133"/>
      <c r="N18" s="133"/>
    </row>
    <row r="19" spans="1:14" x14ac:dyDescent="0.25">
      <c r="A19" s="124" t="s">
        <v>758</v>
      </c>
      <c r="B19" s="123" t="s">
        <v>1442</v>
      </c>
      <c r="C19" s="135">
        <v>60</v>
      </c>
      <c r="D19" s="135">
        <v>61</v>
      </c>
      <c r="E19" s="135">
        <v>58</v>
      </c>
      <c r="F19" s="135"/>
      <c r="G19" s="135"/>
      <c r="H19" s="135"/>
      <c r="I19" s="135"/>
      <c r="J19" s="135"/>
      <c r="K19" s="135"/>
      <c r="L19" s="135"/>
      <c r="M19" s="135"/>
      <c r="N19" s="135"/>
    </row>
    <row r="20" spans="1:14" x14ac:dyDescent="0.25">
      <c r="A20" s="123" t="s">
        <v>758</v>
      </c>
      <c r="B20" s="123" t="s">
        <v>760</v>
      </c>
      <c r="C20" s="135">
        <v>147</v>
      </c>
      <c r="D20" s="135">
        <v>150</v>
      </c>
      <c r="E20" s="135">
        <v>154</v>
      </c>
      <c r="F20" s="135"/>
      <c r="G20" s="135"/>
      <c r="H20" s="135"/>
      <c r="I20" s="135"/>
      <c r="J20" s="135"/>
      <c r="K20" s="135"/>
      <c r="L20" s="135"/>
      <c r="M20" s="135"/>
      <c r="N20" s="135"/>
    </row>
    <row r="21" spans="1:14" x14ac:dyDescent="0.25">
      <c r="A21" s="123" t="s">
        <v>758</v>
      </c>
      <c r="B21" s="123" t="s">
        <v>761</v>
      </c>
      <c r="C21" s="135">
        <v>172</v>
      </c>
      <c r="D21" s="135">
        <v>173</v>
      </c>
      <c r="E21" s="135">
        <v>175</v>
      </c>
      <c r="F21" s="135"/>
      <c r="G21" s="135"/>
      <c r="H21" s="135"/>
      <c r="I21" s="135"/>
      <c r="J21" s="135"/>
      <c r="K21" s="135"/>
      <c r="L21" s="135"/>
      <c r="M21" s="135"/>
      <c r="N21" s="135"/>
    </row>
    <row r="22" spans="1:14" x14ac:dyDescent="0.25">
      <c r="A22" s="123" t="s">
        <v>758</v>
      </c>
      <c r="B22" s="123" t="s">
        <v>1343</v>
      </c>
      <c r="C22" s="145">
        <f>C20/C9</f>
        <v>61.764705882352942</v>
      </c>
      <c r="D22" s="145">
        <f>D20/D9</f>
        <v>60.483870967741936</v>
      </c>
      <c r="E22" s="145">
        <f>E20/E9</f>
        <v>64.166666666666671</v>
      </c>
      <c r="F22" s="145"/>
      <c r="G22" s="145"/>
      <c r="H22" s="145"/>
      <c r="I22" s="145"/>
      <c r="J22" s="145"/>
      <c r="K22" s="145"/>
      <c r="L22" s="145"/>
      <c r="M22" s="145"/>
      <c r="N22" s="145"/>
    </row>
    <row r="23" spans="1:14" x14ac:dyDescent="0.25">
      <c r="A23" s="123" t="s">
        <v>758</v>
      </c>
      <c r="B23" s="123" t="s">
        <v>805</v>
      </c>
      <c r="C23" s="146">
        <v>7.0000000000000007E-2</v>
      </c>
      <c r="D23" s="146">
        <v>5.5E-2</v>
      </c>
      <c r="E23" s="146">
        <v>4.7E-2</v>
      </c>
      <c r="F23" s="146"/>
      <c r="G23" s="146"/>
      <c r="H23" s="146"/>
      <c r="I23" s="146"/>
      <c r="J23" s="146"/>
      <c r="K23" s="146"/>
      <c r="L23" s="146"/>
      <c r="M23" s="146"/>
      <c r="N23" s="146"/>
    </row>
    <row r="24" spans="1:14" x14ac:dyDescent="0.25">
      <c r="A24" s="123" t="s">
        <v>758</v>
      </c>
      <c r="B24" s="123" t="s">
        <v>1648</v>
      </c>
      <c r="C24" s="181">
        <v>0.01</v>
      </c>
      <c r="D24" s="181">
        <v>0.01</v>
      </c>
      <c r="E24" s="181">
        <v>0.01</v>
      </c>
      <c r="F24" s="135"/>
      <c r="G24" s="135"/>
      <c r="H24" s="135"/>
      <c r="I24" s="135"/>
      <c r="J24" s="135"/>
      <c r="K24" s="135"/>
      <c r="L24" s="135"/>
      <c r="M24" s="135"/>
      <c r="N24" s="135"/>
    </row>
    <row r="25" spans="1:14" x14ac:dyDescent="0.25">
      <c r="A25" s="123" t="s">
        <v>758</v>
      </c>
      <c r="B25" s="123" t="s">
        <v>1649</v>
      </c>
      <c r="C25" s="181">
        <v>0.12</v>
      </c>
      <c r="D25" s="181">
        <v>0.11</v>
      </c>
      <c r="E25" s="181">
        <v>0.08</v>
      </c>
      <c r="F25" s="135"/>
      <c r="G25" s="135"/>
      <c r="H25" s="135"/>
      <c r="I25" s="135"/>
      <c r="J25" s="135"/>
      <c r="K25" s="135"/>
      <c r="L25" s="135"/>
      <c r="M25" s="135"/>
      <c r="N25" s="135"/>
    </row>
    <row r="26" spans="1:14" x14ac:dyDescent="0.25">
      <c r="A26" s="123" t="s">
        <v>758</v>
      </c>
      <c r="B26" s="123" t="s">
        <v>1650</v>
      </c>
      <c r="C26" s="181">
        <f>1-SUM(C24:C25,C27)</f>
        <v>0.67999999999999994</v>
      </c>
      <c r="D26" s="181">
        <f>1-SUM(D24:D25,D27)</f>
        <v>0.54</v>
      </c>
      <c r="E26" s="181">
        <f>1-SUM(E24:E25,E27)</f>
        <v>0.85</v>
      </c>
      <c r="F26" s="135"/>
      <c r="G26" s="135"/>
      <c r="H26" s="135"/>
      <c r="I26" s="135"/>
      <c r="J26" s="135"/>
      <c r="K26" s="135"/>
      <c r="L26" s="135"/>
      <c r="M26" s="135"/>
      <c r="N26" s="135"/>
    </row>
    <row r="27" spans="1:14" x14ac:dyDescent="0.25">
      <c r="A27" s="123" t="s">
        <v>758</v>
      </c>
      <c r="B27" s="123" t="s">
        <v>1651</v>
      </c>
      <c r="C27" s="181">
        <v>0.19</v>
      </c>
      <c r="D27" s="181">
        <v>0.34</v>
      </c>
      <c r="E27" s="181">
        <v>0.06</v>
      </c>
      <c r="F27" s="145"/>
      <c r="G27" s="145"/>
      <c r="H27" s="145"/>
      <c r="I27" s="145"/>
      <c r="J27" s="145"/>
      <c r="K27" s="145"/>
      <c r="L27" s="145"/>
      <c r="M27" s="145"/>
      <c r="N27" s="145"/>
    </row>
    <row r="28" spans="1:14" x14ac:dyDescent="0.25">
      <c r="A28" s="123" t="s">
        <v>758</v>
      </c>
      <c r="B28" s="123" t="s">
        <v>1443</v>
      </c>
      <c r="C28" s="145">
        <v>2.9</v>
      </c>
      <c r="D28" s="145">
        <v>2.9</v>
      </c>
      <c r="E28" s="145">
        <v>3</v>
      </c>
      <c r="F28" s="146"/>
      <c r="G28" s="146"/>
      <c r="H28" s="146"/>
      <c r="I28" s="146"/>
      <c r="J28" s="146"/>
      <c r="K28" s="146"/>
      <c r="L28" s="146"/>
      <c r="M28" s="146"/>
      <c r="N28" s="146"/>
    </row>
    <row r="29" spans="1:14" x14ac:dyDescent="0.25">
      <c r="A29" s="123" t="s">
        <v>758</v>
      </c>
      <c r="B29" s="123" t="s">
        <v>1366</v>
      </c>
      <c r="C29" s="135">
        <v>0.3</v>
      </c>
      <c r="D29" s="135">
        <v>0</v>
      </c>
      <c r="E29" s="135">
        <v>0.1</v>
      </c>
      <c r="F29" s="135"/>
      <c r="G29" s="135"/>
      <c r="H29" s="135"/>
      <c r="I29" s="135"/>
      <c r="J29" s="135"/>
      <c r="K29" s="135"/>
      <c r="L29" s="135"/>
      <c r="M29" s="135"/>
      <c r="N29" s="135"/>
    </row>
    <row r="30" spans="1:14" x14ac:dyDescent="0.25">
      <c r="A30" s="123" t="s">
        <v>758</v>
      </c>
      <c r="B30" s="123" t="s">
        <v>1444</v>
      </c>
      <c r="C30" s="135">
        <v>61</v>
      </c>
      <c r="D30" s="135">
        <v>57</v>
      </c>
      <c r="E30" s="135">
        <v>62</v>
      </c>
      <c r="F30" s="135"/>
      <c r="G30" s="135"/>
      <c r="H30" s="135"/>
      <c r="I30" s="135"/>
      <c r="J30" s="135"/>
      <c r="K30" s="135"/>
      <c r="L30" s="135"/>
      <c r="M30" s="135"/>
      <c r="N30" s="135"/>
    </row>
    <row r="31" spans="1:14" x14ac:dyDescent="0.25">
      <c r="A31" s="123" t="s">
        <v>758</v>
      </c>
      <c r="B31" s="123" t="s">
        <v>1445</v>
      </c>
      <c r="C31" s="135">
        <v>46</v>
      </c>
      <c r="D31" s="135">
        <v>46</v>
      </c>
      <c r="E31" s="135">
        <v>46</v>
      </c>
      <c r="F31" s="135"/>
      <c r="G31" s="135"/>
      <c r="H31" s="135"/>
      <c r="I31" s="135"/>
      <c r="J31" s="135"/>
      <c r="K31" s="135"/>
      <c r="L31" s="135"/>
      <c r="M31" s="135"/>
      <c r="N31" s="135"/>
    </row>
    <row r="32" spans="1:14" x14ac:dyDescent="0.25">
      <c r="A32" s="123" t="s">
        <v>758</v>
      </c>
      <c r="B32" s="123" t="s">
        <v>792</v>
      </c>
      <c r="C32" s="135">
        <v>52</v>
      </c>
      <c r="D32" s="135">
        <v>63</v>
      </c>
      <c r="E32" s="135">
        <v>78</v>
      </c>
      <c r="F32" s="135"/>
      <c r="G32" s="135"/>
      <c r="H32" s="135"/>
      <c r="I32" s="135"/>
      <c r="J32" s="135"/>
      <c r="K32" s="135"/>
      <c r="L32" s="135"/>
      <c r="M32" s="135"/>
      <c r="N32" s="135"/>
    </row>
    <row r="33" spans="1:14" x14ac:dyDescent="0.25">
      <c r="A33" s="123" t="s">
        <v>758</v>
      </c>
      <c r="B33" s="123" t="s">
        <v>762</v>
      </c>
      <c r="C33" s="135">
        <v>358</v>
      </c>
      <c r="D33" s="135">
        <v>264</v>
      </c>
      <c r="E33" s="135">
        <v>369</v>
      </c>
      <c r="F33" s="135"/>
      <c r="G33" s="135"/>
      <c r="H33" s="135"/>
      <c r="I33" s="135"/>
      <c r="J33" s="135"/>
      <c r="K33" s="135"/>
      <c r="L33" s="135"/>
      <c r="M33" s="135"/>
      <c r="N33" s="135"/>
    </row>
    <row r="34" spans="1:14" x14ac:dyDescent="0.25">
      <c r="A34" s="123" t="s">
        <v>758</v>
      </c>
      <c r="B34" s="123" t="s">
        <v>1446</v>
      </c>
      <c r="C34" s="135">
        <v>2</v>
      </c>
      <c r="D34" s="135">
        <v>2</v>
      </c>
      <c r="E34" s="135">
        <v>2</v>
      </c>
      <c r="F34" s="135"/>
      <c r="G34" s="135"/>
      <c r="H34" s="135"/>
      <c r="I34" s="135"/>
      <c r="J34" s="135"/>
      <c r="K34" s="135"/>
      <c r="L34" s="135"/>
      <c r="M34" s="135"/>
      <c r="N34" s="135"/>
    </row>
    <row r="35" spans="1:14" x14ac:dyDescent="0.25">
      <c r="A35" s="66"/>
      <c r="B35" s="66"/>
      <c r="C35" s="133"/>
      <c r="D35" s="133"/>
      <c r="E35" s="133"/>
      <c r="F35" s="133"/>
      <c r="G35" s="133"/>
      <c r="H35" s="133"/>
      <c r="I35" s="133"/>
      <c r="J35" s="133"/>
      <c r="K35" s="133"/>
      <c r="L35" s="133"/>
      <c r="M35" s="133"/>
      <c r="N35" s="133"/>
    </row>
    <row r="36" spans="1:14" x14ac:dyDescent="0.25">
      <c r="A36" s="126" t="s">
        <v>1447</v>
      </c>
      <c r="B36" s="125" t="s">
        <v>1448</v>
      </c>
      <c r="C36" s="147">
        <v>0.99</v>
      </c>
      <c r="D36" s="147">
        <v>0.99</v>
      </c>
      <c r="E36" s="147">
        <v>0.99</v>
      </c>
      <c r="F36" s="147"/>
      <c r="G36" s="147"/>
      <c r="H36" s="147"/>
      <c r="I36" s="147"/>
      <c r="J36" s="147"/>
      <c r="K36" s="147"/>
      <c r="L36" s="147"/>
      <c r="M36" s="147"/>
      <c r="N36" s="147"/>
    </row>
    <row r="37" spans="1:14" x14ac:dyDescent="0.25">
      <c r="A37" s="125" t="s">
        <v>1447</v>
      </c>
      <c r="B37" s="125" t="s">
        <v>1449</v>
      </c>
      <c r="C37" s="147">
        <v>0.78</v>
      </c>
      <c r="D37" s="147">
        <v>0.78</v>
      </c>
      <c r="E37" s="147">
        <v>0.77</v>
      </c>
      <c r="F37" s="147"/>
      <c r="G37" s="147"/>
      <c r="H37" s="147"/>
      <c r="I37" s="147"/>
      <c r="J37" s="147"/>
      <c r="K37" s="147"/>
      <c r="L37" s="147"/>
      <c r="M37" s="147"/>
      <c r="N37" s="147"/>
    </row>
    <row r="38" spans="1:14" x14ac:dyDescent="0.25">
      <c r="A38" s="125" t="s">
        <v>1447</v>
      </c>
      <c r="B38" s="125" t="s">
        <v>1450</v>
      </c>
      <c r="C38" s="147">
        <v>0.76</v>
      </c>
      <c r="D38" s="147">
        <v>0.78</v>
      </c>
      <c r="E38" s="147">
        <v>0.77</v>
      </c>
      <c r="F38" s="147"/>
      <c r="G38" s="147"/>
      <c r="H38" s="147"/>
      <c r="I38" s="147"/>
      <c r="J38" s="147"/>
      <c r="K38" s="147"/>
      <c r="L38" s="147"/>
      <c r="M38" s="147"/>
      <c r="N38" s="147"/>
    </row>
    <row r="39" spans="1:14" x14ac:dyDescent="0.25">
      <c r="A39" s="125" t="s">
        <v>1447</v>
      </c>
      <c r="B39" s="125" t="s">
        <v>1451</v>
      </c>
      <c r="C39" s="136">
        <v>293</v>
      </c>
      <c r="D39" s="136">
        <v>292</v>
      </c>
      <c r="E39" s="136">
        <v>300</v>
      </c>
      <c r="F39" s="136"/>
      <c r="G39" s="136"/>
      <c r="H39" s="136"/>
      <c r="I39" s="136"/>
      <c r="J39" s="136"/>
      <c r="K39" s="136"/>
      <c r="L39" s="136"/>
      <c r="M39" s="136"/>
      <c r="N39" s="136"/>
    </row>
    <row r="40" spans="1:14" x14ac:dyDescent="0.25">
      <c r="A40" s="66"/>
      <c r="B40" s="66"/>
      <c r="C40" s="133"/>
      <c r="D40" s="133"/>
      <c r="E40" s="133"/>
      <c r="F40" s="133"/>
      <c r="G40" s="133"/>
      <c r="H40" s="133"/>
      <c r="I40" s="133"/>
      <c r="J40" s="133"/>
      <c r="K40" s="133"/>
      <c r="L40" s="133"/>
      <c r="M40" s="133"/>
      <c r="N40" s="133"/>
    </row>
    <row r="41" spans="1:14" x14ac:dyDescent="0.25">
      <c r="A41" s="128" t="s">
        <v>764</v>
      </c>
      <c r="B41" s="127" t="s">
        <v>1452</v>
      </c>
      <c r="C41" s="137">
        <v>415</v>
      </c>
      <c r="D41" s="137">
        <v>428</v>
      </c>
      <c r="E41" s="137">
        <v>402</v>
      </c>
      <c r="F41" s="137"/>
      <c r="G41" s="137"/>
      <c r="H41" s="137"/>
      <c r="I41" s="137"/>
      <c r="J41" s="137"/>
      <c r="K41" s="137"/>
      <c r="L41" s="137"/>
      <c r="M41" s="137"/>
      <c r="N41" s="137"/>
    </row>
    <row r="42" spans="1:14" x14ac:dyDescent="0.25">
      <c r="A42" s="127" t="s">
        <v>764</v>
      </c>
      <c r="B42" s="127" t="s">
        <v>765</v>
      </c>
      <c r="C42" s="137" t="s">
        <v>801</v>
      </c>
      <c r="D42" s="137" t="s">
        <v>793</v>
      </c>
      <c r="E42" s="137" t="s">
        <v>793</v>
      </c>
      <c r="F42" s="137"/>
      <c r="G42" s="137"/>
      <c r="H42" s="137"/>
      <c r="I42" s="137"/>
      <c r="J42" s="137"/>
      <c r="K42" s="137"/>
      <c r="L42" s="137"/>
      <c r="M42" s="137"/>
      <c r="N42" s="137"/>
    </row>
    <row r="43" spans="1:14" x14ac:dyDescent="0.25">
      <c r="A43" s="127" t="s">
        <v>764</v>
      </c>
      <c r="B43" s="127" t="s">
        <v>767</v>
      </c>
      <c r="C43" s="137" t="s">
        <v>1341</v>
      </c>
      <c r="D43" s="137" t="s">
        <v>794</v>
      </c>
      <c r="E43" s="137" t="s">
        <v>794</v>
      </c>
      <c r="F43" s="137"/>
      <c r="G43" s="137"/>
      <c r="H43" s="137"/>
      <c r="I43" s="137"/>
      <c r="J43" s="137"/>
      <c r="K43" s="137"/>
      <c r="L43" s="137"/>
      <c r="M43" s="137"/>
      <c r="N43" s="137"/>
    </row>
    <row r="44" spans="1:14" x14ac:dyDescent="0.25">
      <c r="A44" s="66"/>
      <c r="B44" s="66"/>
      <c r="C44" s="133"/>
      <c r="D44" s="133"/>
      <c r="E44" s="133"/>
      <c r="F44" s="133"/>
      <c r="G44" s="133"/>
      <c r="H44" s="133"/>
      <c r="I44" s="133"/>
      <c r="J44" s="133"/>
      <c r="K44" s="133"/>
      <c r="L44" s="133"/>
      <c r="M44" s="133"/>
      <c r="N44" s="133"/>
    </row>
    <row r="45" spans="1:14" x14ac:dyDescent="0.25">
      <c r="A45" s="129" t="s">
        <v>768</v>
      </c>
      <c r="B45" s="18" t="s">
        <v>769</v>
      </c>
      <c r="C45" s="138" t="s">
        <v>803</v>
      </c>
      <c r="D45" s="138" t="s">
        <v>1342</v>
      </c>
      <c r="E45" s="138" t="s">
        <v>1342</v>
      </c>
      <c r="F45" s="138"/>
      <c r="G45" s="138"/>
      <c r="H45" s="138"/>
      <c r="I45" s="138"/>
      <c r="J45" s="138"/>
      <c r="K45" s="138"/>
      <c r="L45" s="138"/>
      <c r="M45" s="138"/>
      <c r="N45" s="138"/>
    </row>
    <row r="46" spans="1:14" x14ac:dyDescent="0.25">
      <c r="A46" s="18" t="s">
        <v>768</v>
      </c>
      <c r="B46" s="18" t="s">
        <v>770</v>
      </c>
      <c r="C46" s="138" t="s">
        <v>797</v>
      </c>
      <c r="D46" s="138" t="s">
        <v>797</v>
      </c>
      <c r="E46" s="138" t="s">
        <v>797</v>
      </c>
      <c r="F46" s="138"/>
      <c r="G46" s="138"/>
      <c r="H46" s="138"/>
      <c r="I46" s="138"/>
      <c r="J46" s="138"/>
      <c r="K46" s="138"/>
      <c r="L46" s="138"/>
      <c r="M46" s="138"/>
      <c r="N46" s="138"/>
    </row>
    <row r="47" spans="1:14" x14ac:dyDescent="0.25">
      <c r="A47" s="66"/>
      <c r="B47" s="66"/>
      <c r="C47" s="133"/>
      <c r="D47" s="133"/>
      <c r="E47" s="133"/>
      <c r="F47" s="133"/>
      <c r="G47" s="133"/>
      <c r="H47" s="133"/>
      <c r="I47" s="133"/>
      <c r="J47" s="133"/>
      <c r="K47" s="133"/>
      <c r="L47" s="133"/>
      <c r="M47" s="133"/>
      <c r="N47" s="133"/>
    </row>
    <row r="48" spans="1:14" x14ac:dyDescent="0.25">
      <c r="A48" s="131" t="s">
        <v>1453</v>
      </c>
      <c r="B48" s="130" t="s">
        <v>763</v>
      </c>
      <c r="C48" s="139" t="s">
        <v>1465</v>
      </c>
      <c r="D48" s="139" t="s">
        <v>1652</v>
      </c>
      <c r="E48" s="139" t="s">
        <v>1652</v>
      </c>
      <c r="F48" s="139"/>
      <c r="G48" s="139"/>
      <c r="H48" s="139"/>
      <c r="I48" s="139"/>
      <c r="J48" s="139"/>
      <c r="K48" s="139"/>
      <c r="L48" s="139"/>
      <c r="M48" s="139"/>
      <c r="N48" s="139"/>
    </row>
    <row r="49" spans="1:14" x14ac:dyDescent="0.25">
      <c r="A49" s="130" t="s">
        <v>1453</v>
      </c>
      <c r="B49" s="130" t="s">
        <v>1454</v>
      </c>
      <c r="C49" s="139" t="s">
        <v>1465</v>
      </c>
      <c r="D49" s="139" t="s">
        <v>1653</v>
      </c>
      <c r="E49" s="139" t="s">
        <v>1653</v>
      </c>
      <c r="F49" s="139"/>
      <c r="G49" s="139"/>
      <c r="H49" s="139"/>
      <c r="I49" s="139"/>
      <c r="J49" s="139"/>
      <c r="K49" s="139"/>
      <c r="L49" s="139"/>
      <c r="M49" s="139"/>
      <c r="N49" s="139"/>
    </row>
    <row r="50" spans="1:14" x14ac:dyDescent="0.25">
      <c r="A50" s="130" t="s">
        <v>1453</v>
      </c>
      <c r="B50" s="130" t="s">
        <v>83</v>
      </c>
      <c r="C50" s="139" t="s">
        <v>1466</v>
      </c>
      <c r="D50" s="139" t="s">
        <v>1654</v>
      </c>
      <c r="E50" s="139" t="s">
        <v>1654</v>
      </c>
      <c r="F50" s="139"/>
      <c r="G50" s="139"/>
      <c r="H50" s="139"/>
      <c r="I50" s="139"/>
      <c r="J50" s="139"/>
      <c r="K50" s="139"/>
      <c r="L50" s="139"/>
      <c r="M50" s="139"/>
      <c r="N50" s="139"/>
    </row>
    <row r="51" spans="1:14" x14ac:dyDescent="0.25">
      <c r="A51" s="130" t="s">
        <v>1453</v>
      </c>
      <c r="B51" s="130" t="s">
        <v>1455</v>
      </c>
      <c r="C51" s="139" t="s">
        <v>1465</v>
      </c>
      <c r="D51" s="139" t="s">
        <v>1655</v>
      </c>
      <c r="E51" s="139" t="s">
        <v>1655</v>
      </c>
      <c r="F51" s="139"/>
      <c r="G51" s="139"/>
      <c r="H51" s="139"/>
      <c r="I51" s="139"/>
      <c r="J51" s="139"/>
      <c r="K51" s="139"/>
      <c r="L51" s="139"/>
      <c r="M51" s="139"/>
      <c r="N51" s="139"/>
    </row>
    <row r="52" spans="1:14" s="36" customFormat="1" ht="409.5" x14ac:dyDescent="0.25">
      <c r="A52" s="148" t="s">
        <v>1453</v>
      </c>
      <c r="B52" s="148" t="s">
        <v>1456</v>
      </c>
      <c r="C52" s="182" t="s">
        <v>1467</v>
      </c>
      <c r="D52" s="182" t="s">
        <v>1656</v>
      </c>
      <c r="E52" s="182" t="s">
        <v>1849</v>
      </c>
      <c r="F52" s="148"/>
      <c r="G52" s="148"/>
      <c r="H52" s="148"/>
      <c r="I52" s="148"/>
      <c r="J52" s="148"/>
      <c r="K52" s="148"/>
      <c r="L52" s="148"/>
      <c r="M52" s="148"/>
      <c r="N52" s="148"/>
    </row>
    <row r="53" spans="1:14" x14ac:dyDescent="0.25">
      <c r="A53" s="66"/>
      <c r="B53" s="66"/>
      <c r="C53" s="133"/>
      <c r="D53" s="133"/>
      <c r="E53" s="133"/>
      <c r="F53" s="133"/>
      <c r="G53" s="133"/>
      <c r="H53" s="133"/>
      <c r="I53" s="133"/>
      <c r="J53" s="133"/>
      <c r="K53" s="133"/>
      <c r="L53" s="133"/>
      <c r="M53" s="133"/>
      <c r="N53" s="133"/>
    </row>
    <row r="54" spans="1:14" x14ac:dyDescent="0.25">
      <c r="A54" s="115" t="s">
        <v>1457</v>
      </c>
      <c r="B54" s="132" t="s">
        <v>1458</v>
      </c>
      <c r="C54" s="140">
        <v>46</v>
      </c>
      <c r="D54" s="140">
        <v>46</v>
      </c>
      <c r="E54" s="140">
        <v>46</v>
      </c>
      <c r="F54" s="140"/>
      <c r="G54" s="140"/>
      <c r="H54" s="140"/>
      <c r="I54" s="140"/>
      <c r="J54" s="140"/>
      <c r="K54" s="140"/>
      <c r="L54" s="140"/>
      <c r="M54" s="140"/>
      <c r="N54" s="140"/>
    </row>
    <row r="55" spans="1:14" x14ac:dyDescent="0.25">
      <c r="A55" s="132" t="s">
        <v>1457</v>
      </c>
      <c r="B55" s="132" t="s">
        <v>1459</v>
      </c>
      <c r="C55" s="140">
        <v>46</v>
      </c>
      <c r="D55" s="140">
        <v>46</v>
      </c>
      <c r="E55" s="140">
        <v>46</v>
      </c>
      <c r="F55" s="140"/>
      <c r="G55" s="140"/>
      <c r="H55" s="140"/>
      <c r="I55" s="140"/>
      <c r="J55" s="140"/>
      <c r="K55" s="140"/>
      <c r="L55" s="140"/>
      <c r="M55" s="140"/>
      <c r="N55" s="140"/>
    </row>
    <row r="56" spans="1:14" x14ac:dyDescent="0.25">
      <c r="A56" s="132" t="s">
        <v>1457</v>
      </c>
      <c r="B56" s="132" t="s">
        <v>1460</v>
      </c>
      <c r="C56" s="140">
        <f>C54-C55</f>
        <v>0</v>
      </c>
      <c r="D56" s="140">
        <f>D54-D55</f>
        <v>0</v>
      </c>
      <c r="E56" s="140">
        <f>E54-E55</f>
        <v>0</v>
      </c>
      <c r="F56" s="140"/>
      <c r="G56" s="140"/>
      <c r="H56" s="140"/>
      <c r="I56" s="140"/>
      <c r="J56" s="140"/>
      <c r="K56" s="140"/>
      <c r="L56" s="140"/>
      <c r="M56" s="140"/>
      <c r="N56" s="140"/>
    </row>
    <row r="57" spans="1:14" x14ac:dyDescent="0.25">
      <c r="A57" s="132" t="s">
        <v>1457</v>
      </c>
      <c r="B57" s="132" t="s">
        <v>1461</v>
      </c>
      <c r="C57" s="140" t="s">
        <v>1468</v>
      </c>
      <c r="D57" s="140" t="s">
        <v>1468</v>
      </c>
      <c r="E57" s="140" t="s">
        <v>1468</v>
      </c>
      <c r="F57" s="140"/>
      <c r="G57" s="140"/>
      <c r="H57" s="140"/>
      <c r="I57" s="140"/>
      <c r="J57" s="140"/>
      <c r="K57" s="140"/>
      <c r="L57" s="140"/>
      <c r="M57" s="140"/>
      <c r="N57" s="140"/>
    </row>
  </sheetData>
  <phoneticPr fontId="8"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3A1C-9482-4CB3-99F4-CEA8D1B99977}">
  <dimension ref="A1:AB37"/>
  <sheetViews>
    <sheetView workbookViewId="0">
      <pane ySplit="3" topLeftCell="A4" activePane="bottomLeft" state="frozen"/>
      <selection pane="bottomLeft"/>
    </sheetView>
  </sheetViews>
  <sheetFormatPr defaultRowHeight="15" x14ac:dyDescent="0.25"/>
  <cols>
    <col min="1" max="1" width="26.7109375" customWidth="1"/>
    <col min="2" max="20" width="20" customWidth="1"/>
    <col min="21" max="28" width="22.85546875" customWidth="1"/>
  </cols>
  <sheetData>
    <row r="1" spans="1:28" x14ac:dyDescent="0.25">
      <c r="A1" s="46" t="s">
        <v>1492</v>
      </c>
      <c r="B1" s="46" t="s">
        <v>7</v>
      </c>
      <c r="C1" s="46" t="s">
        <v>1493</v>
      </c>
      <c r="D1" s="46" t="s">
        <v>1494</v>
      </c>
      <c r="E1" s="46" t="s">
        <v>8</v>
      </c>
      <c r="F1" s="46" t="s">
        <v>1495</v>
      </c>
      <c r="G1" s="46" t="s">
        <v>1496</v>
      </c>
      <c r="H1" s="46" t="s">
        <v>1497</v>
      </c>
      <c r="I1" s="46" t="s">
        <v>1498</v>
      </c>
      <c r="J1" s="46" t="s">
        <v>1499</v>
      </c>
      <c r="K1" s="46" t="s">
        <v>1500</v>
      </c>
      <c r="L1" s="46" t="s">
        <v>1501</v>
      </c>
      <c r="M1" s="46" t="s">
        <v>1502</v>
      </c>
      <c r="N1" s="46" t="s">
        <v>1503</v>
      </c>
      <c r="O1" s="46" t="s">
        <v>1504</v>
      </c>
      <c r="P1" s="46" t="s">
        <v>1505</v>
      </c>
      <c r="Q1" s="46" t="s">
        <v>1506</v>
      </c>
      <c r="R1" s="46" t="s">
        <v>1507</v>
      </c>
      <c r="S1" s="46" t="s">
        <v>1508</v>
      </c>
      <c r="T1" s="46" t="s">
        <v>1509</v>
      </c>
      <c r="U1" s="46" t="s">
        <v>1514</v>
      </c>
      <c r="V1" s="46" t="s">
        <v>1515</v>
      </c>
      <c r="W1" s="46" t="s">
        <v>1516</v>
      </c>
      <c r="X1" s="46" t="s">
        <v>1517</v>
      </c>
      <c r="Y1" s="46" t="s">
        <v>1518</v>
      </c>
      <c r="Z1" s="46" t="s">
        <v>1519</v>
      </c>
      <c r="AA1" s="46" t="s">
        <v>1520</v>
      </c>
      <c r="AB1" s="46" t="s">
        <v>816</v>
      </c>
    </row>
    <row r="2" spans="1:28" x14ac:dyDescent="0.25">
      <c r="A2" s="60" t="s">
        <v>1510</v>
      </c>
      <c r="B2" s="60" t="s">
        <v>1511</v>
      </c>
      <c r="C2" s="60" t="s">
        <v>563</v>
      </c>
      <c r="D2" s="60" t="s">
        <v>563</v>
      </c>
      <c r="E2" s="60" t="s">
        <v>1511</v>
      </c>
      <c r="F2" s="60" t="s">
        <v>563</v>
      </c>
      <c r="G2" s="60" t="s">
        <v>563</v>
      </c>
      <c r="H2" s="60" t="s">
        <v>564</v>
      </c>
      <c r="I2" s="60" t="s">
        <v>564</v>
      </c>
      <c r="J2" s="60" t="s">
        <v>559</v>
      </c>
      <c r="K2" s="60" t="s">
        <v>559</v>
      </c>
      <c r="L2" s="60" t="s">
        <v>560</v>
      </c>
      <c r="M2" s="60" t="s">
        <v>560</v>
      </c>
      <c r="N2" s="60" t="s">
        <v>561</v>
      </c>
      <c r="O2" s="60" t="s">
        <v>561</v>
      </c>
      <c r="P2" s="60" t="s">
        <v>1512</v>
      </c>
      <c r="Q2" s="60" t="s">
        <v>577</v>
      </c>
      <c r="R2" s="60" t="s">
        <v>577</v>
      </c>
      <c r="S2" s="60" t="s">
        <v>577</v>
      </c>
      <c r="T2" s="60" t="s">
        <v>577</v>
      </c>
      <c r="U2" s="60" t="s">
        <v>1521</v>
      </c>
      <c r="V2" s="60" t="s">
        <v>1522</v>
      </c>
      <c r="W2" s="60" t="s">
        <v>1523</v>
      </c>
      <c r="X2" s="60" t="s">
        <v>1523</v>
      </c>
      <c r="Y2" s="60" t="s">
        <v>1524</v>
      </c>
      <c r="Z2" s="60" t="s">
        <v>1525</v>
      </c>
      <c r="AA2" s="60" t="s">
        <v>1526</v>
      </c>
      <c r="AB2" s="60" t="s">
        <v>1527</v>
      </c>
    </row>
    <row r="3" spans="1:28" x14ac:dyDescent="0.25">
      <c r="A3" s="60" t="s">
        <v>1513</v>
      </c>
      <c r="B3" s="60" t="s">
        <v>1513</v>
      </c>
      <c r="C3" s="60" t="s">
        <v>1513</v>
      </c>
      <c r="D3" s="60" t="s">
        <v>1513</v>
      </c>
      <c r="E3" s="60" t="s">
        <v>1513</v>
      </c>
      <c r="F3" s="60" t="s">
        <v>1513</v>
      </c>
      <c r="G3" s="60" t="s">
        <v>1513</v>
      </c>
      <c r="H3" s="60" t="s">
        <v>1513</v>
      </c>
      <c r="I3" s="60" t="s">
        <v>1513</v>
      </c>
      <c r="J3" s="60" t="s">
        <v>1513</v>
      </c>
      <c r="K3" s="60" t="s">
        <v>1513</v>
      </c>
      <c r="L3" s="60" t="s">
        <v>1513</v>
      </c>
      <c r="M3" s="60" t="s">
        <v>1513</v>
      </c>
      <c r="N3" s="60" t="s">
        <v>1513</v>
      </c>
      <c r="O3" s="60" t="s">
        <v>1513</v>
      </c>
      <c r="P3" s="60" t="s">
        <v>1513</v>
      </c>
      <c r="Q3" s="60" t="s">
        <v>1513</v>
      </c>
      <c r="R3" s="60" t="s">
        <v>1513</v>
      </c>
      <c r="S3" s="60" t="s">
        <v>1513</v>
      </c>
      <c r="T3" s="60" t="s">
        <v>1513</v>
      </c>
      <c r="U3" s="60" t="s">
        <v>1513</v>
      </c>
      <c r="V3" s="60" t="s">
        <v>1513</v>
      </c>
      <c r="W3" s="60" t="s">
        <v>1513</v>
      </c>
      <c r="X3" s="60" t="s">
        <v>1513</v>
      </c>
      <c r="Y3" s="60" t="s">
        <v>1513</v>
      </c>
      <c r="Z3" s="60" t="s">
        <v>1513</v>
      </c>
      <c r="AA3" s="60" t="s">
        <v>1513</v>
      </c>
      <c r="AB3" s="60" t="s">
        <v>1513</v>
      </c>
    </row>
    <row r="4" spans="1:28" x14ac:dyDescent="0.25">
      <c r="A4" s="154" t="s">
        <v>1528</v>
      </c>
      <c r="B4" s="155" t="s">
        <v>1529</v>
      </c>
      <c r="C4" s="155">
        <v>110</v>
      </c>
      <c r="D4" s="155">
        <v>130</v>
      </c>
      <c r="E4" s="155" t="s">
        <v>1530</v>
      </c>
      <c r="F4" s="155">
        <v>130</v>
      </c>
      <c r="G4" s="155">
        <v>150</v>
      </c>
      <c r="H4" s="156">
        <v>0</v>
      </c>
      <c r="I4" s="156">
        <v>0.03</v>
      </c>
      <c r="J4" s="155">
        <v>3</v>
      </c>
      <c r="K4" s="155">
        <v>8</v>
      </c>
      <c r="L4" s="155">
        <v>0</v>
      </c>
      <c r="M4" s="155">
        <v>500</v>
      </c>
      <c r="N4" s="155">
        <v>30</v>
      </c>
      <c r="O4" s="155">
        <v>60</v>
      </c>
      <c r="P4" s="155" t="s">
        <v>1531</v>
      </c>
      <c r="Q4" s="155">
        <v>45</v>
      </c>
      <c r="R4" s="155">
        <v>55</v>
      </c>
      <c r="S4" s="155">
        <v>30</v>
      </c>
      <c r="T4" s="155">
        <v>40</v>
      </c>
      <c r="U4" s="155">
        <v>0</v>
      </c>
      <c r="V4" s="155">
        <v>0</v>
      </c>
      <c r="W4" s="155">
        <v>0</v>
      </c>
      <c r="X4" s="155">
        <v>0</v>
      </c>
      <c r="Y4" s="155" t="s">
        <v>1532</v>
      </c>
      <c r="Z4" s="155" t="s">
        <v>1533</v>
      </c>
      <c r="AA4" s="155" t="s">
        <v>1534</v>
      </c>
      <c r="AB4" s="155" t="s">
        <v>1535</v>
      </c>
    </row>
    <row r="5" spans="1:28" x14ac:dyDescent="0.25">
      <c r="A5" s="30" t="s">
        <v>1536</v>
      </c>
      <c r="B5" s="3" t="s">
        <v>1537</v>
      </c>
      <c r="C5" s="3">
        <v>120</v>
      </c>
      <c r="D5" s="3">
        <v>140</v>
      </c>
      <c r="E5" s="3" t="s">
        <v>1538</v>
      </c>
      <c r="F5" s="3">
        <v>150</v>
      </c>
      <c r="G5" s="3">
        <v>170</v>
      </c>
      <c r="H5" s="157">
        <v>0.03</v>
      </c>
      <c r="I5" s="157">
        <v>0.05</v>
      </c>
      <c r="J5" s="3">
        <v>8</v>
      </c>
      <c r="K5" s="3">
        <v>15</v>
      </c>
      <c r="L5" s="3">
        <v>500</v>
      </c>
      <c r="M5" s="3">
        <v>1500</v>
      </c>
      <c r="N5" s="3">
        <v>60</v>
      </c>
      <c r="O5" s="3">
        <v>120</v>
      </c>
      <c r="P5" s="3" t="s">
        <v>1539</v>
      </c>
      <c r="Q5" s="3">
        <v>40</v>
      </c>
      <c r="R5" s="3">
        <v>45</v>
      </c>
      <c r="S5" s="3">
        <v>25</v>
      </c>
      <c r="T5" s="3">
        <v>35</v>
      </c>
      <c r="U5" s="157">
        <v>-0.05</v>
      </c>
      <c r="V5" s="3">
        <v>0</v>
      </c>
      <c r="W5" s="157">
        <v>0.05</v>
      </c>
      <c r="X5" s="157">
        <v>0.1</v>
      </c>
      <c r="Y5" s="3" t="s">
        <v>1540</v>
      </c>
      <c r="Z5" s="3" t="s">
        <v>1541</v>
      </c>
      <c r="AA5" s="3" t="s">
        <v>1542</v>
      </c>
      <c r="AB5" s="3" t="s">
        <v>1543</v>
      </c>
    </row>
    <row r="6" spans="1:28" x14ac:dyDescent="0.25">
      <c r="A6" s="154" t="s">
        <v>1544</v>
      </c>
      <c r="B6" s="155" t="s">
        <v>1545</v>
      </c>
      <c r="C6" s="155">
        <v>140</v>
      </c>
      <c r="D6" s="155">
        <v>160</v>
      </c>
      <c r="E6" s="155" t="s">
        <v>1546</v>
      </c>
      <c r="F6" s="155">
        <v>170</v>
      </c>
      <c r="G6" s="155">
        <v>190</v>
      </c>
      <c r="H6" s="156">
        <v>0.05</v>
      </c>
      <c r="I6" s="156">
        <v>0.08</v>
      </c>
      <c r="J6" s="155">
        <v>15</v>
      </c>
      <c r="K6" s="155">
        <v>26</v>
      </c>
      <c r="L6" s="155">
        <v>1500</v>
      </c>
      <c r="M6" s="155">
        <v>4000</v>
      </c>
      <c r="N6" s="155">
        <v>120</v>
      </c>
      <c r="O6" s="155">
        <v>300</v>
      </c>
      <c r="P6" s="155" t="s">
        <v>1547</v>
      </c>
      <c r="Q6" s="155">
        <v>35</v>
      </c>
      <c r="R6" s="155">
        <v>35</v>
      </c>
      <c r="S6" s="155">
        <v>20</v>
      </c>
      <c r="T6" s="155">
        <v>20</v>
      </c>
      <c r="U6" s="156">
        <v>-0.1</v>
      </c>
      <c r="V6" s="155" t="s">
        <v>1548</v>
      </c>
      <c r="W6" s="156">
        <v>0.1</v>
      </c>
      <c r="X6" s="156">
        <v>0.3</v>
      </c>
      <c r="Y6" s="155" t="s">
        <v>1549</v>
      </c>
      <c r="Z6" s="155" t="s">
        <v>1541</v>
      </c>
      <c r="AA6" s="155" t="s">
        <v>1550</v>
      </c>
      <c r="AB6" s="155" t="s">
        <v>1551</v>
      </c>
    </row>
    <row r="7" spans="1:28" x14ac:dyDescent="0.25">
      <c r="A7" s="30" t="s">
        <v>1552</v>
      </c>
      <c r="B7" s="3" t="s">
        <v>1538</v>
      </c>
      <c r="C7" s="3">
        <v>150</v>
      </c>
      <c r="D7" s="3">
        <v>170</v>
      </c>
      <c r="E7" s="3" t="s">
        <v>1553</v>
      </c>
      <c r="F7" s="3">
        <v>180</v>
      </c>
      <c r="G7" s="3">
        <v>200</v>
      </c>
      <c r="H7" s="157">
        <v>0.08</v>
      </c>
      <c r="I7" s="157">
        <v>0.15</v>
      </c>
      <c r="J7" s="3">
        <v>26</v>
      </c>
      <c r="K7" s="3">
        <v>50</v>
      </c>
      <c r="L7" s="3">
        <v>4000</v>
      </c>
      <c r="M7" s="3">
        <v>10000</v>
      </c>
      <c r="N7" s="3">
        <v>300</v>
      </c>
      <c r="O7" s="3">
        <v>720</v>
      </c>
      <c r="P7" s="3" t="s">
        <v>1554</v>
      </c>
      <c r="Q7" s="3">
        <v>30</v>
      </c>
      <c r="R7" s="3">
        <v>30</v>
      </c>
      <c r="S7" s="3">
        <v>15</v>
      </c>
      <c r="T7" s="3">
        <v>15</v>
      </c>
      <c r="U7" s="157">
        <v>-0.15</v>
      </c>
      <c r="V7" s="3" t="s">
        <v>1555</v>
      </c>
      <c r="W7" s="157">
        <v>0.3</v>
      </c>
      <c r="X7" s="157">
        <v>0.5</v>
      </c>
      <c r="Y7" s="3" t="s">
        <v>1556</v>
      </c>
      <c r="Z7" s="3" t="s">
        <v>1557</v>
      </c>
      <c r="AA7" s="3" t="s">
        <v>1558</v>
      </c>
      <c r="AB7" s="3" t="s">
        <v>1559</v>
      </c>
    </row>
    <row r="9" spans="1:28" x14ac:dyDescent="0.25">
      <c r="A9" s="158" t="s">
        <v>1560</v>
      </c>
    </row>
    <row r="10" spans="1:28" x14ac:dyDescent="0.25">
      <c r="A10" s="159" t="s">
        <v>1561</v>
      </c>
      <c r="B10" s="159" t="s">
        <v>1562</v>
      </c>
      <c r="C10" s="159" t="s">
        <v>1563</v>
      </c>
      <c r="D10" s="159" t="s">
        <v>1564</v>
      </c>
      <c r="E10" s="159" t="s">
        <v>1565</v>
      </c>
      <c r="F10" s="159" t="s">
        <v>1566</v>
      </c>
      <c r="G10" s="159" t="s">
        <v>204</v>
      </c>
    </row>
    <row r="11" spans="1:28" x14ac:dyDescent="0.25">
      <c r="A11" s="3" t="s">
        <v>1567</v>
      </c>
      <c r="B11" s="160">
        <v>49.9</v>
      </c>
      <c r="C11" s="160">
        <v>19.8</v>
      </c>
      <c r="D11" s="160">
        <v>36.200000000000003</v>
      </c>
      <c r="E11" s="160">
        <v>18.100000000000001</v>
      </c>
      <c r="F11" s="160">
        <v>1906</v>
      </c>
      <c r="G11" t="s">
        <v>1568</v>
      </c>
    </row>
    <row r="12" spans="1:28" x14ac:dyDescent="0.25">
      <c r="A12" s="3" t="s">
        <v>1569</v>
      </c>
      <c r="B12" s="160">
        <v>54.4</v>
      </c>
      <c r="C12" s="160">
        <v>19.600000000000001</v>
      </c>
      <c r="D12" s="160">
        <v>44.8</v>
      </c>
      <c r="E12" s="160">
        <v>27</v>
      </c>
      <c r="F12" s="160">
        <v>1906</v>
      </c>
      <c r="G12" t="s">
        <v>1568</v>
      </c>
    </row>
    <row r="14" spans="1:28" x14ac:dyDescent="0.25">
      <c r="A14" s="158" t="s">
        <v>1570</v>
      </c>
    </row>
    <row r="15" spans="1:28" x14ac:dyDescent="0.25">
      <c r="A15" s="161" t="s">
        <v>1571</v>
      </c>
    </row>
    <row r="17" spans="1:3" x14ac:dyDescent="0.25">
      <c r="A17" s="158" t="s">
        <v>1572</v>
      </c>
    </row>
    <row r="18" spans="1:3" x14ac:dyDescent="0.25">
      <c r="A18" s="159" t="s">
        <v>1573</v>
      </c>
      <c r="B18" s="159" t="s">
        <v>1574</v>
      </c>
      <c r="C18" s="159" t="s">
        <v>1575</v>
      </c>
    </row>
    <row r="19" spans="1:3" x14ac:dyDescent="0.25">
      <c r="A19" s="3" t="s">
        <v>1576</v>
      </c>
      <c r="B19" s="3">
        <v>117</v>
      </c>
      <c r="C19" t="s">
        <v>1577</v>
      </c>
    </row>
    <row r="20" spans="1:3" x14ac:dyDescent="0.25">
      <c r="A20" s="3" t="s">
        <v>1578</v>
      </c>
      <c r="B20" s="3">
        <v>137</v>
      </c>
      <c r="C20" t="s">
        <v>1579</v>
      </c>
    </row>
    <row r="21" spans="1:3" x14ac:dyDescent="0.25">
      <c r="A21" s="3" t="s">
        <v>1580</v>
      </c>
      <c r="B21" s="3">
        <v>157</v>
      </c>
      <c r="C21" t="s">
        <v>1581</v>
      </c>
    </row>
    <row r="23" spans="1:3" x14ac:dyDescent="0.25">
      <c r="A23" s="47" t="s">
        <v>1582</v>
      </c>
    </row>
    <row r="24" spans="1:3" x14ac:dyDescent="0.25">
      <c r="A24" s="3" t="s">
        <v>1583</v>
      </c>
    </row>
    <row r="25" spans="1:3" x14ac:dyDescent="0.25">
      <c r="A25" s="3" t="s">
        <v>1584</v>
      </c>
    </row>
    <row r="26" spans="1:3" x14ac:dyDescent="0.25">
      <c r="A26" s="3" t="s">
        <v>1585</v>
      </c>
    </row>
    <row r="27" spans="1:3" x14ac:dyDescent="0.25">
      <c r="A27" s="3" t="s">
        <v>1586</v>
      </c>
    </row>
    <row r="28" spans="1:3" x14ac:dyDescent="0.25">
      <c r="A28" s="3" t="s">
        <v>1587</v>
      </c>
    </row>
    <row r="30" spans="1:3" x14ac:dyDescent="0.25">
      <c r="A30" s="47" t="s">
        <v>1624</v>
      </c>
    </row>
    <row r="31" spans="1:3" x14ac:dyDescent="0.25">
      <c r="A31" s="159" t="s">
        <v>1625</v>
      </c>
      <c r="B31" s="159" t="s">
        <v>1626</v>
      </c>
      <c r="C31" s="159" t="s">
        <v>816</v>
      </c>
    </row>
    <row r="32" spans="1:3" x14ac:dyDescent="0.25">
      <c r="A32" t="s">
        <v>1627</v>
      </c>
      <c r="B32" s="172">
        <v>52</v>
      </c>
      <c r="C32" t="s">
        <v>1628</v>
      </c>
    </row>
    <row r="33" spans="1:3" x14ac:dyDescent="0.25">
      <c r="A33" t="s">
        <v>1629</v>
      </c>
      <c r="B33" s="172">
        <v>30</v>
      </c>
      <c r="C33" t="s">
        <v>1630</v>
      </c>
    </row>
    <row r="34" spans="1:3" x14ac:dyDescent="0.25">
      <c r="A34" t="s">
        <v>1631</v>
      </c>
      <c r="B34" s="3">
        <f>220-B32</f>
        <v>168</v>
      </c>
      <c r="C34" t="s">
        <v>1632</v>
      </c>
    </row>
    <row r="35" spans="1:3" x14ac:dyDescent="0.25">
      <c r="A35" t="s">
        <v>1633</v>
      </c>
      <c r="B35" s="3">
        <f>220-B33</f>
        <v>190</v>
      </c>
      <c r="C35" t="s">
        <v>1632</v>
      </c>
    </row>
    <row r="36" spans="1:3" x14ac:dyDescent="0.25">
      <c r="A36" t="s">
        <v>1634</v>
      </c>
      <c r="B36" s="173">
        <f>B34/B35</f>
        <v>0.88421052631578945</v>
      </c>
      <c r="C36" t="s">
        <v>1635</v>
      </c>
    </row>
    <row r="37" spans="1:3" x14ac:dyDescent="0.25">
      <c r="A37" t="s">
        <v>1636</v>
      </c>
      <c r="C37" t="s">
        <v>1637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DFD2B-4E1A-4533-9A5B-154536BF8893}">
  <dimension ref="A1:Z51"/>
  <sheetViews>
    <sheetView zoomScale="80" zoomScaleNormal="80" workbookViewId="0">
      <pane ySplit="4" topLeftCell="A5" activePane="bottomLeft" state="frozen"/>
      <selection pane="bottomLeft" activeCell="D16" sqref="D16"/>
    </sheetView>
  </sheetViews>
  <sheetFormatPr defaultRowHeight="15" x14ac:dyDescent="0.25"/>
  <cols>
    <col min="1" max="1" width="24.7109375" customWidth="1"/>
    <col min="2" max="2" width="38.140625" customWidth="1"/>
    <col min="3" max="7" width="21" customWidth="1"/>
    <col min="8" max="8" width="59" customWidth="1"/>
    <col min="9" max="11" width="21" customWidth="1"/>
    <col min="12" max="15" width="22.85546875" customWidth="1"/>
    <col min="16" max="20" width="21" customWidth="1"/>
    <col min="21" max="25" width="22.85546875" customWidth="1"/>
    <col min="26" max="26" width="61" customWidth="1"/>
  </cols>
  <sheetData>
    <row r="1" spans="1:26" ht="17.25" x14ac:dyDescent="0.3">
      <c r="A1" s="162" t="s">
        <v>1588</v>
      </c>
    </row>
    <row r="2" spans="1:26" x14ac:dyDescent="0.25">
      <c r="A2" s="163" t="s">
        <v>1589</v>
      </c>
    </row>
    <row r="4" spans="1:26" x14ac:dyDescent="0.25">
      <c r="A4" s="47" t="s">
        <v>460</v>
      </c>
      <c r="B4" s="47" t="s">
        <v>1369</v>
      </c>
      <c r="C4" s="47" t="s">
        <v>1590</v>
      </c>
      <c r="D4" s="47" t="s">
        <v>1591</v>
      </c>
      <c r="E4" s="47" t="s">
        <v>1592</v>
      </c>
      <c r="F4" s="47" t="s">
        <v>1593</v>
      </c>
      <c r="G4" s="47" t="s">
        <v>1594</v>
      </c>
      <c r="H4" s="47" t="s">
        <v>1595</v>
      </c>
      <c r="I4" s="47" t="s">
        <v>1596</v>
      </c>
      <c r="J4" s="47" t="s">
        <v>1597</v>
      </c>
      <c r="K4" s="47" t="s">
        <v>1598</v>
      </c>
      <c r="L4" s="47" t="s">
        <v>1599</v>
      </c>
      <c r="M4" s="47" t="s">
        <v>811</v>
      </c>
      <c r="N4" s="47" t="s">
        <v>1600</v>
      </c>
      <c r="O4" s="47" t="s">
        <v>1601</v>
      </c>
      <c r="P4" s="47" t="s">
        <v>1602</v>
      </c>
      <c r="Q4" s="47" t="s">
        <v>1603</v>
      </c>
      <c r="R4" s="47" t="s">
        <v>1604</v>
      </c>
      <c r="S4" s="47" t="s">
        <v>1404</v>
      </c>
      <c r="T4" s="47" t="s">
        <v>1605</v>
      </c>
      <c r="U4" s="174" t="s">
        <v>1638</v>
      </c>
      <c r="V4" s="174" t="s">
        <v>1639</v>
      </c>
      <c r="W4" s="174" t="s">
        <v>1640</v>
      </c>
      <c r="X4" s="174" t="s">
        <v>1641</v>
      </c>
      <c r="Y4" s="174" t="s">
        <v>1642</v>
      </c>
      <c r="Z4" s="174" t="s">
        <v>1643</v>
      </c>
    </row>
    <row r="5" spans="1:26" x14ac:dyDescent="0.25">
      <c r="A5">
        <f>HikeWorldModel!A4</f>
        <v>1</v>
      </c>
      <c r="B5" t="str">
        <f>HikeWorldModel!C4</f>
        <v>Skinsuit to Pleasant's Peak</v>
      </c>
      <c r="C5" t="str">
        <f>IF(HikeWorldModel!Q4&lt;=130,IF(HikeWorldModel!N4&lt;=60,"FOUNDATION",IF(HikeWorldModel!N4&lt;=120,"MODERATE_LOAD","HIGH_LOAD")),IF(HikeWorldModel!Q4&lt;=140,IF(HikeWorldModel!N4&lt;=120,"MODERATE_LOAD","HIGH_LOAD"),IF(HikeWorldModel!Q4&lt;=160,"HIGH_LOAD","EXTREME_LOAD")))</f>
        <v>HIGH_LOAD</v>
      </c>
      <c r="D5" s="3">
        <f>HikeWorldModel!Q4</f>
        <v>131</v>
      </c>
      <c r="E5" s="3" t="str">
        <f>INDEX(Population!B$4:B$7,MATCH(C5,Population!A$4:A$7,0))</f>
        <v>140–160</v>
      </c>
      <c r="F5" s="3" t="str">
        <f>IF(D5&lt;INDEX(Population!C$4:C$7,MATCH(C5,Population!A$4:A$7,0)),"BELOW",IF(D5&gt;INDEX(Population!D$4:D$7,MATCH(C5,Population!A$4:A$7,0)),"ABOVE","WITHIN"))</f>
        <v>BELOW</v>
      </c>
      <c r="G5" s="3">
        <f>HikeWorldModel!R4</f>
        <v>164</v>
      </c>
      <c r="H5" s="3" t="str">
        <f>INDEX(Population!E$4:E$7,MATCH(C5,Population!A$4:A$7,0))</f>
        <v>170–190</v>
      </c>
      <c r="I5" s="3" t="str">
        <f>IF(G5&lt;INDEX(Population!F$4:F$7,MATCH(C5,Population!A$4:A$7,0)),"BELOW",IF(G5&gt;INDEX(Population!G$4:G$7,MATCH(C5,Population!A$4:A$7,0)),"ABOVE","WITHIN"))</f>
        <v>BELOW</v>
      </c>
      <c r="J5" s="157">
        <f>HikeWorldModel!S4</f>
        <v>-1.24E-2</v>
      </c>
      <c r="K5" s="3" t="str">
        <f>INDEX(Population!H$4:H$7,MATCH(C5,Population!A$4:A$7,0))&amp;" to "&amp;INDEX(Population!I$4:I$7,MATCH(C5,Population!A$4:A$7,0))</f>
        <v>0.05 to 0.08</v>
      </c>
      <c r="L5" s="3" t="str">
        <f>IF(J5&lt;0,"NEGATIVE (improving)",IF(J5&lt;INDEX(Population!H$4:H$7,MATCH(C5,Population!A$4:A$7,0)),"BELOW POP RANGE",IF(J5&gt;INDEX(Population!I$4:I$7,MATCH(C5,Population!A$4:A$7,0)),"ABOVE POP RANGE","WITHIN")))</f>
        <v>NEGATIVE (improving)</v>
      </c>
      <c r="M5" s="164">
        <f>HikeWorldModel!K4</f>
        <v>11.65</v>
      </c>
      <c r="N5" s="3" t="str">
        <f>INDEX(Population!J$4:J$7,MATCH(C5,Population!A$4:A$7,0))&amp;"–"&amp;INDEX(Population!K$4:K$7,MATCH(C5,Population!A$4:A$7,0))&amp;" mi"</f>
        <v>15–26 mi</v>
      </c>
      <c r="O5" s="3" t="str">
        <f>IF(M5&lt;INDEX(Population!J$4:J$7,MATCH(C5,Population!A$4:A$7,0)),"BELOW",IF(M5&gt;INDEX(Population!K$4:K$7,MATCH(C5,Population!A$4:A$7,0)),"ABOVE","WITHIN"))</f>
        <v>BELOW</v>
      </c>
      <c r="P5" s="3">
        <f>HikeWorldModel!L4</f>
        <v>3911</v>
      </c>
      <c r="Q5" s="3" t="str">
        <f>INDEX(Population!L$4:L$7,MATCH(C5,Population!A$4:A$7,0))&amp;"–"&amp;INDEX(Population!M$4:M$7,MATCH(C5,Population!A$4:A$7,0))&amp;" ft"</f>
        <v>1500–4000 ft</v>
      </c>
      <c r="R5" s="3" t="str">
        <f>IF(P5&lt;INDEX(Population!L$4:L$7,MATCH(C5,Population!A$4:A$7,0)),"BELOW",IF(P5&gt;INDEX(Population!M$4:M$7,MATCH(C5,Population!A$4:A$7,0)),"ABOVE","WITHIN"))</f>
        <v>WITHIN</v>
      </c>
      <c r="S5" s="3">
        <f>HikeWorldModel!N4</f>
        <v>318</v>
      </c>
      <c r="T5" s="3" t="str">
        <f>IF(S5&lt;INDEX(Population!N$4:N$7,MATCH(C5,Population!A$4:A$7,0)),"BELOW",IF(S5&gt;INDEX(Population!O$4:O$7,MATCH(C5,Population!A$4:A$7,0)),"ABOVE","WITHIN"))</f>
        <v>ABOVE</v>
      </c>
      <c r="U5" s="3" t="str">
        <f>ROUND(INDEX(Population!C$4:C$7,MATCH(C5,Population!A$4:A$7,0))*Population!$B$36,0)&amp;"–"&amp;ROUND(INDEX(Population!D$4:D$7,MATCH(C5,Population!A$4:A$7,0))*Population!$B$36,0)</f>
        <v>124–141</v>
      </c>
      <c r="V5" s="3" t="str">
        <f>IF(D5&lt;ROUND(INDEX(Population!C$4:C$7,MATCH(C5,Population!A$4:A$7,0))*Population!$B$36,0),"BELOW",IF(D5&gt;ROUND(INDEX(Population!D$4:D$7,MATCH(C5,Population!A$4:A$7,0))*Population!$B$36,0),"ABOVE","WITHIN"))</f>
        <v>WITHIN</v>
      </c>
      <c r="W5" s="3" t="str">
        <f>ROUND(INDEX(Population!F$4:F$7,MATCH(C5,Population!A$4:A$7,0))*Population!$B$36,0)&amp;"–"&amp;ROUND(INDEX(Population!G$4:G$7,MATCH(C5,Population!A$4:A$7,0))*Population!$B$36,0)</f>
        <v>150–168</v>
      </c>
      <c r="X5" s="3" t="str">
        <f>IF(G5&lt;ROUND(INDEX(Population!F$4:F$7,MATCH(C5,Population!A$4:A$7,0))*Population!$B$36,0),"BELOW",IF(G5&gt;ROUND(INDEX(Population!G$4:G$7,MATCH(C5,Population!A$4:A$7,0))*Population!$B$36,0),"ABOVE","WITHIN"))</f>
        <v>WITHIN</v>
      </c>
      <c r="Y5" s="175">
        <f>Population!$B$36</f>
        <v>0.88421052631578945</v>
      </c>
      <c r="Z5" s="166" t="str">
        <f>IF(AND(V5="WITHIN",X5="WITHIN"),"Age-adjusted: both HR metrics within expected range for age 52",IF(AND(V5="BELOW",X5="BELOW"),"Age-adjusted: STILL below range — cardiac efficiency exceeds age-adjusted expectations",IF(V5="BELOW","Age-adjusted: avg HR still below, max HR "&amp;X5,"Age-adjusted: avg HR "&amp;V5&amp;", max HR "&amp;X5)))</f>
        <v>Age-adjusted: both HR metrics within expected range for age 52</v>
      </c>
    </row>
    <row r="6" spans="1:26" x14ac:dyDescent="0.25">
      <c r="A6">
        <f>HikeWorldModel!A5</f>
        <v>2</v>
      </c>
      <c r="B6" t="str">
        <f>HikeWorldModel!C5</f>
        <v>Ski Hut to Mount Baldy, out and back</v>
      </c>
      <c r="C6" t="str">
        <f>IF(HikeWorldModel!Q5&lt;=130,IF(HikeWorldModel!N5&lt;=60,"FOUNDATION",IF(HikeWorldModel!N5&lt;=120,"MODERATE_LOAD","HIGH_LOAD")),IF(HikeWorldModel!Q5&lt;=140,IF(HikeWorldModel!N5&lt;=120,"MODERATE_LOAD","HIGH_LOAD"),IF(HikeWorldModel!Q5&lt;=160,"HIGH_LOAD","EXTREME_LOAD")))</f>
        <v>HIGH_LOAD</v>
      </c>
      <c r="D6" s="3">
        <f>HikeWorldModel!Q5</f>
        <v>132</v>
      </c>
      <c r="E6" s="3" t="str">
        <f>INDEX(Population!B$4:B$7,MATCH(C6,Population!A$4:A$7,0))</f>
        <v>140–160</v>
      </c>
      <c r="F6" s="3" t="str">
        <f>IF(D6&lt;INDEX(Population!C$4:C$7,MATCH(C6,Population!A$4:A$7,0)),"BELOW",IF(D6&gt;INDEX(Population!D$4:D$7,MATCH(C6,Population!A$4:A$7,0)),"ABOVE","WITHIN"))</f>
        <v>BELOW</v>
      </c>
      <c r="G6" s="3">
        <f>HikeWorldModel!R5</f>
        <v>161</v>
      </c>
      <c r="H6" s="3" t="str">
        <f>INDEX(Population!E$4:E$7,MATCH(C6,Population!A$4:A$7,0))</f>
        <v>170–190</v>
      </c>
      <c r="I6" s="3" t="str">
        <f>IF(G6&lt;INDEX(Population!F$4:F$7,MATCH(C6,Population!A$4:A$7,0)),"BELOW",IF(G6&gt;INDEX(Population!G$4:G$7,MATCH(C6,Population!A$4:A$7,0)),"ABOVE","WITHIN"))</f>
        <v>BELOW</v>
      </c>
      <c r="J6" s="157">
        <f>HikeWorldModel!S5</f>
        <v>-1.9699999999999999E-2</v>
      </c>
      <c r="K6" s="3" t="str">
        <f>INDEX(Population!H$4:H$7,MATCH(C6,Population!A$4:A$7,0))&amp;" to "&amp;INDEX(Population!I$4:I$7,MATCH(C6,Population!A$4:A$7,0))</f>
        <v>0.05 to 0.08</v>
      </c>
      <c r="L6" s="3" t="str">
        <f>IF(J6&lt;0,"NEGATIVE (improving)",IF(J6&lt;INDEX(Population!H$4:H$7,MATCH(C6,Population!A$4:A$7,0)),"BELOW POP RANGE",IF(J6&gt;INDEX(Population!I$4:I$7,MATCH(C6,Population!A$4:A$7,0)),"ABOVE POP RANGE","WITHIN")))</f>
        <v>NEGATIVE (improving)</v>
      </c>
      <c r="M6" s="164">
        <f>HikeWorldModel!K5</f>
        <v>8.6199999999999992</v>
      </c>
      <c r="N6" s="3" t="str">
        <f>INDEX(Population!J$4:J$7,MATCH(C6,Population!A$4:A$7,0))&amp;"–"&amp;INDEX(Population!K$4:K$7,MATCH(C6,Population!A$4:A$7,0))&amp;" mi"</f>
        <v>15–26 mi</v>
      </c>
      <c r="O6" s="3" t="str">
        <f>IF(M6&lt;INDEX(Population!J$4:J$7,MATCH(C6,Population!A$4:A$7,0)),"BELOW",IF(M6&gt;INDEX(Population!K$4:K$7,MATCH(C6,Population!A$4:A$7,0)),"ABOVE","WITHIN"))</f>
        <v>BELOW</v>
      </c>
      <c r="P6" s="3">
        <f>HikeWorldModel!L5</f>
        <v>4058</v>
      </c>
      <c r="Q6" s="3" t="str">
        <f>INDEX(Population!L$4:L$7,MATCH(C6,Population!A$4:A$7,0))&amp;"–"&amp;INDEX(Population!M$4:M$7,MATCH(C6,Population!A$4:A$7,0))&amp;" ft"</f>
        <v>1500–4000 ft</v>
      </c>
      <c r="R6" s="3" t="str">
        <f>IF(P6&lt;INDEX(Population!L$4:L$7,MATCH(C6,Population!A$4:A$7,0)),"BELOW",IF(P6&gt;INDEX(Population!M$4:M$7,MATCH(C6,Population!A$4:A$7,0)),"ABOVE","WITHIN"))</f>
        <v>ABOVE</v>
      </c>
      <c r="S6" s="3">
        <f>HikeWorldModel!N5</f>
        <v>356</v>
      </c>
      <c r="T6" s="3" t="str">
        <f>IF(S6&lt;INDEX(Population!N$4:N$7,MATCH(C6,Population!A$4:A$7,0)),"BELOW",IF(S6&gt;INDEX(Population!O$4:O$7,MATCH(C6,Population!A$4:A$7,0)),"ABOVE","WITHIN"))</f>
        <v>ABOVE</v>
      </c>
      <c r="U6" s="3" t="str">
        <f>ROUND(INDEX(Population!C$4:C$7,MATCH(C6,Population!A$4:A$7,0))*Population!$B$36,0)&amp;"–"&amp;ROUND(INDEX(Population!D$4:D$7,MATCH(C6,Population!A$4:A$7,0))*Population!$B$36,0)</f>
        <v>124–141</v>
      </c>
      <c r="V6" s="3" t="str">
        <f>IF(D6&lt;ROUND(INDEX(Population!C$4:C$7,MATCH(C6,Population!A$4:A$7,0))*Population!$B$36,0),"BELOW",IF(D6&gt;ROUND(INDEX(Population!D$4:D$7,MATCH(C6,Population!A$4:A$7,0))*Population!$B$36,0),"ABOVE","WITHIN"))</f>
        <v>WITHIN</v>
      </c>
      <c r="W6" s="3" t="str">
        <f>ROUND(INDEX(Population!F$4:F$7,MATCH(C6,Population!A$4:A$7,0))*Population!$B$36,0)&amp;"–"&amp;ROUND(INDEX(Population!G$4:G$7,MATCH(C6,Population!A$4:A$7,0))*Population!$B$36,0)</f>
        <v>150–168</v>
      </c>
      <c r="X6" s="3" t="str">
        <f>IF(G6&lt;ROUND(INDEX(Population!F$4:F$7,MATCH(C6,Population!A$4:A$7,0))*Population!$B$36,0),"BELOW",IF(G6&gt;ROUND(INDEX(Population!G$4:G$7,MATCH(C6,Population!A$4:A$7,0))*Population!$B$36,0),"ABOVE","WITHIN"))</f>
        <v>WITHIN</v>
      </c>
      <c r="Y6" s="175">
        <f>Population!$B$36</f>
        <v>0.88421052631578945</v>
      </c>
      <c r="Z6" s="166" t="str">
        <f t="shared" ref="Z6:Z19" si="0">IF(AND(V6="WITHIN",X6="WITHIN"),"Age-adjusted: both HR metrics within expected range for age 52",IF(AND(V6="BELOW",X6="BELOW"),"Age-adjusted: STILL below range — cardiac efficiency exceeds age-adjusted expectations",IF(V6="BELOW","Age-adjusted: avg HR still below, max HR "&amp;X6,"Age-adjusted: avg HR "&amp;V6&amp;", max HR "&amp;X6)))</f>
        <v>Age-adjusted: both HR metrics within expected range for age 52</v>
      </c>
    </row>
    <row r="7" spans="1:26" x14ac:dyDescent="0.25">
      <c r="A7">
        <f>HikeWorldModel!A6</f>
        <v>3</v>
      </c>
      <c r="B7" t="str">
        <f>HikeWorldModel!C6</f>
        <v>Ski Hut to Mount Baldy to Devil's Backbone to Trailhead</v>
      </c>
      <c r="C7" t="str">
        <f>IF(HikeWorldModel!Q6&lt;=130,IF(HikeWorldModel!N6&lt;=60,"FOUNDATION",IF(HikeWorldModel!N6&lt;=120,"MODERATE_LOAD","HIGH_LOAD")),IF(HikeWorldModel!Q6&lt;=140,IF(HikeWorldModel!N6&lt;=120,"MODERATE_LOAD","HIGH_LOAD"),IF(HikeWorldModel!Q6&lt;=160,"HIGH_LOAD","EXTREME_LOAD")))</f>
        <v>HIGH_LOAD</v>
      </c>
      <c r="D7" s="3">
        <f>HikeWorldModel!Q6</f>
        <v>124</v>
      </c>
      <c r="E7" s="3" t="str">
        <f>INDEX(Population!B$4:B$7,MATCH(C7,Population!A$4:A$7,0))</f>
        <v>140–160</v>
      </c>
      <c r="F7" s="3" t="str">
        <f>IF(D7&lt;INDEX(Population!C$4:C$7,MATCH(C7,Population!A$4:A$7,0)),"BELOW",IF(D7&gt;INDEX(Population!D$4:D$7,MATCH(C7,Population!A$4:A$7,0)),"ABOVE","WITHIN"))</f>
        <v>BELOW</v>
      </c>
      <c r="G7" s="3">
        <f>HikeWorldModel!R6</f>
        <v>155</v>
      </c>
      <c r="H7" s="3" t="str">
        <f>INDEX(Population!E$4:E$7,MATCH(C7,Population!A$4:A$7,0))</f>
        <v>170–190</v>
      </c>
      <c r="I7" s="3" t="str">
        <f>IF(G7&lt;INDEX(Population!F$4:F$7,MATCH(C7,Population!A$4:A$7,0)),"BELOW",IF(G7&gt;INDEX(Population!G$4:G$7,MATCH(C7,Population!A$4:A$7,0)),"ABOVE","WITHIN"))</f>
        <v>BELOW</v>
      </c>
      <c r="J7" s="157">
        <f>HikeWorldModel!S6</f>
        <v>-5.4999999999999997E-3</v>
      </c>
      <c r="K7" s="3" t="str">
        <f>INDEX(Population!H$4:H$7,MATCH(C7,Population!A$4:A$7,0))&amp;" to "&amp;INDEX(Population!I$4:I$7,MATCH(C7,Population!A$4:A$7,0))</f>
        <v>0.05 to 0.08</v>
      </c>
      <c r="L7" s="3" t="str">
        <f>IF(J7&lt;0,"NEGATIVE (improving)",IF(J7&lt;INDEX(Population!H$4:H$7,MATCH(C7,Population!A$4:A$7,0)),"BELOW POP RANGE",IF(J7&gt;INDEX(Population!I$4:I$7,MATCH(C7,Population!A$4:A$7,0)),"ABOVE POP RANGE","WITHIN")))</f>
        <v>NEGATIVE (improving)</v>
      </c>
      <c r="M7" s="164">
        <f>HikeWorldModel!K6</f>
        <v>10.74</v>
      </c>
      <c r="N7" s="3" t="str">
        <f>INDEX(Population!J$4:J$7,MATCH(C7,Population!A$4:A$7,0))&amp;"–"&amp;INDEX(Population!K$4:K$7,MATCH(C7,Population!A$4:A$7,0))&amp;" mi"</f>
        <v>15–26 mi</v>
      </c>
      <c r="O7" s="3" t="str">
        <f>IF(M7&lt;INDEX(Population!J$4:J$7,MATCH(C7,Population!A$4:A$7,0)),"BELOW",IF(M7&gt;INDEX(Population!K$4:K$7,MATCH(C7,Population!A$4:A$7,0)),"ABOVE","WITHIN"))</f>
        <v>BELOW</v>
      </c>
      <c r="P7" s="3">
        <f>HikeWorldModel!L6</f>
        <v>4249</v>
      </c>
      <c r="Q7" s="3" t="str">
        <f>INDEX(Population!L$4:L$7,MATCH(C7,Population!A$4:A$7,0))&amp;"–"&amp;INDEX(Population!M$4:M$7,MATCH(C7,Population!A$4:A$7,0))&amp;" ft"</f>
        <v>1500–4000 ft</v>
      </c>
      <c r="R7" s="3" t="str">
        <f>IF(P7&lt;INDEX(Population!L$4:L$7,MATCH(C7,Population!A$4:A$7,0)),"BELOW",IF(P7&gt;INDEX(Population!M$4:M$7,MATCH(C7,Population!A$4:A$7,0)),"ABOVE","WITHIN"))</f>
        <v>ABOVE</v>
      </c>
      <c r="S7" s="3">
        <f>HikeWorldModel!N6</f>
        <v>397</v>
      </c>
      <c r="T7" s="3" t="str">
        <f>IF(S7&lt;INDEX(Population!N$4:N$7,MATCH(C7,Population!A$4:A$7,0)),"BELOW",IF(S7&gt;INDEX(Population!O$4:O$7,MATCH(C7,Population!A$4:A$7,0)),"ABOVE","WITHIN"))</f>
        <v>ABOVE</v>
      </c>
      <c r="U7" s="3" t="str">
        <f>ROUND(INDEX(Population!C$4:C$7,MATCH(C7,Population!A$4:A$7,0))*Population!$B$36,0)&amp;"–"&amp;ROUND(INDEX(Population!D$4:D$7,MATCH(C7,Population!A$4:A$7,0))*Population!$B$36,0)</f>
        <v>124–141</v>
      </c>
      <c r="V7" s="3" t="str">
        <f>IF(D7&lt;ROUND(INDEX(Population!C$4:C$7,MATCH(C7,Population!A$4:A$7,0))*Population!$B$36,0),"BELOW",IF(D7&gt;ROUND(INDEX(Population!D$4:D$7,MATCH(C7,Population!A$4:A$7,0))*Population!$B$36,0),"ABOVE","WITHIN"))</f>
        <v>WITHIN</v>
      </c>
      <c r="W7" s="3" t="str">
        <f>ROUND(INDEX(Population!F$4:F$7,MATCH(C7,Population!A$4:A$7,0))*Population!$B$36,0)&amp;"–"&amp;ROUND(INDEX(Population!G$4:G$7,MATCH(C7,Population!A$4:A$7,0))*Population!$B$36,0)</f>
        <v>150–168</v>
      </c>
      <c r="X7" s="3" t="str">
        <f>IF(G7&lt;ROUND(INDEX(Population!F$4:F$7,MATCH(C7,Population!A$4:A$7,0))*Population!$B$36,0),"BELOW",IF(G7&gt;ROUND(INDEX(Population!G$4:G$7,MATCH(C7,Population!A$4:A$7,0))*Population!$B$36,0),"ABOVE","WITHIN"))</f>
        <v>WITHIN</v>
      </c>
      <c r="Y7" s="175">
        <f>Population!$B$36</f>
        <v>0.88421052631578945</v>
      </c>
      <c r="Z7" s="166" t="str">
        <f t="shared" si="0"/>
        <v>Age-adjusted: both HR metrics within expected range for age 52</v>
      </c>
    </row>
    <row r="8" spans="1:26" x14ac:dyDescent="0.25">
      <c r="A8">
        <f>HikeWorldModel!A7</f>
        <v>4</v>
      </c>
      <c r="B8" t="str">
        <f>HikeWorldModel!C7</f>
        <v>Ski Hut to Mount Baldy to Devil's Backbone to Trailhead</v>
      </c>
      <c r="C8" t="str">
        <f>IF(HikeWorldModel!Q7&lt;=130,IF(HikeWorldModel!N7&lt;=60,"FOUNDATION",IF(HikeWorldModel!N7&lt;=120,"MODERATE_LOAD","HIGH_LOAD")),IF(HikeWorldModel!Q7&lt;=140,IF(HikeWorldModel!N7&lt;=120,"MODERATE_LOAD","HIGH_LOAD"),IF(HikeWorldModel!Q7&lt;=160,"HIGH_LOAD","EXTREME_LOAD")))</f>
        <v>HIGH_LOAD</v>
      </c>
      <c r="D8" s="3">
        <f>HikeWorldModel!Q7</f>
        <v>123</v>
      </c>
      <c r="E8" s="3" t="str">
        <f>INDEX(Population!B$4:B$7,MATCH(C8,Population!A$4:A$7,0))</f>
        <v>140–160</v>
      </c>
      <c r="F8" s="3" t="str">
        <f>IF(D8&lt;INDEX(Population!C$4:C$7,MATCH(C8,Population!A$4:A$7,0)),"BELOW",IF(D8&gt;INDEX(Population!D$4:D$7,MATCH(C8,Population!A$4:A$7,0)),"ABOVE","WITHIN"))</f>
        <v>BELOW</v>
      </c>
      <c r="G8" s="3">
        <f>HikeWorldModel!R7</f>
        <v>156</v>
      </c>
      <c r="H8" s="3" t="str">
        <f>INDEX(Population!E$4:E$7,MATCH(C8,Population!A$4:A$7,0))</f>
        <v>170–190</v>
      </c>
      <c r="I8" s="3" t="str">
        <f>IF(G8&lt;INDEX(Population!F$4:F$7,MATCH(C8,Population!A$4:A$7,0)),"BELOW",IF(G8&gt;INDEX(Population!G$4:G$7,MATCH(C8,Population!A$4:A$7,0)),"ABOVE","WITHIN"))</f>
        <v>BELOW</v>
      </c>
      <c r="J8" s="157">
        <f>HikeWorldModel!S7</f>
        <v>2.7000000000000001E-3</v>
      </c>
      <c r="K8" s="3" t="str">
        <f>INDEX(Population!H$4:H$7,MATCH(C8,Population!A$4:A$7,0))&amp;" to "&amp;INDEX(Population!I$4:I$7,MATCH(C8,Population!A$4:A$7,0))</f>
        <v>0.05 to 0.08</v>
      </c>
      <c r="L8" s="3" t="str">
        <f>IF(J8&lt;0,"NEGATIVE (improving)",IF(J8&lt;INDEX(Population!H$4:H$7,MATCH(C8,Population!A$4:A$7,0)),"BELOW POP RANGE",IF(J8&gt;INDEX(Population!I$4:I$7,MATCH(C8,Population!A$4:A$7,0)),"ABOVE POP RANGE","WITHIN")))</f>
        <v>BELOW POP RANGE</v>
      </c>
      <c r="M8" s="164">
        <f>HikeWorldModel!K7</f>
        <v>11.05</v>
      </c>
      <c r="N8" s="3" t="str">
        <f>INDEX(Population!J$4:J$7,MATCH(C8,Population!A$4:A$7,0))&amp;"–"&amp;INDEX(Population!K$4:K$7,MATCH(C8,Population!A$4:A$7,0))&amp;" mi"</f>
        <v>15–26 mi</v>
      </c>
      <c r="O8" s="3" t="str">
        <f>IF(M8&lt;INDEX(Population!J$4:J$7,MATCH(C8,Population!A$4:A$7,0)),"BELOW",IF(M8&gt;INDEX(Population!K$4:K$7,MATCH(C8,Population!A$4:A$7,0)),"ABOVE","WITHIN"))</f>
        <v>BELOW</v>
      </c>
      <c r="P8" s="3">
        <f>HikeWorldModel!L7</f>
        <v>4081</v>
      </c>
      <c r="Q8" s="3" t="str">
        <f>INDEX(Population!L$4:L$7,MATCH(C8,Population!A$4:A$7,0))&amp;"–"&amp;INDEX(Population!M$4:M$7,MATCH(C8,Population!A$4:A$7,0))&amp;" ft"</f>
        <v>1500–4000 ft</v>
      </c>
      <c r="R8" s="3" t="str">
        <f>IF(P8&lt;INDEX(Population!L$4:L$7,MATCH(C8,Population!A$4:A$7,0)),"BELOW",IF(P8&gt;INDEX(Population!M$4:M$7,MATCH(C8,Population!A$4:A$7,0)),"ABOVE","WITHIN"))</f>
        <v>ABOVE</v>
      </c>
      <c r="S8" s="3">
        <f>HikeWorldModel!N7</f>
        <v>369</v>
      </c>
      <c r="T8" s="3" t="str">
        <f>IF(S8&lt;INDEX(Population!N$4:N$7,MATCH(C8,Population!A$4:A$7,0)),"BELOW",IF(S8&gt;INDEX(Population!O$4:O$7,MATCH(C8,Population!A$4:A$7,0)),"ABOVE","WITHIN"))</f>
        <v>ABOVE</v>
      </c>
      <c r="U8" s="3" t="str">
        <f>ROUND(INDEX(Population!C$4:C$7,MATCH(C8,Population!A$4:A$7,0))*Population!$B$36,0)&amp;"–"&amp;ROUND(INDEX(Population!D$4:D$7,MATCH(C8,Population!A$4:A$7,0))*Population!$B$36,0)</f>
        <v>124–141</v>
      </c>
      <c r="V8" s="3" t="str">
        <f>IF(D8&lt;ROUND(INDEX(Population!C$4:C$7,MATCH(C8,Population!A$4:A$7,0))*Population!$B$36,0),"BELOW",IF(D8&gt;ROUND(INDEX(Population!D$4:D$7,MATCH(C8,Population!A$4:A$7,0))*Population!$B$36,0),"ABOVE","WITHIN"))</f>
        <v>BELOW</v>
      </c>
      <c r="W8" s="3" t="str">
        <f>ROUND(INDEX(Population!F$4:F$7,MATCH(C8,Population!A$4:A$7,0))*Population!$B$36,0)&amp;"–"&amp;ROUND(INDEX(Population!G$4:G$7,MATCH(C8,Population!A$4:A$7,0))*Population!$B$36,0)</f>
        <v>150–168</v>
      </c>
      <c r="X8" s="3" t="str">
        <f>IF(G8&lt;ROUND(INDEX(Population!F$4:F$7,MATCH(C8,Population!A$4:A$7,0))*Population!$B$36,0),"BELOW",IF(G8&gt;ROUND(INDEX(Population!G$4:G$7,MATCH(C8,Population!A$4:A$7,0))*Population!$B$36,0),"ABOVE","WITHIN"))</f>
        <v>WITHIN</v>
      </c>
      <c r="Y8" s="175">
        <f>Population!$B$36</f>
        <v>0.88421052631578945</v>
      </c>
      <c r="Z8" s="166" t="str">
        <f t="shared" si="0"/>
        <v>Age-adjusted: avg HR still below, max HR WITHIN</v>
      </c>
    </row>
    <row r="9" spans="1:26" x14ac:dyDescent="0.25">
      <c r="A9">
        <f>HikeWorldModel!A8</f>
        <v>5</v>
      </c>
      <c r="B9" t="str">
        <f>HikeWorldModel!C8</f>
        <v>Ski Hut to Mount Baldy to Devil's Backbone to Trailhead</v>
      </c>
      <c r="C9" t="str">
        <f>IF(HikeWorldModel!Q8&lt;=130,IF(HikeWorldModel!N8&lt;=60,"FOUNDATION",IF(HikeWorldModel!N8&lt;=120,"MODERATE_LOAD","HIGH_LOAD")),IF(HikeWorldModel!Q8&lt;=140,IF(HikeWorldModel!N8&lt;=120,"MODERATE_LOAD","HIGH_LOAD"),IF(HikeWorldModel!Q8&lt;=160,"HIGH_LOAD","EXTREME_LOAD")))</f>
        <v>HIGH_LOAD</v>
      </c>
      <c r="D9" s="3">
        <f>HikeWorldModel!Q8</f>
        <v>130</v>
      </c>
      <c r="E9" s="3" t="str">
        <f>INDEX(Population!B$4:B$7,MATCH(C9,Population!A$4:A$7,0))</f>
        <v>140–160</v>
      </c>
      <c r="F9" s="3" t="str">
        <f>IF(D9&lt;INDEX(Population!C$4:C$7,MATCH(C9,Population!A$4:A$7,0)),"BELOW",IF(D9&gt;INDEX(Population!D$4:D$7,MATCH(C9,Population!A$4:A$7,0)),"ABOVE","WITHIN"))</f>
        <v>BELOW</v>
      </c>
      <c r="G9" s="3">
        <f>HikeWorldModel!R8</f>
        <v>157</v>
      </c>
      <c r="H9" s="3" t="str">
        <f>INDEX(Population!E$4:E$7,MATCH(C9,Population!A$4:A$7,0))</f>
        <v>170–190</v>
      </c>
      <c r="I9" s="3" t="str">
        <f>IF(G9&lt;INDEX(Population!F$4:F$7,MATCH(C9,Population!A$4:A$7,0)),"BELOW",IF(G9&gt;INDEX(Population!G$4:G$7,MATCH(C9,Population!A$4:A$7,0)),"ABOVE","WITHIN"))</f>
        <v>BELOW</v>
      </c>
      <c r="J9" s="157">
        <f>HikeWorldModel!S8</f>
        <v>-6.7000000000000002E-3</v>
      </c>
      <c r="K9" s="3" t="str">
        <f>INDEX(Population!H$4:H$7,MATCH(C9,Population!A$4:A$7,0))&amp;" to "&amp;INDEX(Population!I$4:I$7,MATCH(C9,Population!A$4:A$7,0))</f>
        <v>0.05 to 0.08</v>
      </c>
      <c r="L9" s="3" t="str">
        <f>IF(J9&lt;0,"NEGATIVE (improving)",IF(J9&lt;INDEX(Population!H$4:H$7,MATCH(C9,Population!A$4:A$7,0)),"BELOW POP RANGE",IF(J9&gt;INDEX(Population!I$4:I$7,MATCH(C9,Population!A$4:A$7,0)),"ABOVE POP RANGE","WITHIN")))</f>
        <v>NEGATIVE (improving)</v>
      </c>
      <c r="M9" s="164">
        <f>HikeWorldModel!K8</f>
        <v>10.67</v>
      </c>
      <c r="N9" s="3" t="str">
        <f>INDEX(Population!J$4:J$7,MATCH(C9,Population!A$4:A$7,0))&amp;"–"&amp;INDEX(Population!K$4:K$7,MATCH(C9,Population!A$4:A$7,0))&amp;" mi"</f>
        <v>15–26 mi</v>
      </c>
      <c r="O9" s="3" t="str">
        <f>IF(M9&lt;INDEX(Population!J$4:J$7,MATCH(C9,Population!A$4:A$7,0)),"BELOW",IF(M9&gt;INDEX(Population!K$4:K$7,MATCH(C9,Population!A$4:A$7,0)),"ABOVE","WITHIN"))</f>
        <v>BELOW</v>
      </c>
      <c r="P9" s="3">
        <f>HikeWorldModel!L8</f>
        <v>4098</v>
      </c>
      <c r="Q9" s="3" t="str">
        <f>INDEX(Population!L$4:L$7,MATCH(C9,Population!A$4:A$7,0))&amp;"–"&amp;INDEX(Population!M$4:M$7,MATCH(C9,Population!A$4:A$7,0))&amp;" ft"</f>
        <v>1500–4000 ft</v>
      </c>
      <c r="R9" s="3" t="str">
        <f>IF(P9&lt;INDEX(Population!L$4:L$7,MATCH(C9,Population!A$4:A$7,0)),"BELOW",IF(P9&gt;INDEX(Population!M$4:M$7,MATCH(C9,Population!A$4:A$7,0)),"ABOVE","WITHIN"))</f>
        <v>ABOVE</v>
      </c>
      <c r="S9" s="3">
        <f>HikeWorldModel!N8</f>
        <v>317</v>
      </c>
      <c r="T9" s="3" t="str">
        <f>IF(S9&lt;INDEX(Population!N$4:N$7,MATCH(C9,Population!A$4:A$7,0)),"BELOW",IF(S9&gt;INDEX(Population!O$4:O$7,MATCH(C9,Population!A$4:A$7,0)),"ABOVE","WITHIN"))</f>
        <v>ABOVE</v>
      </c>
      <c r="U9" s="3" t="str">
        <f>ROUND(INDEX(Population!C$4:C$7,MATCH(C9,Population!A$4:A$7,0))*Population!$B$36,0)&amp;"–"&amp;ROUND(INDEX(Population!D$4:D$7,MATCH(C9,Population!A$4:A$7,0))*Population!$B$36,0)</f>
        <v>124–141</v>
      </c>
      <c r="V9" s="3" t="str">
        <f>IF(D9&lt;ROUND(INDEX(Population!C$4:C$7,MATCH(C9,Population!A$4:A$7,0))*Population!$B$36,0),"BELOW",IF(D9&gt;ROUND(INDEX(Population!D$4:D$7,MATCH(C9,Population!A$4:A$7,0))*Population!$B$36,0),"ABOVE","WITHIN"))</f>
        <v>WITHIN</v>
      </c>
      <c r="W9" s="3" t="str">
        <f>ROUND(INDEX(Population!F$4:F$7,MATCH(C9,Population!A$4:A$7,0))*Population!$B$36,0)&amp;"–"&amp;ROUND(INDEX(Population!G$4:G$7,MATCH(C9,Population!A$4:A$7,0))*Population!$B$36,0)</f>
        <v>150–168</v>
      </c>
      <c r="X9" s="3" t="str">
        <f>IF(G9&lt;ROUND(INDEX(Population!F$4:F$7,MATCH(C9,Population!A$4:A$7,0))*Population!$B$36,0),"BELOW",IF(G9&gt;ROUND(INDEX(Population!G$4:G$7,MATCH(C9,Population!A$4:A$7,0))*Population!$B$36,0),"ABOVE","WITHIN"))</f>
        <v>WITHIN</v>
      </c>
      <c r="Y9" s="175">
        <f>Population!$B$36</f>
        <v>0.88421052631578945</v>
      </c>
      <c r="Z9" s="166" t="str">
        <f t="shared" si="0"/>
        <v>Age-adjusted: both HR metrics within expected range for age 52</v>
      </c>
    </row>
    <row r="10" spans="1:26" x14ac:dyDescent="0.25">
      <c r="A10">
        <f>HikeWorldModel!A9</f>
        <v>6</v>
      </c>
      <c r="B10" t="str">
        <f>HikeWorldModel!C9</f>
        <v>Skinsuit to Pleasant's Peak</v>
      </c>
      <c r="C10" t="str">
        <f>IF(HikeWorldModel!Q9&lt;=130,IF(HikeWorldModel!N9&lt;=60,"FOUNDATION",IF(HikeWorldModel!N9&lt;=120,"MODERATE_LOAD","HIGH_LOAD")),IF(HikeWorldModel!Q9&lt;=140,IF(HikeWorldModel!N9&lt;=120,"MODERATE_LOAD","HIGH_LOAD"),IF(HikeWorldModel!Q9&lt;=160,"HIGH_LOAD","EXTREME_LOAD")))</f>
        <v>HIGH_LOAD</v>
      </c>
      <c r="D10" s="3">
        <f>HikeWorldModel!Q9</f>
        <v>128</v>
      </c>
      <c r="E10" s="3" t="str">
        <f>INDEX(Population!B$4:B$7,MATCH(C10,Population!A$4:A$7,0))</f>
        <v>140–160</v>
      </c>
      <c r="F10" s="3" t="str">
        <f>IF(D10&lt;INDEX(Population!C$4:C$7,MATCH(C10,Population!A$4:A$7,0)),"BELOW",IF(D10&gt;INDEX(Population!D$4:D$7,MATCH(C10,Population!A$4:A$7,0)),"ABOVE","WITHIN"))</f>
        <v>BELOW</v>
      </c>
      <c r="G10" s="3">
        <f>HikeWorldModel!R9</f>
        <v>157</v>
      </c>
      <c r="H10" s="3" t="str">
        <f>INDEX(Population!E$4:E$7,MATCH(C10,Population!A$4:A$7,0))</f>
        <v>170–190</v>
      </c>
      <c r="I10" s="3" t="str">
        <f>IF(G10&lt;INDEX(Population!F$4:F$7,MATCH(C10,Population!A$4:A$7,0)),"BELOW",IF(G10&gt;INDEX(Population!G$4:G$7,MATCH(C10,Population!A$4:A$7,0)),"ABOVE","WITHIN"))</f>
        <v>BELOW</v>
      </c>
      <c r="J10" s="157">
        <f>HikeWorldModel!S9</f>
        <v>-1.5900000000000001E-2</v>
      </c>
      <c r="K10" s="3" t="str">
        <f>INDEX(Population!H$4:H$7,MATCH(C10,Population!A$4:A$7,0))&amp;" to "&amp;INDEX(Population!I$4:I$7,MATCH(C10,Population!A$4:A$7,0))</f>
        <v>0.05 to 0.08</v>
      </c>
      <c r="L10" s="3" t="str">
        <f>IF(J10&lt;0,"NEGATIVE (improving)",IF(J10&lt;INDEX(Population!H$4:H$7,MATCH(C10,Population!A$4:A$7,0)),"BELOW POP RANGE",IF(J10&gt;INDEX(Population!I$4:I$7,MATCH(C10,Population!A$4:A$7,0)),"ABOVE POP RANGE","WITHIN")))</f>
        <v>NEGATIVE (improving)</v>
      </c>
      <c r="M10" s="164">
        <f>HikeWorldModel!K9</f>
        <v>10.1</v>
      </c>
      <c r="N10" s="3" t="str">
        <f>INDEX(Population!J$4:J$7,MATCH(C10,Population!A$4:A$7,0))&amp;"–"&amp;INDEX(Population!K$4:K$7,MATCH(C10,Population!A$4:A$7,0))&amp;" mi"</f>
        <v>15–26 mi</v>
      </c>
      <c r="O10" s="3" t="str">
        <f>IF(M10&lt;INDEX(Population!J$4:J$7,MATCH(C10,Population!A$4:A$7,0)),"BELOW",IF(M10&gt;INDEX(Population!K$4:K$7,MATCH(C10,Population!A$4:A$7,0)),"ABOVE","WITHIN"))</f>
        <v>BELOW</v>
      </c>
      <c r="P10" s="3">
        <f>HikeWorldModel!L9</f>
        <v>3474</v>
      </c>
      <c r="Q10" s="3" t="str">
        <f>INDEX(Population!L$4:L$7,MATCH(C10,Population!A$4:A$7,0))&amp;"–"&amp;INDEX(Population!M$4:M$7,MATCH(C10,Population!A$4:A$7,0))&amp;" ft"</f>
        <v>1500–4000 ft</v>
      </c>
      <c r="R10" s="3" t="str">
        <f>IF(P10&lt;INDEX(Population!L$4:L$7,MATCH(C10,Population!A$4:A$7,0)),"BELOW",IF(P10&gt;INDEX(Population!M$4:M$7,MATCH(C10,Population!A$4:A$7,0)),"ABOVE","WITHIN"))</f>
        <v>WITHIN</v>
      </c>
      <c r="S10" s="3">
        <f>HikeWorldModel!N9</f>
        <v>264</v>
      </c>
      <c r="T10" s="3" t="str">
        <f>IF(S10&lt;INDEX(Population!N$4:N$7,MATCH(C10,Population!A$4:A$7,0)),"BELOW",IF(S10&gt;INDEX(Population!O$4:O$7,MATCH(C10,Population!A$4:A$7,0)),"ABOVE","WITHIN"))</f>
        <v>WITHIN</v>
      </c>
      <c r="U10" s="3" t="str">
        <f>ROUND(INDEX(Population!C$4:C$7,MATCH(C10,Population!A$4:A$7,0))*Population!$B$36,0)&amp;"–"&amp;ROUND(INDEX(Population!D$4:D$7,MATCH(C10,Population!A$4:A$7,0))*Population!$B$36,0)</f>
        <v>124–141</v>
      </c>
      <c r="V10" s="3" t="str">
        <f>IF(D10&lt;ROUND(INDEX(Population!C$4:C$7,MATCH(C10,Population!A$4:A$7,0))*Population!$B$36,0),"BELOW",IF(D10&gt;ROUND(INDEX(Population!D$4:D$7,MATCH(C10,Population!A$4:A$7,0))*Population!$B$36,0),"ABOVE","WITHIN"))</f>
        <v>WITHIN</v>
      </c>
      <c r="W10" s="3" t="str">
        <f>ROUND(INDEX(Population!F$4:F$7,MATCH(C10,Population!A$4:A$7,0))*Population!$B$36,0)&amp;"–"&amp;ROUND(INDEX(Population!G$4:G$7,MATCH(C10,Population!A$4:A$7,0))*Population!$B$36,0)</f>
        <v>150–168</v>
      </c>
      <c r="X10" s="3" t="str">
        <f>IF(G10&lt;ROUND(INDEX(Population!F$4:F$7,MATCH(C10,Population!A$4:A$7,0))*Population!$B$36,0),"BELOW",IF(G10&gt;ROUND(INDEX(Population!G$4:G$7,MATCH(C10,Population!A$4:A$7,0))*Population!$B$36,0),"ABOVE","WITHIN"))</f>
        <v>WITHIN</v>
      </c>
      <c r="Y10" s="175">
        <f>Population!$B$36</f>
        <v>0.88421052631578945</v>
      </c>
      <c r="Z10" s="166" t="str">
        <f t="shared" si="0"/>
        <v>Age-adjusted: both HR metrics within expected range for age 52</v>
      </c>
    </row>
    <row r="11" spans="1:26" x14ac:dyDescent="0.25">
      <c r="A11">
        <f>HikeWorldModel!A10</f>
        <v>7</v>
      </c>
      <c r="B11" t="str">
        <f>HikeWorldModel!C10</f>
        <v>Ski Hut to Mount Baldy, out and back</v>
      </c>
      <c r="C11" t="str">
        <f>IF(HikeWorldModel!Q10&lt;=130,IF(HikeWorldModel!N10&lt;=60,"FOUNDATION",IF(HikeWorldModel!N10&lt;=120,"MODERATE_LOAD","HIGH_LOAD")),IF(HikeWorldModel!Q10&lt;=140,IF(HikeWorldModel!N10&lt;=120,"MODERATE_LOAD","HIGH_LOAD"),IF(HikeWorldModel!Q10&lt;=160,"HIGH_LOAD","EXTREME_LOAD")))</f>
        <v>HIGH_LOAD</v>
      </c>
      <c r="D11" s="3">
        <f>HikeWorldModel!Q10</f>
        <v>128</v>
      </c>
      <c r="E11" s="3" t="str">
        <f>INDEX(Population!B$4:B$7,MATCH(C11,Population!A$4:A$7,0))</f>
        <v>140–160</v>
      </c>
      <c r="F11" s="3" t="str">
        <f>IF(D11&lt;INDEX(Population!C$4:C$7,MATCH(C11,Population!A$4:A$7,0)),"BELOW",IF(D11&gt;INDEX(Population!D$4:D$7,MATCH(C11,Population!A$4:A$7,0)),"ABOVE","WITHIN"))</f>
        <v>BELOW</v>
      </c>
      <c r="G11" s="3">
        <f>HikeWorldModel!R10</f>
        <v>155</v>
      </c>
      <c r="H11" s="3" t="str">
        <f>INDEX(Population!E$4:E$7,MATCH(C11,Population!A$4:A$7,0))</f>
        <v>170–190</v>
      </c>
      <c r="I11" s="3" t="str">
        <f>IF(G11&lt;INDEX(Population!F$4:F$7,MATCH(C11,Population!A$4:A$7,0)),"BELOW",IF(G11&gt;INDEX(Population!G$4:G$7,MATCH(C11,Population!A$4:A$7,0)),"ABOVE","WITHIN"))</f>
        <v>BELOW</v>
      </c>
      <c r="J11" s="157">
        <f>HikeWorldModel!S10</f>
        <v>-1.0500000000000001E-2</v>
      </c>
      <c r="K11" s="3" t="str">
        <f>INDEX(Population!H$4:H$7,MATCH(C11,Population!A$4:A$7,0))&amp;" to "&amp;INDEX(Population!I$4:I$7,MATCH(C11,Population!A$4:A$7,0))</f>
        <v>0.05 to 0.08</v>
      </c>
      <c r="L11" s="3" t="str">
        <f>IF(J11&lt;0,"NEGATIVE (improving)",IF(J11&lt;INDEX(Population!H$4:H$7,MATCH(C11,Population!A$4:A$7,0)),"BELOW POP RANGE",IF(J11&gt;INDEX(Population!I$4:I$7,MATCH(C11,Population!A$4:A$7,0)),"ABOVE POP RANGE","WITHIN")))</f>
        <v>NEGATIVE (improving)</v>
      </c>
      <c r="M11" s="164">
        <f>HikeWorldModel!K10</f>
        <v>8.76</v>
      </c>
      <c r="N11" s="3" t="str">
        <f>INDEX(Population!J$4:J$7,MATCH(C11,Population!A$4:A$7,0))&amp;"–"&amp;INDEX(Population!K$4:K$7,MATCH(C11,Population!A$4:A$7,0))&amp;" mi"</f>
        <v>15–26 mi</v>
      </c>
      <c r="O11" s="3" t="str">
        <f>IF(M11&lt;INDEX(Population!J$4:J$7,MATCH(C11,Population!A$4:A$7,0)),"BELOW",IF(M11&gt;INDEX(Population!K$4:K$7,MATCH(C11,Population!A$4:A$7,0)),"ABOVE","WITHIN"))</f>
        <v>BELOW</v>
      </c>
      <c r="P11" s="3">
        <f>HikeWorldModel!L10</f>
        <v>4078</v>
      </c>
      <c r="Q11" s="3" t="str">
        <f>INDEX(Population!L$4:L$7,MATCH(C11,Population!A$4:A$7,0))&amp;"–"&amp;INDEX(Population!M$4:M$7,MATCH(C11,Population!A$4:A$7,0))&amp;" ft"</f>
        <v>1500–4000 ft</v>
      </c>
      <c r="R11" s="3" t="str">
        <f>IF(P11&lt;INDEX(Population!L$4:L$7,MATCH(C11,Population!A$4:A$7,0)),"BELOW",IF(P11&gt;INDEX(Population!M$4:M$7,MATCH(C11,Population!A$4:A$7,0)),"ABOVE","WITHIN"))</f>
        <v>ABOVE</v>
      </c>
      <c r="S11" s="3">
        <f>HikeWorldModel!N10</f>
        <v>345</v>
      </c>
      <c r="T11" s="3" t="str">
        <f>IF(S11&lt;INDEX(Population!N$4:N$7,MATCH(C11,Population!A$4:A$7,0)),"BELOW",IF(S11&gt;INDEX(Population!O$4:O$7,MATCH(C11,Population!A$4:A$7,0)),"ABOVE","WITHIN"))</f>
        <v>ABOVE</v>
      </c>
      <c r="U11" s="3" t="str">
        <f>ROUND(INDEX(Population!C$4:C$7,MATCH(C11,Population!A$4:A$7,0))*Population!$B$36,0)&amp;"–"&amp;ROUND(INDEX(Population!D$4:D$7,MATCH(C11,Population!A$4:A$7,0))*Population!$B$36,0)</f>
        <v>124–141</v>
      </c>
      <c r="V11" s="3" t="str">
        <f>IF(D11&lt;ROUND(INDEX(Population!C$4:C$7,MATCH(C11,Population!A$4:A$7,0))*Population!$B$36,0),"BELOW",IF(D11&gt;ROUND(INDEX(Population!D$4:D$7,MATCH(C11,Population!A$4:A$7,0))*Population!$B$36,0),"ABOVE","WITHIN"))</f>
        <v>WITHIN</v>
      </c>
      <c r="W11" s="3" t="str">
        <f>ROUND(INDEX(Population!F$4:F$7,MATCH(C11,Population!A$4:A$7,0))*Population!$B$36,0)&amp;"–"&amp;ROUND(INDEX(Population!G$4:G$7,MATCH(C11,Population!A$4:A$7,0))*Population!$B$36,0)</f>
        <v>150–168</v>
      </c>
      <c r="X11" s="3" t="str">
        <f>IF(G11&lt;ROUND(INDEX(Population!F$4:F$7,MATCH(C11,Population!A$4:A$7,0))*Population!$B$36,0),"BELOW",IF(G11&gt;ROUND(INDEX(Population!G$4:G$7,MATCH(C11,Population!A$4:A$7,0))*Population!$B$36,0),"ABOVE","WITHIN"))</f>
        <v>WITHIN</v>
      </c>
      <c r="Y11" s="175">
        <f>Population!$B$36</f>
        <v>0.88421052631578945</v>
      </c>
      <c r="Z11" s="166" t="str">
        <f t="shared" si="0"/>
        <v>Age-adjusted: both HR metrics within expected range for age 52</v>
      </c>
    </row>
    <row r="12" spans="1:26" x14ac:dyDescent="0.25">
      <c r="A12">
        <f>HikeWorldModel!A11</f>
        <v>8</v>
      </c>
      <c r="B12" t="str">
        <f>HikeWorldModel!C11</f>
        <v>Ski Hut to Mount Baldy, out and back</v>
      </c>
      <c r="C12" t="str">
        <f>IF(HikeWorldModel!Q11&lt;=130,IF(HikeWorldModel!N11&lt;=60,"FOUNDATION",IF(HikeWorldModel!N11&lt;=120,"MODERATE_LOAD","HIGH_LOAD")),IF(HikeWorldModel!Q11&lt;=140,IF(HikeWorldModel!N11&lt;=120,"MODERATE_LOAD","HIGH_LOAD"),IF(HikeWorldModel!Q11&lt;=160,"HIGH_LOAD","EXTREME_LOAD")))</f>
        <v>HIGH_LOAD</v>
      </c>
      <c r="D12" s="3">
        <f>HikeWorldModel!Q11</f>
        <v>128</v>
      </c>
      <c r="E12" s="3" t="str">
        <f>INDEX(Population!B$4:B$7,MATCH(C12,Population!A$4:A$7,0))</f>
        <v>140–160</v>
      </c>
      <c r="F12" s="3" t="str">
        <f>IF(D12&lt;INDEX(Population!C$4:C$7,MATCH(C12,Population!A$4:A$7,0)),"BELOW",IF(D12&gt;INDEX(Population!D$4:D$7,MATCH(C12,Population!A$4:A$7,0)),"ABOVE","WITHIN"))</f>
        <v>BELOW</v>
      </c>
      <c r="G12" s="3">
        <f>HikeWorldModel!R11</f>
        <v>151</v>
      </c>
      <c r="H12" s="3" t="str">
        <f>INDEX(Population!E$4:E$7,MATCH(C12,Population!A$4:A$7,0))</f>
        <v>170–190</v>
      </c>
      <c r="I12" s="3" t="str">
        <f>IF(G12&lt;INDEX(Population!F$4:F$7,MATCH(C12,Population!A$4:A$7,0)),"BELOW",IF(G12&gt;INDEX(Population!G$4:G$7,MATCH(C12,Population!A$4:A$7,0)),"ABOVE","WITHIN"))</f>
        <v>BELOW</v>
      </c>
      <c r="J12" s="157">
        <f>HikeWorldModel!S11</f>
        <v>-2.0000000000000001E-4</v>
      </c>
      <c r="K12" s="3" t="str">
        <f>INDEX(Population!H$4:H$7,MATCH(C12,Population!A$4:A$7,0))&amp;" to "&amp;INDEX(Population!I$4:I$7,MATCH(C12,Population!A$4:A$7,0))</f>
        <v>0.05 to 0.08</v>
      </c>
      <c r="L12" s="3" t="str">
        <f>IF(J12&lt;0,"NEGATIVE (improving)",IF(J12&lt;INDEX(Population!H$4:H$7,MATCH(C12,Population!A$4:A$7,0)),"BELOW POP RANGE",IF(J12&gt;INDEX(Population!I$4:I$7,MATCH(C12,Population!A$4:A$7,0)),"ABOVE POP RANGE","WITHIN")))</f>
        <v>NEGATIVE (improving)</v>
      </c>
      <c r="M12" s="164">
        <f>HikeWorldModel!K11</f>
        <v>8.3000000000000007</v>
      </c>
      <c r="N12" s="3" t="str">
        <f>INDEX(Population!J$4:J$7,MATCH(C12,Population!A$4:A$7,0))&amp;"–"&amp;INDEX(Population!K$4:K$7,MATCH(C12,Population!A$4:A$7,0))&amp;" mi"</f>
        <v>15–26 mi</v>
      </c>
      <c r="O12" s="3" t="str">
        <f>IF(M12&lt;INDEX(Population!J$4:J$7,MATCH(C12,Population!A$4:A$7,0)),"BELOW",IF(M12&gt;INDEX(Population!K$4:K$7,MATCH(C12,Population!A$4:A$7,0)),"ABOVE","WITHIN"))</f>
        <v>BELOW</v>
      </c>
      <c r="P12" s="3">
        <f>HikeWorldModel!L11</f>
        <v>3996</v>
      </c>
      <c r="Q12" s="3" t="str">
        <f>INDEX(Population!L$4:L$7,MATCH(C12,Population!A$4:A$7,0))&amp;"–"&amp;INDEX(Population!M$4:M$7,MATCH(C12,Population!A$4:A$7,0))&amp;" ft"</f>
        <v>1500–4000 ft</v>
      </c>
      <c r="R12" s="3" t="str">
        <f>IF(P12&lt;INDEX(Population!L$4:L$7,MATCH(C12,Population!A$4:A$7,0)),"BELOW",IF(P12&gt;INDEX(Population!M$4:M$7,MATCH(C12,Population!A$4:A$7,0)),"ABOVE","WITHIN"))</f>
        <v>WITHIN</v>
      </c>
      <c r="S12" s="3">
        <f>HikeWorldModel!N11</f>
        <v>341</v>
      </c>
      <c r="T12" s="3" t="str">
        <f>IF(S12&lt;INDEX(Population!N$4:N$7,MATCH(C12,Population!A$4:A$7,0)),"BELOW",IF(S12&gt;INDEX(Population!O$4:O$7,MATCH(C12,Population!A$4:A$7,0)),"ABOVE","WITHIN"))</f>
        <v>ABOVE</v>
      </c>
      <c r="U12" s="3" t="str">
        <f>ROUND(INDEX(Population!C$4:C$7,MATCH(C12,Population!A$4:A$7,0))*Population!$B$36,0)&amp;"–"&amp;ROUND(INDEX(Population!D$4:D$7,MATCH(C12,Population!A$4:A$7,0))*Population!$B$36,0)</f>
        <v>124–141</v>
      </c>
      <c r="V12" s="3" t="str">
        <f>IF(D12&lt;ROUND(INDEX(Population!C$4:C$7,MATCH(C12,Population!A$4:A$7,0))*Population!$B$36,0),"BELOW",IF(D12&gt;ROUND(INDEX(Population!D$4:D$7,MATCH(C12,Population!A$4:A$7,0))*Population!$B$36,0),"ABOVE","WITHIN"))</f>
        <v>WITHIN</v>
      </c>
      <c r="W12" s="3" t="str">
        <f>ROUND(INDEX(Population!F$4:F$7,MATCH(C12,Population!A$4:A$7,0))*Population!$B$36,0)&amp;"–"&amp;ROUND(INDEX(Population!G$4:G$7,MATCH(C12,Population!A$4:A$7,0))*Population!$B$36,0)</f>
        <v>150–168</v>
      </c>
      <c r="X12" s="3" t="str">
        <f>IF(G12&lt;ROUND(INDEX(Population!F$4:F$7,MATCH(C12,Population!A$4:A$7,0))*Population!$B$36,0),"BELOW",IF(G12&gt;ROUND(INDEX(Population!G$4:G$7,MATCH(C12,Population!A$4:A$7,0))*Population!$B$36,0),"ABOVE","WITHIN"))</f>
        <v>WITHIN</v>
      </c>
      <c r="Y12" s="175">
        <f>Population!$B$36</f>
        <v>0.88421052631578945</v>
      </c>
      <c r="Z12" s="166" t="str">
        <f t="shared" si="0"/>
        <v>Age-adjusted: both HR metrics within expected range for age 52</v>
      </c>
    </row>
    <row r="13" spans="1:26" x14ac:dyDescent="0.25">
      <c r="A13">
        <f>HikeWorldModel!A12</f>
        <v>9</v>
      </c>
      <c r="B13" t="str">
        <f>HikeWorldModel!C12</f>
        <v>Ski Hut to Mount Baldy, out and back</v>
      </c>
      <c r="C13" t="str">
        <f>IF(HikeWorldModel!Q12&lt;=130,IF(HikeWorldModel!N12&lt;=60,"FOUNDATION",IF(HikeWorldModel!N12&lt;=120,"MODERATE_LOAD","HIGH_LOAD")),IF(HikeWorldModel!Q12&lt;=140,IF(HikeWorldModel!N12&lt;=120,"MODERATE_LOAD","HIGH_LOAD"),IF(HikeWorldModel!Q12&lt;=160,"HIGH_LOAD","EXTREME_LOAD")))</f>
        <v>HIGH_LOAD</v>
      </c>
      <c r="D13" s="3">
        <f>HikeWorldModel!Q12</f>
        <v>128</v>
      </c>
      <c r="E13" s="3" t="str">
        <f>INDEX(Population!B$4:B$7,MATCH(C13,Population!A$4:A$7,0))</f>
        <v>140–160</v>
      </c>
      <c r="F13" s="3" t="str">
        <f>IF(D13&lt;INDEX(Population!C$4:C$7,MATCH(C13,Population!A$4:A$7,0)),"BELOW",IF(D13&gt;INDEX(Population!D$4:D$7,MATCH(C13,Population!A$4:A$7,0)),"ABOVE","WITHIN"))</f>
        <v>BELOW</v>
      </c>
      <c r="G13" s="3">
        <f>HikeWorldModel!R12</f>
        <v>150</v>
      </c>
      <c r="H13" s="3" t="str">
        <f>INDEX(Population!E$4:E$7,MATCH(C13,Population!A$4:A$7,0))</f>
        <v>170–190</v>
      </c>
      <c r="I13" s="3" t="str">
        <f>IF(G13&lt;INDEX(Population!F$4:F$7,MATCH(C13,Population!A$4:A$7,0)),"BELOW",IF(G13&gt;INDEX(Population!G$4:G$7,MATCH(C13,Population!A$4:A$7,0)),"ABOVE","WITHIN"))</f>
        <v>BELOW</v>
      </c>
      <c r="J13" s="157">
        <f>HikeWorldModel!S12</f>
        <v>-1.52E-2</v>
      </c>
      <c r="K13" s="3" t="str">
        <f>INDEX(Population!H$4:H$7,MATCH(C13,Population!A$4:A$7,0))&amp;" to "&amp;INDEX(Population!I$4:I$7,MATCH(C13,Population!A$4:A$7,0))</f>
        <v>0.05 to 0.08</v>
      </c>
      <c r="L13" s="3" t="str">
        <f>IF(J13&lt;0,"NEGATIVE (improving)",IF(J13&lt;INDEX(Population!H$4:H$7,MATCH(C13,Population!A$4:A$7,0)),"BELOW POP RANGE",IF(J13&gt;INDEX(Population!I$4:I$7,MATCH(C13,Population!A$4:A$7,0)),"ABOVE POP RANGE","WITHIN")))</f>
        <v>NEGATIVE (improving)</v>
      </c>
      <c r="M13" s="164">
        <f>HikeWorldModel!K12</f>
        <v>8.65</v>
      </c>
      <c r="N13" s="3" t="str">
        <f>INDEX(Population!J$4:J$7,MATCH(C13,Population!A$4:A$7,0))&amp;"–"&amp;INDEX(Population!K$4:K$7,MATCH(C13,Population!A$4:A$7,0))&amp;" mi"</f>
        <v>15–26 mi</v>
      </c>
      <c r="O13" s="3" t="str">
        <f>IF(M13&lt;INDEX(Population!J$4:J$7,MATCH(C13,Population!A$4:A$7,0)),"BELOW",IF(M13&gt;INDEX(Population!K$4:K$7,MATCH(C13,Population!A$4:A$7,0)),"ABOVE","WITHIN"))</f>
        <v>BELOW</v>
      </c>
      <c r="P13" s="3">
        <f>HikeWorldModel!L12</f>
        <v>4042</v>
      </c>
      <c r="Q13" s="3" t="str">
        <f>INDEX(Population!L$4:L$7,MATCH(C13,Population!A$4:A$7,0))&amp;"–"&amp;INDEX(Population!M$4:M$7,MATCH(C13,Population!A$4:A$7,0))&amp;" ft"</f>
        <v>1500–4000 ft</v>
      </c>
      <c r="R13" s="3" t="str">
        <f>IF(P13&lt;INDEX(Population!L$4:L$7,MATCH(C13,Population!A$4:A$7,0)),"BELOW",IF(P13&gt;INDEX(Population!M$4:M$7,MATCH(C13,Population!A$4:A$7,0)),"ABOVE","WITHIN"))</f>
        <v>ABOVE</v>
      </c>
      <c r="S13" s="3">
        <f>HikeWorldModel!N12</f>
        <v>324</v>
      </c>
      <c r="T13" s="3" t="str">
        <f>IF(S13&lt;INDEX(Population!N$4:N$7,MATCH(C13,Population!A$4:A$7,0)),"BELOW",IF(S13&gt;INDEX(Population!O$4:O$7,MATCH(C13,Population!A$4:A$7,0)),"ABOVE","WITHIN"))</f>
        <v>ABOVE</v>
      </c>
      <c r="U13" s="3" t="str">
        <f>ROUND(INDEX(Population!C$4:C$7,MATCH(C13,Population!A$4:A$7,0))*Population!$B$36,0)&amp;"–"&amp;ROUND(INDEX(Population!D$4:D$7,MATCH(C13,Population!A$4:A$7,0))*Population!$B$36,0)</f>
        <v>124–141</v>
      </c>
      <c r="V13" s="3" t="str">
        <f>IF(D13&lt;ROUND(INDEX(Population!C$4:C$7,MATCH(C13,Population!A$4:A$7,0))*Population!$B$36,0),"BELOW",IF(D13&gt;ROUND(INDEX(Population!D$4:D$7,MATCH(C13,Population!A$4:A$7,0))*Population!$B$36,0),"ABOVE","WITHIN"))</f>
        <v>WITHIN</v>
      </c>
      <c r="W13" s="3" t="str">
        <f>ROUND(INDEX(Population!F$4:F$7,MATCH(C13,Population!A$4:A$7,0))*Population!$B$36,0)&amp;"–"&amp;ROUND(INDEX(Population!G$4:G$7,MATCH(C13,Population!A$4:A$7,0))*Population!$B$36,0)</f>
        <v>150–168</v>
      </c>
      <c r="X13" s="3" t="str">
        <f>IF(G13&lt;ROUND(INDEX(Population!F$4:F$7,MATCH(C13,Population!A$4:A$7,0))*Population!$B$36,0),"BELOW",IF(G13&gt;ROUND(INDEX(Population!G$4:G$7,MATCH(C13,Population!A$4:A$7,0))*Population!$B$36,0),"ABOVE","WITHIN"))</f>
        <v>WITHIN</v>
      </c>
      <c r="Y13" s="175">
        <f>Population!$B$36</f>
        <v>0.88421052631578945</v>
      </c>
      <c r="Z13" s="166" t="str">
        <f t="shared" si="0"/>
        <v>Age-adjusted: both HR metrics within expected range for age 52</v>
      </c>
    </row>
    <row r="14" spans="1:26" x14ac:dyDescent="0.25">
      <c r="A14">
        <f>HikeWorldModel!A13</f>
        <v>10</v>
      </c>
      <c r="B14" t="str">
        <f>HikeWorldModel!C13</f>
        <v>Ski Hut to Mount Baldy, out and back</v>
      </c>
      <c r="C14" t="str">
        <f>IF(HikeWorldModel!Q13&lt;=130,IF(HikeWorldModel!N13&lt;=60,"FOUNDATION",IF(HikeWorldModel!N13&lt;=120,"MODERATE_LOAD","HIGH_LOAD")),IF(HikeWorldModel!Q13&lt;=140,IF(HikeWorldModel!N13&lt;=120,"MODERATE_LOAD","HIGH_LOAD"),IF(HikeWorldModel!Q13&lt;=160,"HIGH_LOAD","EXTREME_LOAD")))</f>
        <v>HIGH_LOAD</v>
      </c>
      <c r="D14" s="3">
        <f>HikeWorldModel!Q13</f>
        <v>128</v>
      </c>
      <c r="E14" s="3" t="str">
        <f>INDEX(Population!B$4:B$7,MATCH(C14,Population!A$4:A$7,0))</f>
        <v>140–160</v>
      </c>
      <c r="F14" s="3" t="str">
        <f>IF(D14&lt;INDEX(Population!C$4:C$7,MATCH(C14,Population!A$4:A$7,0)),"BELOW",IF(D14&gt;INDEX(Population!D$4:D$7,MATCH(C14,Population!A$4:A$7,0)),"ABOVE","WITHIN"))</f>
        <v>BELOW</v>
      </c>
      <c r="G14" s="3">
        <f>HikeWorldModel!R13</f>
        <v>150</v>
      </c>
      <c r="H14" s="3" t="str">
        <f>INDEX(Population!E$4:E$7,MATCH(C14,Population!A$4:A$7,0))</f>
        <v>170–190</v>
      </c>
      <c r="I14" s="3" t="str">
        <f>IF(G14&lt;INDEX(Population!F$4:F$7,MATCH(C14,Population!A$4:A$7,0)),"BELOW",IF(G14&gt;INDEX(Population!G$4:G$7,MATCH(C14,Population!A$4:A$7,0)),"ABOVE","WITHIN"))</f>
        <v>BELOW</v>
      </c>
      <c r="J14" s="157">
        <f>HikeWorldModel!S13</f>
        <v>-1.7000000000000001E-2</v>
      </c>
      <c r="K14" s="3" t="str">
        <f>INDEX(Population!H$4:H$7,MATCH(C14,Population!A$4:A$7,0))&amp;" to "&amp;INDEX(Population!I$4:I$7,MATCH(C14,Population!A$4:A$7,0))</f>
        <v>0.05 to 0.08</v>
      </c>
      <c r="L14" s="3" t="str">
        <f>IF(J14&lt;0,"NEGATIVE (improving)",IF(J14&lt;INDEX(Population!H$4:H$7,MATCH(C14,Population!A$4:A$7,0)),"BELOW POP RANGE",IF(J14&gt;INDEX(Population!I$4:I$7,MATCH(C14,Population!A$4:A$7,0)),"ABOVE POP RANGE","WITHIN")))</f>
        <v>NEGATIVE (improving)</v>
      </c>
      <c r="M14" s="164">
        <f>HikeWorldModel!K13</f>
        <v>8.83</v>
      </c>
      <c r="N14" s="3" t="str">
        <f>INDEX(Population!J$4:J$7,MATCH(C14,Population!A$4:A$7,0))&amp;"–"&amp;INDEX(Population!K$4:K$7,MATCH(C14,Population!A$4:A$7,0))&amp;" mi"</f>
        <v>15–26 mi</v>
      </c>
      <c r="O14" s="3" t="str">
        <f>IF(M14&lt;INDEX(Population!J$4:J$7,MATCH(C14,Population!A$4:A$7,0)),"BELOW",IF(M14&gt;INDEX(Population!K$4:K$7,MATCH(C14,Population!A$4:A$7,0)),"ABOVE","WITHIN"))</f>
        <v>BELOW</v>
      </c>
      <c r="P14" s="3">
        <f>HikeWorldModel!L13</f>
        <v>4121</v>
      </c>
      <c r="Q14" s="3" t="str">
        <f>INDEX(Population!L$4:L$7,MATCH(C14,Population!A$4:A$7,0))&amp;"–"&amp;INDEX(Population!M$4:M$7,MATCH(C14,Population!A$4:A$7,0))&amp;" ft"</f>
        <v>1500–4000 ft</v>
      </c>
      <c r="R14" s="3" t="str">
        <f>IF(P14&lt;INDEX(Population!L$4:L$7,MATCH(C14,Population!A$4:A$7,0)),"BELOW",IF(P14&gt;INDEX(Population!M$4:M$7,MATCH(C14,Population!A$4:A$7,0)),"ABOVE","WITHIN"))</f>
        <v>ABOVE</v>
      </c>
      <c r="S14" s="3">
        <f>HikeWorldModel!N13</f>
        <v>327</v>
      </c>
      <c r="T14" s="3" t="str">
        <f>IF(S14&lt;INDEX(Population!N$4:N$7,MATCH(C14,Population!A$4:A$7,0)),"BELOW",IF(S14&gt;INDEX(Population!O$4:O$7,MATCH(C14,Population!A$4:A$7,0)),"ABOVE","WITHIN"))</f>
        <v>ABOVE</v>
      </c>
      <c r="U14" s="3" t="str">
        <f>ROUND(INDEX(Population!C$4:C$7,MATCH(C14,Population!A$4:A$7,0))*Population!$B$36,0)&amp;"–"&amp;ROUND(INDEX(Population!D$4:D$7,MATCH(C14,Population!A$4:A$7,0))*Population!$B$36,0)</f>
        <v>124–141</v>
      </c>
      <c r="V14" s="3" t="str">
        <f>IF(D14&lt;ROUND(INDEX(Population!C$4:C$7,MATCH(C14,Population!A$4:A$7,0))*Population!$B$36,0),"BELOW",IF(D14&gt;ROUND(INDEX(Population!D$4:D$7,MATCH(C14,Population!A$4:A$7,0))*Population!$B$36,0),"ABOVE","WITHIN"))</f>
        <v>WITHIN</v>
      </c>
      <c r="W14" s="3" t="str">
        <f>ROUND(INDEX(Population!F$4:F$7,MATCH(C14,Population!A$4:A$7,0))*Population!$B$36,0)&amp;"–"&amp;ROUND(INDEX(Population!G$4:G$7,MATCH(C14,Population!A$4:A$7,0))*Population!$B$36,0)</f>
        <v>150–168</v>
      </c>
      <c r="X14" s="3" t="str">
        <f>IF(G14&lt;ROUND(INDEX(Population!F$4:F$7,MATCH(C14,Population!A$4:A$7,0))*Population!$B$36,0),"BELOW",IF(G14&gt;ROUND(INDEX(Population!G$4:G$7,MATCH(C14,Population!A$4:A$7,0))*Population!$B$36,0),"ABOVE","WITHIN"))</f>
        <v>WITHIN</v>
      </c>
      <c r="Y14" s="175">
        <f>Population!$B$36</f>
        <v>0.88421052631578945</v>
      </c>
      <c r="Z14" s="166" t="str">
        <f t="shared" si="0"/>
        <v>Age-adjusted: both HR metrics within expected range for age 52</v>
      </c>
    </row>
    <row r="15" spans="1:26" x14ac:dyDescent="0.25">
      <c r="A15">
        <f>HikeWorldModel!A14</f>
        <v>11</v>
      </c>
      <c r="B15" t="str">
        <f>HikeWorldModel!C14</f>
        <v>Sturtevant Falls to Mount Wilson</v>
      </c>
      <c r="C15" t="str">
        <f>IF(HikeWorldModel!Q14&lt;=130,IF(HikeWorldModel!N14&lt;=60,"FOUNDATION",IF(HikeWorldModel!N14&lt;=120,"MODERATE_LOAD","HIGH_LOAD")),IF(HikeWorldModel!Q14&lt;=140,IF(HikeWorldModel!N14&lt;=120,"MODERATE_LOAD","HIGH_LOAD"),IF(HikeWorldModel!Q14&lt;=160,"HIGH_LOAD","EXTREME_LOAD")))</f>
        <v>HIGH_LOAD</v>
      </c>
      <c r="D15" s="3">
        <f>HikeWorldModel!Q14</f>
        <v>128</v>
      </c>
      <c r="E15" s="3" t="str">
        <f>INDEX(Population!B$4:B$7,MATCH(C15,Population!A$4:A$7,0))</f>
        <v>140–160</v>
      </c>
      <c r="F15" s="3" t="str">
        <f>IF(D15&lt;INDEX(Population!C$4:C$7,MATCH(C15,Population!A$4:A$7,0)),"BELOW",IF(D15&gt;INDEX(Population!D$4:D$7,MATCH(C15,Population!A$4:A$7,0)),"ABOVE","WITHIN"))</f>
        <v>BELOW</v>
      </c>
      <c r="G15" s="3">
        <f>HikeWorldModel!R14</f>
        <v>165</v>
      </c>
      <c r="H15" s="3" t="str">
        <f>INDEX(Population!E$4:E$7,MATCH(C15,Population!A$4:A$7,0))</f>
        <v>170–190</v>
      </c>
      <c r="I15" s="3" t="str">
        <f>IF(G15&lt;INDEX(Population!F$4:F$7,MATCH(C15,Population!A$4:A$7,0)),"BELOW",IF(G15&gt;INDEX(Population!G$4:G$7,MATCH(C15,Population!A$4:A$7,0)),"ABOVE","WITHIN"))</f>
        <v>BELOW</v>
      </c>
      <c r="J15" s="157">
        <f>HikeWorldModel!S14</f>
        <v>-9.1999999999999998E-3</v>
      </c>
      <c r="K15" s="3" t="str">
        <f>INDEX(Population!H$4:H$7,MATCH(C15,Population!A$4:A$7,0))&amp;" to "&amp;INDEX(Population!I$4:I$7,MATCH(C15,Population!A$4:A$7,0))</f>
        <v>0.05 to 0.08</v>
      </c>
      <c r="L15" s="3" t="str">
        <f>IF(J15&lt;0,"NEGATIVE (improving)",IF(J15&lt;INDEX(Population!H$4:H$7,MATCH(C15,Population!A$4:A$7,0)),"BELOW POP RANGE",IF(J15&gt;INDEX(Population!I$4:I$7,MATCH(C15,Population!A$4:A$7,0)),"ABOVE POP RANGE","WITHIN")))</f>
        <v>NEGATIVE (improving)</v>
      </c>
      <c r="M15" s="164">
        <f>HikeWorldModel!K14</f>
        <v>15</v>
      </c>
      <c r="N15" s="3" t="str">
        <f>INDEX(Population!J$4:J$7,MATCH(C15,Population!A$4:A$7,0))&amp;"–"&amp;INDEX(Population!K$4:K$7,MATCH(C15,Population!A$4:A$7,0))&amp;" mi"</f>
        <v>15–26 mi</v>
      </c>
      <c r="O15" s="3" t="str">
        <f>IF(M15&lt;INDEX(Population!J$4:J$7,MATCH(C15,Population!A$4:A$7,0)),"BELOW",IF(M15&gt;INDEX(Population!K$4:K$7,MATCH(C15,Population!A$4:A$7,0)),"ABOVE","WITHIN"))</f>
        <v>WITHIN</v>
      </c>
      <c r="P15" s="3">
        <f>HikeWorldModel!L14</f>
        <v>4770</v>
      </c>
      <c r="Q15" s="3" t="str">
        <f>INDEX(Population!L$4:L$7,MATCH(C15,Population!A$4:A$7,0))&amp;"–"&amp;INDEX(Population!M$4:M$7,MATCH(C15,Population!A$4:A$7,0))&amp;" ft"</f>
        <v>1500–4000 ft</v>
      </c>
      <c r="R15" s="3" t="str">
        <f>IF(P15&lt;INDEX(Population!L$4:L$7,MATCH(C15,Population!A$4:A$7,0)),"BELOW",IF(P15&gt;INDEX(Population!M$4:M$7,MATCH(C15,Population!A$4:A$7,0)),"ABOVE","WITHIN"))</f>
        <v>ABOVE</v>
      </c>
      <c r="S15" s="3">
        <f>HikeWorldModel!N14</f>
        <v>339</v>
      </c>
      <c r="T15" s="3" t="str">
        <f>IF(S15&lt;INDEX(Population!N$4:N$7,MATCH(C15,Population!A$4:A$7,0)),"BELOW",IF(S15&gt;INDEX(Population!O$4:O$7,MATCH(C15,Population!A$4:A$7,0)),"ABOVE","WITHIN"))</f>
        <v>ABOVE</v>
      </c>
      <c r="U15" s="3" t="str">
        <f>ROUND(INDEX(Population!C$4:C$7,MATCH(C15,Population!A$4:A$7,0))*Population!$B$36,0)&amp;"–"&amp;ROUND(INDEX(Population!D$4:D$7,MATCH(C15,Population!A$4:A$7,0))*Population!$B$36,0)</f>
        <v>124–141</v>
      </c>
      <c r="V15" s="3" t="str">
        <f>IF(D15&lt;ROUND(INDEX(Population!C$4:C$7,MATCH(C15,Population!A$4:A$7,0))*Population!$B$36,0),"BELOW",IF(D15&gt;ROUND(INDEX(Population!D$4:D$7,MATCH(C15,Population!A$4:A$7,0))*Population!$B$36,0),"ABOVE","WITHIN"))</f>
        <v>WITHIN</v>
      </c>
      <c r="W15" s="3" t="str">
        <f>ROUND(INDEX(Population!F$4:F$7,MATCH(C15,Population!A$4:A$7,0))*Population!$B$36,0)&amp;"–"&amp;ROUND(INDEX(Population!G$4:G$7,MATCH(C15,Population!A$4:A$7,0))*Population!$B$36,0)</f>
        <v>150–168</v>
      </c>
      <c r="X15" s="3" t="str">
        <f>IF(G15&lt;ROUND(INDEX(Population!F$4:F$7,MATCH(C15,Population!A$4:A$7,0))*Population!$B$36,0),"BELOW",IF(G15&gt;ROUND(INDEX(Population!G$4:G$7,MATCH(C15,Population!A$4:A$7,0))*Population!$B$36,0),"ABOVE","WITHIN"))</f>
        <v>WITHIN</v>
      </c>
      <c r="Y15" s="175">
        <f>Population!$B$36</f>
        <v>0.88421052631578945</v>
      </c>
      <c r="Z15" s="166" t="str">
        <f t="shared" si="0"/>
        <v>Age-adjusted: both HR metrics within expected range for age 52</v>
      </c>
    </row>
    <row r="16" spans="1:26" x14ac:dyDescent="0.25">
      <c r="A16">
        <f>HikeWorldModel!A15</f>
        <v>12</v>
      </c>
      <c r="B16" t="str">
        <f>HikeWorldModel!C15</f>
        <v>Sturtevant Falls to Mount Wilson</v>
      </c>
      <c r="C16" t="str">
        <f>IF(HikeWorldModel!Q15&lt;=130,IF(HikeWorldModel!N15&lt;=60,"FOUNDATION",IF(HikeWorldModel!N15&lt;=120,"MODERATE_LOAD","HIGH_LOAD")),IF(HikeWorldModel!Q15&lt;=140,IF(HikeWorldModel!N15&lt;=120,"MODERATE_LOAD","HIGH_LOAD"),IF(HikeWorldModel!Q15&lt;=160,"HIGH_LOAD","EXTREME_LOAD")))</f>
        <v>HIGH_LOAD</v>
      </c>
      <c r="D16" s="3">
        <f>HikeWorldModel!Q15</f>
        <v>126</v>
      </c>
      <c r="E16" s="3" t="str">
        <f>INDEX(Population!B$4:B$7,MATCH(C16,Population!A$4:A$7,0))</f>
        <v>140–160</v>
      </c>
      <c r="F16" s="3" t="str">
        <f>IF(D16&lt;INDEX(Population!C$4:C$7,MATCH(C16,Population!A$4:A$7,0)),"BELOW",IF(D16&gt;INDEX(Population!D$4:D$7,MATCH(C16,Population!A$4:A$7,0)),"ABOVE","WITHIN"))</f>
        <v>BELOW</v>
      </c>
      <c r="G16" s="3">
        <f>HikeWorldModel!R15</f>
        <v>153</v>
      </c>
      <c r="H16" s="3" t="str">
        <f>INDEX(Population!E$4:E$7,MATCH(C16,Population!A$4:A$7,0))</f>
        <v>170–190</v>
      </c>
      <c r="I16" s="3" t="str">
        <f>IF(G16&lt;INDEX(Population!F$4:F$7,MATCH(C16,Population!A$4:A$7,0)),"BELOW",IF(G16&gt;INDEX(Population!G$4:G$7,MATCH(C16,Population!A$4:A$7,0)),"ABOVE","WITHIN"))</f>
        <v>BELOW</v>
      </c>
      <c r="J16" s="157">
        <f>HikeWorldModel!S15</f>
        <v>0.01</v>
      </c>
      <c r="K16" s="3" t="str">
        <f>INDEX(Population!H$4:H$7,MATCH(C16,Population!A$4:A$7,0))&amp;" to "&amp;INDEX(Population!I$4:I$7,MATCH(C16,Population!A$4:A$7,0))</f>
        <v>0.05 to 0.08</v>
      </c>
      <c r="L16" s="3" t="str">
        <f>IF(J16&lt;0,"NEGATIVE (improving)",IF(J16&lt;INDEX(Population!H$4:H$7,MATCH(C16,Population!A$4:A$7,0)),"BELOW POP RANGE",IF(J16&gt;INDEX(Population!I$4:I$7,MATCH(C16,Population!A$4:A$7,0)),"ABOVE POP RANGE","WITHIN")))</f>
        <v>BELOW POP RANGE</v>
      </c>
      <c r="M16" s="164">
        <f>HikeWorldModel!K15</f>
        <v>13.6</v>
      </c>
      <c r="N16" s="3" t="str">
        <f>INDEX(Population!J$4:J$7,MATCH(C16,Population!A$4:A$7,0))&amp;"–"&amp;INDEX(Population!K$4:K$7,MATCH(C16,Population!A$4:A$7,0))&amp;" mi"</f>
        <v>15–26 mi</v>
      </c>
      <c r="O16" s="3" t="str">
        <f>IF(M16&lt;INDEX(Population!J$4:J$7,MATCH(C16,Population!A$4:A$7,0)),"BELOW",IF(M16&gt;INDEX(Population!K$4:K$7,MATCH(C16,Population!A$4:A$7,0)),"ABOVE","WITHIN"))</f>
        <v>BELOW</v>
      </c>
      <c r="P16" s="3">
        <f>HikeWorldModel!L15</f>
        <v>4501</v>
      </c>
      <c r="Q16" s="3" t="str">
        <f>INDEX(Population!L$4:L$7,MATCH(C16,Population!A$4:A$7,0))&amp;"–"&amp;INDEX(Population!M$4:M$7,MATCH(C16,Population!A$4:A$7,0))&amp;" ft"</f>
        <v>1500–4000 ft</v>
      </c>
      <c r="R16" s="3" t="str">
        <f>IF(P16&lt;INDEX(Population!L$4:L$7,MATCH(C16,Population!A$4:A$7,0)),"BELOW",IF(P16&gt;INDEX(Population!M$4:M$7,MATCH(C16,Population!A$4:A$7,0)),"ABOVE","WITHIN"))</f>
        <v>ABOVE</v>
      </c>
      <c r="S16" s="3">
        <f>HikeWorldModel!N15</f>
        <v>335</v>
      </c>
      <c r="T16" s="3" t="str">
        <f>IF(S16&lt;INDEX(Population!N$4:N$7,MATCH(C16,Population!A$4:A$7,0)),"BELOW",IF(S16&gt;INDEX(Population!O$4:O$7,MATCH(C16,Population!A$4:A$7,0)),"ABOVE","WITHIN"))</f>
        <v>ABOVE</v>
      </c>
      <c r="U16" s="3" t="str">
        <f>ROUND(INDEX(Population!C$4:C$7,MATCH(C16,Population!A$4:A$7,0))*Population!$B$36,0)&amp;"–"&amp;ROUND(INDEX(Population!D$4:D$7,MATCH(C16,Population!A$4:A$7,0))*Population!$B$36,0)</f>
        <v>124–141</v>
      </c>
      <c r="V16" s="3" t="str">
        <f>IF(D16&lt;ROUND(INDEX(Population!C$4:C$7,MATCH(C16,Population!A$4:A$7,0))*Population!$B$36,0),"BELOW",IF(D16&gt;ROUND(INDEX(Population!D$4:D$7,MATCH(C16,Population!A$4:A$7,0))*Population!$B$36,0),"ABOVE","WITHIN"))</f>
        <v>WITHIN</v>
      </c>
      <c r="W16" s="3" t="str">
        <f>ROUND(INDEX(Population!F$4:F$7,MATCH(C16,Population!A$4:A$7,0))*Population!$B$36,0)&amp;"–"&amp;ROUND(INDEX(Population!G$4:G$7,MATCH(C16,Population!A$4:A$7,0))*Population!$B$36,0)</f>
        <v>150–168</v>
      </c>
      <c r="X16" s="3" t="str">
        <f>IF(G16&lt;ROUND(INDEX(Population!F$4:F$7,MATCH(C16,Population!A$4:A$7,0))*Population!$B$36,0),"BELOW",IF(G16&gt;ROUND(INDEX(Population!G$4:G$7,MATCH(C16,Population!A$4:A$7,0))*Population!$B$36,0),"ABOVE","WITHIN"))</f>
        <v>WITHIN</v>
      </c>
      <c r="Y16" s="175">
        <f>Population!$B$36</f>
        <v>0.88421052631578945</v>
      </c>
      <c r="Z16" s="166" t="str">
        <f t="shared" si="0"/>
        <v>Age-adjusted: both HR metrics within expected range for age 52</v>
      </c>
    </row>
    <row r="17" spans="1:26" x14ac:dyDescent="0.25">
      <c r="A17">
        <f>HikeWorldModel!A16</f>
        <v>13</v>
      </c>
      <c r="B17" t="str">
        <f>HikeWorldModel!C16</f>
        <v>Skinsuit to Hagador Peak</v>
      </c>
      <c r="C17" t="str">
        <f>IF(HikeWorldModel!Q16&lt;=130,IF(HikeWorldModel!N16&lt;=60,"FOUNDATION",IF(HikeWorldModel!N16&lt;=120,"MODERATE_LOAD","HIGH_LOAD")),IF(HikeWorldModel!Q16&lt;=140,IF(HikeWorldModel!N16&lt;=120,"MODERATE_LOAD","HIGH_LOAD"),IF(HikeWorldModel!Q16&lt;=160,"HIGH_LOAD","EXTREME_LOAD")))</f>
        <v>HIGH_LOAD</v>
      </c>
      <c r="D17" s="3">
        <f>HikeWorldModel!Q16</f>
        <v>130</v>
      </c>
      <c r="E17" s="3" t="str">
        <f>INDEX(Population!B$4:B$7,MATCH(C17,Population!A$4:A$7,0))</f>
        <v>140–160</v>
      </c>
      <c r="F17" s="3" t="str">
        <f>IF(D17&lt;INDEX(Population!C$4:C$7,MATCH(C17,Population!A$4:A$7,0)),"BELOW",IF(D17&gt;INDEX(Population!D$4:D$7,MATCH(C17,Population!A$4:A$7,0)),"ABOVE","WITHIN"))</f>
        <v>BELOW</v>
      </c>
      <c r="G17" s="3">
        <f>HikeWorldModel!R16</f>
        <v>159</v>
      </c>
      <c r="H17" s="3" t="str">
        <f>INDEX(Population!E$4:E$7,MATCH(C17,Population!A$4:A$7,0))</f>
        <v>170–190</v>
      </c>
      <c r="I17" s="3" t="str">
        <f>IF(G17&lt;INDEX(Population!F$4:F$7,MATCH(C17,Population!A$4:A$7,0)),"BELOW",IF(G17&gt;INDEX(Population!G$4:G$7,MATCH(C17,Population!A$4:A$7,0)),"ABOVE","WITHIN"))</f>
        <v>BELOW</v>
      </c>
      <c r="J17" s="157">
        <f>HikeWorldModel!S16</f>
        <v>-2.8299999999999999E-2</v>
      </c>
      <c r="K17" s="3" t="str">
        <f>INDEX(Population!H$4:H$7,MATCH(C17,Population!A$4:A$7,0))&amp;" to "&amp;INDEX(Population!I$4:I$7,MATCH(C17,Population!A$4:A$7,0))</f>
        <v>0.05 to 0.08</v>
      </c>
      <c r="L17" s="3" t="str">
        <f>IF(J17&lt;0,"NEGATIVE (improving)",IF(J17&lt;INDEX(Population!H$4:H$7,MATCH(C17,Population!A$4:A$7,0)),"BELOW POP RANGE",IF(J17&gt;INDEX(Population!I$4:I$7,MATCH(C17,Population!A$4:A$7,0)),"ABOVE POP RANGE","WITHIN")))</f>
        <v>NEGATIVE (improving)</v>
      </c>
      <c r="M17" s="164">
        <f>HikeWorldModel!K16</f>
        <v>9.5</v>
      </c>
      <c r="N17" s="3" t="str">
        <f>INDEX(Population!J$4:J$7,MATCH(C17,Population!A$4:A$7,0))&amp;"–"&amp;INDEX(Population!K$4:K$7,MATCH(C17,Population!A$4:A$7,0))&amp;" mi"</f>
        <v>15–26 mi</v>
      </c>
      <c r="O17" s="3" t="str">
        <f>IF(M17&lt;INDEX(Population!J$4:J$7,MATCH(C17,Population!A$4:A$7,0)),"BELOW",IF(M17&gt;INDEX(Population!K$4:K$7,MATCH(C17,Population!A$4:A$7,0)),"ABOVE","WITHIN"))</f>
        <v>BELOW</v>
      </c>
      <c r="P17" s="3">
        <f>HikeWorldModel!L16</f>
        <v>3235</v>
      </c>
      <c r="Q17" s="3" t="str">
        <f>INDEX(Population!L$4:L$7,MATCH(C17,Population!A$4:A$7,0))&amp;"–"&amp;INDEX(Population!M$4:M$7,MATCH(C17,Population!A$4:A$7,0))&amp;" ft"</f>
        <v>1500–4000 ft</v>
      </c>
      <c r="R17" s="3" t="str">
        <f>IF(P17&lt;INDEX(Population!L$4:L$7,MATCH(C17,Population!A$4:A$7,0)),"BELOW",IF(P17&gt;INDEX(Population!M$4:M$7,MATCH(C17,Population!A$4:A$7,0)),"ABOVE","WITHIN"))</f>
        <v>WITHIN</v>
      </c>
      <c r="S17" s="3">
        <f>HikeWorldModel!N16</f>
        <v>285</v>
      </c>
      <c r="T17" s="3" t="str">
        <f>IF(S17&lt;INDEX(Population!N$4:N$7,MATCH(C17,Population!A$4:A$7,0)),"BELOW",IF(S17&gt;INDEX(Population!O$4:O$7,MATCH(C17,Population!A$4:A$7,0)),"ABOVE","WITHIN"))</f>
        <v>WITHIN</v>
      </c>
      <c r="U17" s="3" t="str">
        <f>ROUND(INDEX(Population!C$4:C$7,MATCH(C17,Population!A$4:A$7,0))*Population!$B$36,0)&amp;"–"&amp;ROUND(INDEX(Population!D$4:D$7,MATCH(C17,Population!A$4:A$7,0))*Population!$B$36,0)</f>
        <v>124–141</v>
      </c>
      <c r="V17" s="3" t="str">
        <f>IF(D17&lt;ROUND(INDEX(Population!C$4:C$7,MATCH(C17,Population!A$4:A$7,0))*Population!$B$36,0),"BELOW",IF(D17&gt;ROUND(INDEX(Population!D$4:D$7,MATCH(C17,Population!A$4:A$7,0))*Population!$B$36,0),"ABOVE","WITHIN"))</f>
        <v>WITHIN</v>
      </c>
      <c r="W17" s="3" t="str">
        <f>ROUND(INDEX(Population!F$4:F$7,MATCH(C17,Population!A$4:A$7,0))*Population!$B$36,0)&amp;"–"&amp;ROUND(INDEX(Population!G$4:G$7,MATCH(C17,Population!A$4:A$7,0))*Population!$B$36,0)</f>
        <v>150–168</v>
      </c>
      <c r="X17" s="3" t="str">
        <f>IF(G17&lt;ROUND(INDEX(Population!F$4:F$7,MATCH(C17,Population!A$4:A$7,0))*Population!$B$36,0),"BELOW",IF(G17&gt;ROUND(INDEX(Population!G$4:G$7,MATCH(C17,Population!A$4:A$7,0))*Population!$B$36,0),"ABOVE","WITHIN"))</f>
        <v>WITHIN</v>
      </c>
      <c r="Y17" s="175">
        <f>Population!$B$36</f>
        <v>0.88421052631578945</v>
      </c>
      <c r="Z17" s="166" t="str">
        <f t="shared" si="0"/>
        <v>Age-adjusted: both HR metrics within expected range for age 52</v>
      </c>
    </row>
    <row r="18" spans="1:26" x14ac:dyDescent="0.25">
      <c r="A18">
        <f>HikeWorldModel!A17</f>
        <v>14</v>
      </c>
      <c r="B18" t="str">
        <f>HikeWorldModel!C17</f>
        <v>Little Santa Anita to Mount Wilson</v>
      </c>
      <c r="C18" t="str">
        <f>IF(HikeWorldModel!Q17&lt;=130,IF(HikeWorldModel!N17&lt;=60,"FOUNDATION",IF(HikeWorldModel!N17&lt;=120,"MODERATE_LOAD","HIGH_LOAD")),IF(HikeWorldModel!Q17&lt;=140,IF(HikeWorldModel!N17&lt;=120,"MODERATE_LOAD","HIGH_LOAD"),IF(HikeWorldModel!Q17&lt;=160,"HIGH_LOAD","EXTREME_LOAD")))</f>
        <v>HIGH_LOAD</v>
      </c>
      <c r="D18" s="3">
        <f>HikeWorldModel!Q17</f>
        <v>130</v>
      </c>
      <c r="E18" s="3" t="str">
        <f>INDEX(Population!B$4:B$7,MATCH(C18,Population!A$4:A$7,0))</f>
        <v>140–160</v>
      </c>
      <c r="F18" s="3" t="str">
        <f>IF(D18&lt;INDEX(Population!C$4:C$7,MATCH(C18,Population!A$4:A$7,0)),"BELOW",IF(D18&gt;INDEX(Population!D$4:D$7,MATCH(C18,Population!A$4:A$7,0)),"ABOVE","WITHIN"))</f>
        <v>BELOW</v>
      </c>
      <c r="G18" s="3">
        <f>HikeWorldModel!R17</f>
        <v>158</v>
      </c>
      <c r="H18" s="3" t="str">
        <f>INDEX(Population!E$4:E$7,MATCH(C18,Population!A$4:A$7,0))</f>
        <v>170–190</v>
      </c>
      <c r="I18" s="3" t="str">
        <f>IF(G18&lt;INDEX(Population!F$4:F$7,MATCH(C18,Population!A$4:A$7,0)),"BELOW",IF(G18&gt;INDEX(Population!G$4:G$7,MATCH(C18,Population!A$4:A$7,0)),"ABOVE","WITHIN"))</f>
        <v>BELOW</v>
      </c>
      <c r="J18" s="157">
        <f>HikeWorldModel!S17</f>
        <v>-6.7000000000000002E-3</v>
      </c>
      <c r="K18" s="3" t="str">
        <f>INDEX(Population!H$4:H$7,MATCH(C18,Population!A$4:A$7,0))&amp;" to "&amp;INDEX(Population!I$4:I$7,MATCH(C18,Population!A$4:A$7,0))</f>
        <v>0.05 to 0.08</v>
      </c>
      <c r="L18" s="3" t="str">
        <f>IF(J18&lt;0,"NEGATIVE (improving)",IF(J18&lt;INDEX(Population!H$4:H$7,MATCH(C18,Population!A$4:A$7,0)),"BELOW POP RANGE",IF(J18&gt;INDEX(Population!I$4:I$7,MATCH(C18,Population!A$4:A$7,0)),"ABOVE POP RANGE","WITHIN")))</f>
        <v>NEGATIVE (improving)</v>
      </c>
      <c r="M18" s="164">
        <f>HikeWorldModel!K17</f>
        <v>14.8</v>
      </c>
      <c r="N18" s="3" t="str">
        <f>INDEX(Population!J$4:J$7,MATCH(C18,Population!A$4:A$7,0))&amp;"–"&amp;INDEX(Population!K$4:K$7,MATCH(C18,Population!A$4:A$7,0))&amp;" mi"</f>
        <v>15–26 mi</v>
      </c>
      <c r="O18" s="3" t="str">
        <f>IF(M18&lt;INDEX(Population!J$4:J$7,MATCH(C18,Population!A$4:A$7,0)),"BELOW",IF(M18&gt;INDEX(Population!K$4:K$7,MATCH(C18,Population!A$4:A$7,0)),"ABOVE","WITHIN"))</f>
        <v>BELOW</v>
      </c>
      <c r="P18" s="3">
        <f>HikeWorldModel!L17</f>
        <v>5049</v>
      </c>
      <c r="Q18" s="3" t="str">
        <f>INDEX(Population!L$4:L$7,MATCH(C18,Population!A$4:A$7,0))&amp;"–"&amp;INDEX(Population!M$4:M$7,MATCH(C18,Population!A$4:A$7,0))&amp;" ft"</f>
        <v>1500–4000 ft</v>
      </c>
      <c r="R18" s="3" t="str">
        <f>IF(P18&lt;INDEX(Population!L$4:L$7,MATCH(C18,Population!A$4:A$7,0)),"BELOW",IF(P18&gt;INDEX(Population!M$4:M$7,MATCH(C18,Population!A$4:A$7,0)),"ABOVE","WITHIN"))</f>
        <v>ABOVE</v>
      </c>
      <c r="S18" s="3">
        <f>HikeWorldModel!N17</f>
        <v>396</v>
      </c>
      <c r="T18" s="3" t="str">
        <f>IF(S18&lt;INDEX(Population!N$4:N$7,MATCH(C18,Population!A$4:A$7,0)),"BELOW",IF(S18&gt;INDEX(Population!O$4:O$7,MATCH(C18,Population!A$4:A$7,0)),"ABOVE","WITHIN"))</f>
        <v>ABOVE</v>
      </c>
      <c r="U18" s="3" t="str">
        <f>ROUND(INDEX(Population!C$4:C$7,MATCH(C18,Population!A$4:A$7,0))*Population!$B$36,0)&amp;"–"&amp;ROUND(INDEX(Population!D$4:D$7,MATCH(C18,Population!A$4:A$7,0))*Population!$B$36,0)</f>
        <v>124–141</v>
      </c>
      <c r="V18" s="3" t="str">
        <f>IF(D18&lt;ROUND(INDEX(Population!C$4:C$7,MATCH(C18,Population!A$4:A$7,0))*Population!$B$36,0),"BELOW",IF(D18&gt;ROUND(INDEX(Population!D$4:D$7,MATCH(C18,Population!A$4:A$7,0))*Population!$B$36,0),"ABOVE","WITHIN"))</f>
        <v>WITHIN</v>
      </c>
      <c r="W18" s="3" t="str">
        <f>ROUND(INDEX(Population!F$4:F$7,MATCH(C18,Population!A$4:A$7,0))*Population!$B$36,0)&amp;"–"&amp;ROUND(INDEX(Population!G$4:G$7,MATCH(C18,Population!A$4:A$7,0))*Population!$B$36,0)</f>
        <v>150–168</v>
      </c>
      <c r="X18" s="3" t="str">
        <f>IF(G18&lt;ROUND(INDEX(Population!F$4:F$7,MATCH(C18,Population!A$4:A$7,0))*Population!$B$36,0),"BELOW",IF(G18&gt;ROUND(INDEX(Population!G$4:G$7,MATCH(C18,Population!A$4:A$7,0))*Population!$B$36,0),"ABOVE","WITHIN"))</f>
        <v>WITHIN</v>
      </c>
      <c r="Y18" s="175">
        <f>Population!$B$36</f>
        <v>0.88421052631578945</v>
      </c>
      <c r="Z18" s="166" t="str">
        <f t="shared" si="0"/>
        <v>Age-adjusted: both HR metrics within expected range for age 52</v>
      </c>
    </row>
    <row r="19" spans="1:26" x14ac:dyDescent="0.25">
      <c r="A19">
        <f>HikeWorldModel!A18</f>
        <v>15</v>
      </c>
      <c r="B19" t="str">
        <f>HikeWorldModel!C18</f>
        <v>Ski Hut to Mount Baldy, out and back</v>
      </c>
      <c r="C19" t="str">
        <f>IF(HikeWorldModel!Q18&lt;=130,IF(HikeWorldModel!N18&lt;=60,"FOUNDATION",IF(HikeWorldModel!N18&lt;=120,"MODERATE_LOAD","HIGH_LOAD")),IF(HikeWorldModel!Q18&lt;=140,IF(HikeWorldModel!N18&lt;=120,"MODERATE_LOAD","HIGH_LOAD"),IF(HikeWorldModel!Q18&lt;=160,"HIGH_LOAD","EXTREME_LOAD")))</f>
        <v>HIGH_LOAD</v>
      </c>
      <c r="D19" s="3">
        <f>HikeWorldModel!Q18</f>
        <v>126</v>
      </c>
      <c r="E19" s="3" t="str">
        <f>INDEX(Population!B$4:B$7,MATCH(C19,Population!A$4:A$7,0))</f>
        <v>140–160</v>
      </c>
      <c r="F19" s="3" t="str">
        <f>IF(D19&lt;INDEX(Population!C$4:C$7,MATCH(C19,Population!A$4:A$7,0)),"BELOW",IF(D19&gt;INDEX(Population!D$4:D$7,MATCH(C19,Population!A$4:A$7,0)),"ABOVE","WITHIN"))</f>
        <v>BELOW</v>
      </c>
      <c r="G19" s="3">
        <f>HikeWorldModel!R18</f>
        <v>157</v>
      </c>
      <c r="H19" s="3" t="str">
        <f>INDEX(Population!E$4:E$7,MATCH(C19,Population!A$4:A$7,0))</f>
        <v>170–190</v>
      </c>
      <c r="I19" s="3" t="str">
        <f>IF(G19&lt;INDEX(Population!F$4:F$7,MATCH(C19,Population!A$4:A$7,0)),"BELOW",IF(G19&gt;INDEX(Population!G$4:G$7,MATCH(C19,Population!A$4:A$7,0)),"ABOVE","WITHIN"))</f>
        <v>BELOW</v>
      </c>
      <c r="J19" s="157">
        <f>HikeWorldModel!S18</f>
        <v>-5.0000000000000001E-4</v>
      </c>
      <c r="K19" s="3" t="str">
        <f>INDEX(Population!H$4:H$7,MATCH(C19,Population!A$4:A$7,0))&amp;" to "&amp;INDEX(Population!I$4:I$7,MATCH(C19,Population!A$4:A$7,0))</f>
        <v>0.05 to 0.08</v>
      </c>
      <c r="L19" s="3" t="str">
        <f>IF(J19&lt;0,"NEGATIVE (improving)",IF(J19&lt;INDEX(Population!H$4:H$7,MATCH(C19,Population!A$4:A$7,0)),"BELOW POP RANGE",IF(J19&gt;INDEX(Population!I$4:I$7,MATCH(C19,Population!A$4:A$7,0)),"ABOVE POP RANGE","WITHIN")))</f>
        <v>NEGATIVE (improving)</v>
      </c>
      <c r="M19" s="164">
        <f>HikeWorldModel!K18</f>
        <v>8.9</v>
      </c>
      <c r="N19" s="3" t="str">
        <f>INDEX(Population!J$4:J$7,MATCH(C19,Population!A$4:A$7,0))&amp;"–"&amp;INDEX(Population!K$4:K$7,MATCH(C19,Population!A$4:A$7,0))&amp;" mi"</f>
        <v>15–26 mi</v>
      </c>
      <c r="O19" s="3" t="str">
        <f>IF(M19&lt;INDEX(Population!J$4:J$7,MATCH(C19,Population!A$4:A$7,0)),"BELOW",IF(M19&gt;INDEX(Population!K$4:K$7,MATCH(C19,Population!A$4:A$7,0)),"ABOVE","WITHIN"))</f>
        <v>BELOW</v>
      </c>
      <c r="P19" s="3">
        <f>HikeWorldModel!L18</f>
        <v>4121</v>
      </c>
      <c r="Q19" s="3" t="str">
        <f>INDEX(Population!L$4:L$7,MATCH(C19,Population!A$4:A$7,0))&amp;"–"&amp;INDEX(Population!M$4:M$7,MATCH(C19,Population!A$4:A$7,0))&amp;" ft"</f>
        <v>1500–4000 ft</v>
      </c>
      <c r="R19" s="3" t="str">
        <f>IF(P19&lt;INDEX(Population!L$4:L$7,MATCH(C19,Population!A$4:A$7,0)),"BELOW",IF(P19&gt;INDEX(Population!M$4:M$7,MATCH(C19,Population!A$4:A$7,0)),"ABOVE","WITHIN"))</f>
        <v>ABOVE</v>
      </c>
      <c r="S19" s="3">
        <f>HikeWorldModel!N18</f>
        <v>328</v>
      </c>
      <c r="T19" s="3" t="str">
        <f>IF(S19&lt;INDEX(Population!N$4:N$7,MATCH(C19,Population!A$4:A$7,0)),"BELOW",IF(S19&gt;INDEX(Population!O$4:O$7,MATCH(C19,Population!A$4:A$7,0)),"ABOVE","WITHIN"))</f>
        <v>ABOVE</v>
      </c>
      <c r="U19" s="3" t="str">
        <f>ROUND(INDEX(Population!C$4:C$7,MATCH(C19,Population!A$4:A$7,0))*Population!$B$36,0)&amp;"–"&amp;ROUND(INDEX(Population!D$4:D$7,MATCH(C19,Population!A$4:A$7,0))*Population!$B$36,0)</f>
        <v>124–141</v>
      </c>
      <c r="V19" s="3" t="str">
        <f>IF(D19&lt;ROUND(INDEX(Population!C$4:C$7,MATCH(C19,Population!A$4:A$7,0))*Population!$B$36,0),"BELOW",IF(D19&gt;ROUND(INDEX(Population!D$4:D$7,MATCH(C19,Population!A$4:A$7,0))*Population!$B$36,0),"ABOVE","WITHIN"))</f>
        <v>WITHIN</v>
      </c>
      <c r="W19" s="3" t="str">
        <f>ROUND(INDEX(Population!F$4:F$7,MATCH(C19,Population!A$4:A$7,0))*Population!$B$36,0)&amp;"–"&amp;ROUND(INDEX(Population!G$4:G$7,MATCH(C19,Population!A$4:A$7,0))*Population!$B$36,0)</f>
        <v>150–168</v>
      </c>
      <c r="X19" s="3" t="str">
        <f>IF(G19&lt;ROUND(INDEX(Population!F$4:F$7,MATCH(C19,Population!A$4:A$7,0))*Population!$B$36,0),"BELOW",IF(G19&gt;ROUND(INDEX(Population!G$4:G$7,MATCH(C19,Population!A$4:A$7,0))*Population!$B$36,0),"ABOVE","WITHIN"))</f>
        <v>WITHIN</v>
      </c>
      <c r="Y19" s="175">
        <f>Population!$B$36</f>
        <v>0.88421052631578945</v>
      </c>
      <c r="Z19" s="166" t="str">
        <f t="shared" si="0"/>
        <v>Age-adjusted: both HR metrics within expected range for age 52</v>
      </c>
    </row>
    <row r="21" spans="1:26" x14ac:dyDescent="0.25">
      <c r="A21" s="158" t="s">
        <v>1606</v>
      </c>
    </row>
    <row r="22" spans="1:26" x14ac:dyDescent="0.25">
      <c r="A22" s="159" t="s">
        <v>1362</v>
      </c>
      <c r="C22" s="159" t="s">
        <v>1607</v>
      </c>
      <c r="D22" s="159" t="s">
        <v>1608</v>
      </c>
      <c r="E22" s="159" t="s">
        <v>1609</v>
      </c>
      <c r="F22" s="159" t="s">
        <v>1610</v>
      </c>
      <c r="G22" s="159" t="s">
        <v>1611</v>
      </c>
      <c r="H22" s="159" t="s">
        <v>1612</v>
      </c>
    </row>
    <row r="23" spans="1:26" x14ac:dyDescent="0.25">
      <c r="A23" s="30" t="s">
        <v>1390</v>
      </c>
      <c r="C23" s="160">
        <f>AVERAGE(D5:D19)</f>
        <v>128</v>
      </c>
      <c r="D23" s="3">
        <f>MIN(D5:D19)</f>
        <v>123</v>
      </c>
      <c r="E23" s="3">
        <f>MAX(D5:D19)</f>
        <v>132</v>
      </c>
      <c r="F23" s="165">
        <f>Population!C6</f>
        <v>140</v>
      </c>
      <c r="G23" s="165">
        <f>Population!D6</f>
        <v>160</v>
      </c>
      <c r="H23" s="166" t="str">
        <f>IF(E23&lt;F23,"ALL hikes BELOW pop range — consistently lower avg HR under high load",IF(C23&gt;G23,"Above pop range","Within range"))</f>
        <v>ALL hikes BELOW pop range — consistently lower avg HR under high load</v>
      </c>
    </row>
    <row r="24" spans="1:26" x14ac:dyDescent="0.25">
      <c r="A24" s="30" t="s">
        <v>1391</v>
      </c>
      <c r="C24" s="160">
        <f>AVERAGE(G5:G19)</f>
        <v>156.53333333333333</v>
      </c>
      <c r="D24" s="3">
        <f>MIN(G5:G19)</f>
        <v>150</v>
      </c>
      <c r="E24" s="3">
        <f>MAX(G5:G19)</f>
        <v>165</v>
      </c>
      <c r="F24" s="165">
        <f>Population!F6</f>
        <v>170</v>
      </c>
      <c r="G24" s="165">
        <f>Population!G6</f>
        <v>190</v>
      </c>
      <c r="H24" s="166" t="str">
        <f>IF(E24&lt;F24,"ALL hikes BELOW pop range — max HR stays well below expected threshold",IF(C24&gt;G24,"Above pop range","Within range"))</f>
        <v>ALL hikes BELOW pop range — max HR stays well below expected threshold</v>
      </c>
    </row>
    <row r="25" spans="1:26" x14ac:dyDescent="0.25">
      <c r="A25" s="30" t="s">
        <v>1613</v>
      </c>
      <c r="C25" s="157">
        <f>AVERAGE(J5:J19)</f>
        <v>-9.006666666666668E-3</v>
      </c>
      <c r="D25" s="157">
        <f>MIN(J5:J19)</f>
        <v>-2.8299999999999999E-2</v>
      </c>
      <c r="E25" s="157">
        <f>MAX(J5:J19)</f>
        <v>0.01</v>
      </c>
      <c r="F25" s="167">
        <f>Population!H6</f>
        <v>0.05</v>
      </c>
      <c r="G25" s="167">
        <f>Population!I6</f>
        <v>0.08</v>
      </c>
      <c r="H25" s="166" t="str">
        <f>"Terrain-adjusted drift avg "&amp;TEXT(C25,"0.0%")&amp;" (range "&amp;TEXT(D25,"0.0%")&amp;" to "&amp;TEXT(E25,"+0.0%")&amp;"). Pop expects +5–8%. Near-zero drift = exceptional stability."</f>
        <v>Terrain-adjusted drift avg -0.9% (range -2.8% to +1.0%). Pop expects +5–8%. Near-zero drift = exceptional stability.</v>
      </c>
    </row>
    <row r="26" spans="1:26" x14ac:dyDescent="0.25">
      <c r="A26" s="30" t="s">
        <v>811</v>
      </c>
      <c r="C26" s="164">
        <f>AVERAGE(M5:M19)</f>
        <v>10.611333333333334</v>
      </c>
      <c r="D26" s="164">
        <f>MIN(M5:M19)</f>
        <v>8.3000000000000007</v>
      </c>
      <c r="E26" s="164">
        <f>MAX(M5:M19)</f>
        <v>15</v>
      </c>
      <c r="F26" s="165">
        <f>Population!J6</f>
        <v>15</v>
      </c>
      <c r="G26" s="165">
        <f>Population!K6</f>
        <v>26</v>
      </c>
      <c r="H26" s="166" t="str">
        <f>IF(AND(D26&gt;=F26,E26&lt;=G26),"Within range",IF(D26&lt;F26,"Some below minimum","Some above maximum"))</f>
        <v>Some below minimum</v>
      </c>
    </row>
    <row r="27" spans="1:26" x14ac:dyDescent="0.25">
      <c r="A27" s="30" t="s">
        <v>1602</v>
      </c>
      <c r="C27" s="168">
        <f>AVERAGE(P5:P19)</f>
        <v>4118.9333333333334</v>
      </c>
      <c r="D27" s="168">
        <f>MIN(P5:P19)</f>
        <v>3235</v>
      </c>
      <c r="E27" s="168">
        <f>MAX(P5:P19)</f>
        <v>5049</v>
      </c>
      <c r="F27" s="169">
        <f>Population!L6</f>
        <v>1500</v>
      </c>
      <c r="G27" s="169">
        <f>Population!M6</f>
        <v>4000</v>
      </c>
      <c r="H27" s="166" t="str">
        <f>IF(E27&gt;G27,"ABOVE pop max — elevation gain exceeds population high-load range","Within range")</f>
        <v>ABOVE pop max — elevation gain exceeds population high-load range</v>
      </c>
    </row>
    <row r="28" spans="1:26" x14ac:dyDescent="0.25">
      <c r="A28" s="30" t="s">
        <v>1404</v>
      </c>
      <c r="C28" s="170">
        <f>AVERAGE(S5:S19)</f>
        <v>336.06666666666666</v>
      </c>
      <c r="D28" s="170">
        <f>MIN(S5:S19)</f>
        <v>264</v>
      </c>
      <c r="E28" s="170">
        <f>MAX(S5:S19)</f>
        <v>397</v>
      </c>
      <c r="F28" s="165">
        <f>Population!N6</f>
        <v>120</v>
      </c>
      <c r="G28" s="165">
        <f>Population!O6</f>
        <v>300</v>
      </c>
      <c r="H28" s="166" t="str">
        <f>IF(E28&gt;G28,"Some ABOVE pop max — extended durations beyond typical high-load","Within range")</f>
        <v>Some ABOVE pop max — extended durations beyond typical high-load</v>
      </c>
    </row>
    <row r="29" spans="1:26" x14ac:dyDescent="0.25">
      <c r="A29" s="176" t="s">
        <v>1644</v>
      </c>
      <c r="C29" s="160">
        <f t="shared" ref="C29:E30" si="1">C23</f>
        <v>128</v>
      </c>
      <c r="D29" s="3">
        <f t="shared" si="1"/>
        <v>123</v>
      </c>
      <c r="E29" s="3">
        <f t="shared" si="1"/>
        <v>132</v>
      </c>
      <c r="F29" s="177">
        <f>ROUND(Population!C6*Population!$B$36,0)</f>
        <v>124</v>
      </c>
      <c r="G29" s="177">
        <f>ROUND(Population!D6*Population!$B$36,0)</f>
        <v>141</v>
      </c>
      <c r="H29" s="178" t="str">
        <f>IF(AND(D29&gt;=F29,E29&lt;=G29),"Age-adjusted: ALL hikes now WITHIN expected range for age 52",IF(E29&lt;F29,"Age-adjusted: some still BELOW — efficiency exceeds even age-corrected expectations","Age-adjusted: mix of within and outside range"))</f>
        <v>Age-adjusted: mix of within and outside range</v>
      </c>
    </row>
    <row r="30" spans="1:26" x14ac:dyDescent="0.25">
      <c r="A30" s="176" t="s">
        <v>1645</v>
      </c>
      <c r="C30" s="160">
        <f t="shared" si="1"/>
        <v>156.53333333333333</v>
      </c>
      <c r="D30" s="3">
        <f t="shared" si="1"/>
        <v>150</v>
      </c>
      <c r="E30" s="3">
        <f t="shared" si="1"/>
        <v>165</v>
      </c>
      <c r="F30" s="177">
        <f>ROUND(Population!F6*Population!$B$36,0)</f>
        <v>150</v>
      </c>
      <c r="G30" s="177">
        <f>ROUND(Population!G6*Population!$B$36,0)</f>
        <v>168</v>
      </c>
      <c r="H30" s="178" t="str">
        <f>IF(AND(D30&gt;=F30,E30&lt;=G30),"Age-adjusted: ALL hikes now WITHIN expected range for age 52",IF(E30&gt;G30,"Age-adjusted: some still ABOVE age-corrected max","Age-adjusted: mix within range"))</f>
        <v>Age-adjusted: ALL hikes now WITHIN expected range for age 52</v>
      </c>
    </row>
    <row r="31" spans="1:26" ht="17.25" x14ac:dyDescent="0.3">
      <c r="A31" s="162" t="s">
        <v>1614</v>
      </c>
    </row>
    <row r="32" spans="1:26" x14ac:dyDescent="0.25">
      <c r="A32" s="163" t="s">
        <v>1615</v>
      </c>
    </row>
    <row r="34" spans="1:15" x14ac:dyDescent="0.25">
      <c r="A34" s="47" t="s">
        <v>1368</v>
      </c>
      <c r="B34" s="47" t="s">
        <v>0</v>
      </c>
      <c r="C34" s="47" t="s">
        <v>1591</v>
      </c>
      <c r="D34" s="47" t="s">
        <v>1592</v>
      </c>
      <c r="E34" s="47" t="s">
        <v>1593</v>
      </c>
      <c r="F34" s="47" t="s">
        <v>1594</v>
      </c>
      <c r="G34" s="47" t="s">
        <v>1595</v>
      </c>
      <c r="H34" s="47" t="s">
        <v>1596</v>
      </c>
      <c r="I34" s="47" t="s">
        <v>811</v>
      </c>
      <c r="J34" s="47" t="s">
        <v>1404</v>
      </c>
      <c r="K34" s="47" t="s">
        <v>1605</v>
      </c>
      <c r="L34" s="174" t="s">
        <v>1638</v>
      </c>
      <c r="M34" s="174" t="s">
        <v>1639</v>
      </c>
      <c r="N34" s="174" t="s">
        <v>1640</v>
      </c>
      <c r="O34" s="174" t="s">
        <v>1641</v>
      </c>
    </row>
    <row r="35" spans="1:15" x14ac:dyDescent="0.25">
      <c r="A35" s="3">
        <v>1</v>
      </c>
      <c r="B35" s="171">
        <f>Foundation!C4</f>
        <v>46084</v>
      </c>
      <c r="C35" s="3">
        <f>Foundation!C18</f>
        <v>111</v>
      </c>
      <c r="D35" s="165" t="str">
        <f>Population!B4</f>
        <v>110–130</v>
      </c>
      <c r="E35" s="3" t="str">
        <f>IF(C35&lt;Population!C$4,"BELOW",IF(C35&gt;Population!D$4,"ABOVE","WITHIN"))</f>
        <v>WITHIN</v>
      </c>
      <c r="F35" s="3">
        <f>Foundation!C19</f>
        <v>134</v>
      </c>
      <c r="G35" s="165" t="str">
        <f>Population!E4</f>
        <v>130–150</v>
      </c>
      <c r="H35" s="3" t="str">
        <f>IF(F35&lt;Population!F$4,"BELOW",IF(F35&gt;Population!G$4,"ABOVE","WITHIN"))</f>
        <v>WITHIN</v>
      </c>
      <c r="I35" s="164">
        <f>Foundation!C9</f>
        <v>3.2</v>
      </c>
      <c r="J35" s="160">
        <f>Foundation!C8</f>
        <v>59</v>
      </c>
      <c r="K35" t="str">
        <f>IF(J35&lt;Population!N$4,"BELOW",IF(J35&gt;Population!O$4,"ABOVE","WITHIN"))</f>
        <v>WITHIN</v>
      </c>
      <c r="L35" s="3" t="str">
        <f>ROUND(Population!C$4*Population!$B$36,0)&amp;"–"&amp;ROUND(Population!D$4*Population!$B$36,0)</f>
        <v>97–115</v>
      </c>
      <c r="M35" s="3" t="str">
        <f>IF(C35&lt;ROUND(Population!C$4*Population!$B$36,0),"BELOW",IF(C35&gt;ROUND(Population!D$4*Population!$B$36,0),"ABOVE","WITHIN"))</f>
        <v>WITHIN</v>
      </c>
      <c r="N35" s="3" t="str">
        <f>ROUND(Population!F$4*Population!$B$36,0)&amp;"–"&amp;ROUND(Population!G$4*Population!$B$36,0)</f>
        <v>115–133</v>
      </c>
      <c r="O35" s="3" t="str">
        <f>IF(F35&lt;ROUND(Population!F$4*Population!$B$36,0),"BELOW",IF(F35&gt;ROUND(Population!G$4*Population!$B$36,0),"ABOVE","WITHIN"))</f>
        <v>ABOVE</v>
      </c>
    </row>
    <row r="36" spans="1:15" x14ac:dyDescent="0.25">
      <c r="A36" s="3">
        <v>2</v>
      </c>
      <c r="B36" s="171">
        <f>Foundation!D4</f>
        <v>46086</v>
      </c>
      <c r="C36" s="3">
        <f>Foundation!D18</f>
        <v>107</v>
      </c>
      <c r="D36" s="165" t="str">
        <f>Population!B4</f>
        <v>110–130</v>
      </c>
      <c r="E36" s="3" t="str">
        <f>IF(C36&lt;Population!C$4,"BELOW",IF(C36&gt;Population!D$4,"ABOVE","WITHIN"))</f>
        <v>BELOW</v>
      </c>
      <c r="F36" s="3">
        <f>Foundation!D19</f>
        <v>127</v>
      </c>
      <c r="G36" s="165" t="str">
        <f>Population!E4</f>
        <v>130–150</v>
      </c>
      <c r="H36" s="3" t="str">
        <f>IF(F36&lt;Population!F$4,"BELOW",IF(F36&gt;Population!G$4,"ABOVE","WITHIN"))</f>
        <v>BELOW</v>
      </c>
      <c r="I36" s="164">
        <f>Foundation!D9</f>
        <v>3.1</v>
      </c>
      <c r="J36" s="160">
        <f>Foundation!D8</f>
        <v>58</v>
      </c>
      <c r="K36" t="str">
        <f>IF(J36&lt;Population!N$4,"BELOW",IF(J36&gt;Population!O$4,"ABOVE","WITHIN"))</f>
        <v>WITHIN</v>
      </c>
      <c r="L36" s="3" t="str">
        <f>ROUND(Population!C$4*Population!$B$36,0)&amp;"–"&amp;ROUND(Population!D$4*Population!$B$36,0)</f>
        <v>97–115</v>
      </c>
      <c r="M36" s="3" t="str">
        <f>IF(C36&lt;ROUND(Population!C$4*Population!$B$36,0),"BELOW",IF(C36&gt;ROUND(Population!D$4*Population!$B$36,0),"ABOVE","WITHIN"))</f>
        <v>WITHIN</v>
      </c>
      <c r="N36" s="3" t="str">
        <f>ROUND(Population!F$4*Population!$B$36,0)&amp;"–"&amp;ROUND(Population!G$4*Population!$B$36,0)</f>
        <v>115–133</v>
      </c>
      <c r="O36" s="3" t="str">
        <f>IF(F36&lt;ROUND(Population!F$4*Population!$B$36,0),"BELOW",IF(F36&gt;ROUND(Population!G$4*Population!$B$36,0),"ABOVE","WITHIN"))</f>
        <v>WITHIN</v>
      </c>
    </row>
    <row r="37" spans="1:15" x14ac:dyDescent="0.25">
      <c r="A37" s="3">
        <v>3</v>
      </c>
      <c r="B37" s="171">
        <f>Foundation!E4</f>
        <v>46091</v>
      </c>
      <c r="C37" s="3">
        <f>Foundation!E18</f>
        <v>106</v>
      </c>
      <c r="D37" s="165" t="str">
        <f>Population!B4</f>
        <v>110–130</v>
      </c>
      <c r="E37" s="3" t="str">
        <f>IF(C37&lt;Population!C$4,"BELOW",IF(C37&gt;Population!D$4,"ABOVE","WITHIN"))</f>
        <v>BELOW</v>
      </c>
      <c r="F37" s="3">
        <f>Foundation!E19</f>
        <v>117</v>
      </c>
      <c r="G37" s="165" t="str">
        <f>Population!E4</f>
        <v>130–150</v>
      </c>
      <c r="H37" s="3" t="str">
        <f>IF(F37&lt;Population!F$4,"BELOW",IF(F37&gt;Population!G$4,"ABOVE","WITHIN"))</f>
        <v>BELOW</v>
      </c>
      <c r="I37" s="164">
        <f>Foundation!E9</f>
        <v>3.2</v>
      </c>
      <c r="J37" s="160">
        <f>Foundation!E8</f>
        <v>58</v>
      </c>
      <c r="K37" t="str">
        <f>IF(J37&lt;Population!N$4,"BELOW",IF(J37&gt;Population!O$4,"ABOVE","WITHIN"))</f>
        <v>WITHIN</v>
      </c>
      <c r="L37" s="3" t="str">
        <f>ROUND(Population!C$4*Population!$B$36,0)&amp;"–"&amp;ROUND(Population!D$4*Population!$B$36,0)</f>
        <v>97–115</v>
      </c>
      <c r="M37" s="3" t="str">
        <f>IF(C37&lt;ROUND(Population!C$4*Population!$B$36,0),"BELOW",IF(C37&gt;ROUND(Population!D$4*Population!$B$36,0),"ABOVE","WITHIN"))</f>
        <v>WITHIN</v>
      </c>
      <c r="N37" s="3" t="str">
        <f>ROUND(Population!F$4*Population!$B$36,0)&amp;"–"&amp;ROUND(Population!G$4*Population!$B$36,0)</f>
        <v>115–133</v>
      </c>
      <c r="O37" s="3" t="str">
        <f>IF(F37&lt;ROUND(Population!F$4*Population!$B$36,0),"BELOW",IF(F37&gt;ROUND(Population!G$4*Population!$B$36,0),"ABOVE","WITHIN"))</f>
        <v>WITHIN</v>
      </c>
    </row>
    <row r="38" spans="1:15" x14ac:dyDescent="0.25">
      <c r="A38" s="3">
        <v>4</v>
      </c>
      <c r="B38" s="171">
        <f>Foundation!F4</f>
        <v>46093</v>
      </c>
      <c r="C38" s="3">
        <f>Foundation!F18</f>
        <v>108</v>
      </c>
      <c r="D38" s="165" t="str">
        <f>Population!B4</f>
        <v>110–130</v>
      </c>
      <c r="E38" s="3" t="str">
        <f>IF(C38&lt;Population!C$4,"BELOW",IF(C38&gt;Population!D$4,"ABOVE","WITHIN"))</f>
        <v>BELOW</v>
      </c>
      <c r="F38" s="3">
        <f>Foundation!F19</f>
        <v>125</v>
      </c>
      <c r="G38" s="165" t="str">
        <f>Population!E4</f>
        <v>130–150</v>
      </c>
      <c r="H38" s="3" t="str">
        <f>IF(F38&lt;Population!F$4,"BELOW",IF(F38&gt;Population!G$4,"ABOVE","WITHIN"))</f>
        <v>BELOW</v>
      </c>
      <c r="I38" s="164">
        <f>Foundation!F9</f>
        <v>3.16</v>
      </c>
      <c r="J38" s="160">
        <f>Foundation!F8</f>
        <v>57.45</v>
      </c>
      <c r="K38" t="str">
        <f>IF(J38&lt;Population!N$4,"BELOW",IF(J38&gt;Population!O$4,"ABOVE","WITHIN"))</f>
        <v>WITHIN</v>
      </c>
      <c r="L38" s="3" t="str">
        <f>ROUND(Population!C$4*Population!$B$36,0)&amp;"–"&amp;ROUND(Population!D$4*Population!$B$36,0)</f>
        <v>97–115</v>
      </c>
      <c r="M38" s="3" t="str">
        <f>IF(C38&lt;ROUND(Population!C$4*Population!$B$36,0),"BELOW",IF(C38&gt;ROUND(Population!D$4*Population!$B$36,0),"ABOVE","WITHIN"))</f>
        <v>WITHIN</v>
      </c>
      <c r="N38" s="3" t="str">
        <f>ROUND(Population!F$4*Population!$B$36,0)&amp;"–"&amp;ROUND(Population!G$4*Population!$B$36,0)</f>
        <v>115–133</v>
      </c>
      <c r="O38" s="3" t="str">
        <f>IF(F38&lt;ROUND(Population!F$4*Population!$B$36,0),"BELOW",IF(F38&gt;ROUND(Population!G$4*Population!$B$36,0),"ABOVE","WITHIN"))</f>
        <v>WITHIN</v>
      </c>
    </row>
    <row r="39" spans="1:15" x14ac:dyDescent="0.25">
      <c r="A39" s="3">
        <v>5</v>
      </c>
      <c r="B39" s="171">
        <f>Foundation!G4</f>
        <v>46097</v>
      </c>
      <c r="C39" s="3">
        <f>Foundation!G18</f>
        <v>104</v>
      </c>
      <c r="D39" s="165" t="str">
        <f>Population!B4</f>
        <v>110–130</v>
      </c>
      <c r="E39" s="3" t="str">
        <f>IF(C39&lt;Population!C$4,"BELOW",IF(C39&gt;Population!D$4,"ABOVE","WITHIN"))</f>
        <v>BELOW</v>
      </c>
      <c r="F39" s="3">
        <f>Foundation!G19</f>
        <v>123</v>
      </c>
      <c r="G39" s="165" t="str">
        <f>Population!E4</f>
        <v>130–150</v>
      </c>
      <c r="H39" s="3" t="str">
        <f>IF(F39&lt;Population!F$4,"BELOW",IF(F39&gt;Population!G$4,"ABOVE","WITHIN"))</f>
        <v>BELOW</v>
      </c>
      <c r="I39" s="164">
        <f>Foundation!G9</f>
        <v>3.18</v>
      </c>
      <c r="J39" s="160">
        <f>Foundation!G8</f>
        <v>58.13</v>
      </c>
      <c r="K39" t="str">
        <f>IF(J39&lt;Population!N$4,"BELOW",IF(J39&gt;Population!O$4,"ABOVE","WITHIN"))</f>
        <v>WITHIN</v>
      </c>
      <c r="L39" s="3" t="str">
        <f>ROUND(Population!C$4*Population!$B$36,0)&amp;"–"&amp;ROUND(Population!D$4*Population!$B$36,0)</f>
        <v>97–115</v>
      </c>
      <c r="M39" s="3" t="str">
        <f>IF(C39&lt;ROUND(Population!C$4*Population!$B$36,0),"BELOW",IF(C39&gt;ROUND(Population!D$4*Population!$B$36,0),"ABOVE","WITHIN"))</f>
        <v>WITHIN</v>
      </c>
      <c r="N39" s="3" t="str">
        <f>ROUND(Population!F$4*Population!$B$36,0)&amp;"–"&amp;ROUND(Population!G$4*Population!$B$36,0)</f>
        <v>115–133</v>
      </c>
      <c r="O39" s="3" t="str">
        <f>IF(F39&lt;ROUND(Population!F$4*Population!$B$36,0),"BELOW",IF(F39&gt;ROUND(Population!G$4*Population!$B$36,0),"ABOVE","WITHIN"))</f>
        <v>WITHIN</v>
      </c>
    </row>
    <row r="40" spans="1:15" x14ac:dyDescent="0.25">
      <c r="A40" s="3">
        <v>6</v>
      </c>
      <c r="B40" s="171">
        <f>Foundation!H4</f>
        <v>46099</v>
      </c>
      <c r="C40" s="3">
        <f>Foundation!H18</f>
        <v>102</v>
      </c>
      <c r="D40" s="165" t="str">
        <f>Population!B4</f>
        <v>110–130</v>
      </c>
      <c r="E40" s="3" t="str">
        <f>IF(C40&lt;Population!C$4,"BELOW",IF(C40&gt;Population!D$4,"ABOVE","WITHIN"))</f>
        <v>BELOW</v>
      </c>
      <c r="F40" s="3">
        <f>Foundation!H19</f>
        <v>115</v>
      </c>
      <c r="G40" s="165" t="str">
        <f>Population!E4</f>
        <v>130–150</v>
      </c>
      <c r="H40" s="3" t="str">
        <f>IF(F40&lt;Population!F$4,"BELOW",IF(F40&gt;Population!G$4,"ABOVE","WITHIN"))</f>
        <v>BELOW</v>
      </c>
      <c r="I40" s="164">
        <f>Foundation!H9</f>
        <v>3.17</v>
      </c>
      <c r="J40" s="160">
        <f>Foundation!H8</f>
        <v>59</v>
      </c>
      <c r="K40" t="str">
        <f>IF(J40&lt;Population!N$4,"BELOW",IF(J40&gt;Population!O$4,"ABOVE","WITHIN"))</f>
        <v>WITHIN</v>
      </c>
      <c r="L40" s="3" t="str">
        <f>ROUND(Population!C$4*Population!$B$36,0)&amp;"–"&amp;ROUND(Population!D$4*Population!$B$36,0)</f>
        <v>97–115</v>
      </c>
      <c r="M40" s="3" t="str">
        <f>IF(C40&lt;ROUND(Population!C$4*Population!$B$36,0),"BELOW",IF(C40&gt;ROUND(Population!D$4*Population!$B$36,0),"ABOVE","WITHIN"))</f>
        <v>WITHIN</v>
      </c>
      <c r="N40" s="3" t="str">
        <f>ROUND(Population!F$4*Population!$B$36,0)&amp;"–"&amp;ROUND(Population!G$4*Population!$B$36,0)</f>
        <v>115–133</v>
      </c>
      <c r="O40" s="3" t="str">
        <f>IF(F40&lt;ROUND(Population!F$4*Population!$B$36,0),"BELOW",IF(F40&gt;ROUND(Population!G$4*Population!$B$36,0),"ABOVE","WITHIN"))</f>
        <v>WITHIN</v>
      </c>
    </row>
    <row r="41" spans="1:15" x14ac:dyDescent="0.25">
      <c r="A41" s="3">
        <v>7</v>
      </c>
      <c r="B41" s="171">
        <f>Foundation!I4</f>
        <v>46105</v>
      </c>
      <c r="C41" s="3">
        <f>Foundation!I18</f>
        <v>108</v>
      </c>
      <c r="D41" s="165" t="str">
        <f>Population!B4</f>
        <v>110–130</v>
      </c>
      <c r="E41" s="3" t="str">
        <f>IF(C41&lt;Population!C$4,"BELOW",IF(C41&gt;Population!D$4,"ABOVE","WITHIN"))</f>
        <v>BELOW</v>
      </c>
      <c r="F41" s="3">
        <f>Foundation!I19</f>
        <v>125</v>
      </c>
      <c r="G41" s="165" t="str">
        <f>Population!E4</f>
        <v>130–150</v>
      </c>
      <c r="H41" s="3" t="str">
        <f>IF(F41&lt;Population!F$4,"BELOW",IF(F41&gt;Population!G$4,"ABOVE","WITHIN"))</f>
        <v>BELOW</v>
      </c>
      <c r="I41" s="164">
        <f>Foundation!I9</f>
        <v>3.18</v>
      </c>
      <c r="J41" s="160">
        <f>Foundation!I8</f>
        <v>57.3</v>
      </c>
      <c r="K41" t="str">
        <f>IF(J41&lt;Population!N$4,"BELOW",IF(J41&gt;Population!O$4,"ABOVE","WITHIN"))</f>
        <v>WITHIN</v>
      </c>
      <c r="L41" s="3" t="str">
        <f>ROUND(Population!C$4*Population!$B$36,0)&amp;"–"&amp;ROUND(Population!D$4*Population!$B$36,0)</f>
        <v>97–115</v>
      </c>
      <c r="M41" s="3" t="str">
        <f>IF(C41&lt;ROUND(Population!C$4*Population!$B$36,0),"BELOW",IF(C41&gt;ROUND(Population!D$4*Population!$B$36,0),"ABOVE","WITHIN"))</f>
        <v>WITHIN</v>
      </c>
      <c r="N41" s="3" t="str">
        <f>ROUND(Population!F$4*Population!$B$36,0)&amp;"–"&amp;ROUND(Population!G$4*Population!$B$36,0)</f>
        <v>115–133</v>
      </c>
      <c r="O41" s="3" t="str">
        <f>IF(F41&lt;ROUND(Population!F$4*Population!$B$36,0),"BELOW",IF(F41&gt;ROUND(Population!G$4*Population!$B$36,0),"ABOVE","WITHIN"))</f>
        <v>WITHIN</v>
      </c>
    </row>
    <row r="43" spans="1:15" x14ac:dyDescent="0.25">
      <c r="A43" s="158" t="s">
        <v>1616</v>
      </c>
    </row>
    <row r="44" spans="1:15" x14ac:dyDescent="0.25">
      <c r="A44" s="159" t="s">
        <v>1362</v>
      </c>
      <c r="C44" s="159" t="s">
        <v>1617</v>
      </c>
      <c r="D44" s="159" t="s">
        <v>1618</v>
      </c>
      <c r="E44" s="159" t="s">
        <v>1619</v>
      </c>
      <c r="F44" s="159" t="s">
        <v>1620</v>
      </c>
      <c r="G44" s="159" t="s">
        <v>1621</v>
      </c>
      <c r="H44" s="159" t="s">
        <v>1612</v>
      </c>
    </row>
    <row r="45" spans="1:15" x14ac:dyDescent="0.25">
      <c r="A45" s="30" t="s">
        <v>1390</v>
      </c>
      <c r="C45" s="160">
        <f>AVERAGE(C35:C41)</f>
        <v>106.57142857142857</v>
      </c>
      <c r="D45" s="3">
        <f>MIN(C35:C41)</f>
        <v>102</v>
      </c>
      <c r="E45" s="3">
        <f>MAX(C35:C41)</f>
        <v>111</v>
      </c>
      <c r="F45" s="165">
        <f>Population!C4</f>
        <v>110</v>
      </c>
      <c r="G45" s="165">
        <f>Population!D4</f>
        <v>130</v>
      </c>
      <c r="H45" t="str">
        <f>IF(E45&lt;F45,"BELOW pop range — avg HR lower than expected even for easy runs",IF(C45&gt;G45,"ABOVE pop range","Mix: some within, some below"))</f>
        <v>Mix: some within, some below</v>
      </c>
    </row>
    <row r="46" spans="1:15" x14ac:dyDescent="0.25">
      <c r="A46" s="30" t="s">
        <v>1391</v>
      </c>
      <c r="C46" s="160">
        <f>AVERAGE(F35:F41)</f>
        <v>123.71428571428571</v>
      </c>
      <c r="D46" s="3">
        <f>MIN(F35:F41)</f>
        <v>115</v>
      </c>
      <c r="E46" s="3">
        <f>MAX(F35:F41)</f>
        <v>134</v>
      </c>
      <c r="F46" s="165">
        <f>Population!F4</f>
        <v>130</v>
      </c>
      <c r="G46" s="165">
        <f>Population!G4</f>
        <v>150</v>
      </c>
      <c r="H46" t="str">
        <f>IF(E46&lt;F46,"BELOW pop range — max HR well controlled even during brief surges",IF(C46&gt;G46,"ABOVE pop range","Mix: some within, some below"))</f>
        <v>Mix: some within, some below</v>
      </c>
    </row>
    <row r="47" spans="1:15" x14ac:dyDescent="0.25">
      <c r="A47" s="30" t="s">
        <v>811</v>
      </c>
      <c r="C47" s="164">
        <f>AVERAGE(I35:I41)</f>
        <v>3.1699999999999995</v>
      </c>
      <c r="D47" s="164">
        <f>MIN(I35:I41)</f>
        <v>3.1</v>
      </c>
      <c r="E47" s="164">
        <f>MAX(I35:I41)</f>
        <v>3.2</v>
      </c>
      <c r="F47" s="3">
        <f>Population!J4</f>
        <v>3</v>
      </c>
      <c r="G47" s="3">
        <f>Population!K4</f>
        <v>8</v>
      </c>
      <c r="H47" t="str">
        <f>IF(E47&lt;F47,"BELOW pop minimum — short controlled recovery distances",IF(C47&gt;G47,"ABOVE range","Within range"))</f>
        <v>Within range</v>
      </c>
    </row>
    <row r="48" spans="1:15" x14ac:dyDescent="0.25">
      <c r="A48" s="30" t="s">
        <v>1404</v>
      </c>
      <c r="C48" s="160">
        <f>AVERAGE(J35:J41)</f>
        <v>58.125714285714288</v>
      </c>
      <c r="D48" s="160">
        <f>MIN(J35:J41)</f>
        <v>57.3</v>
      </c>
      <c r="E48" s="160">
        <f>MAX(J35:J41)</f>
        <v>59</v>
      </c>
      <c r="F48" s="3">
        <f>Population!N4</f>
        <v>30</v>
      </c>
      <c r="G48" s="3">
        <f>Population!O4</f>
        <v>60</v>
      </c>
      <c r="H48" t="str">
        <f>IF(AND(D48&gt;=F48,E48&lt;=G48),"WITHIN pop range — sessions land in expected 30–60 min window",IF(D48&lt;F48,"Some below minimum","Some above maximum"))</f>
        <v>WITHIN pop range — sessions land in expected 30–60 min window</v>
      </c>
    </row>
    <row r="49" spans="1:8" x14ac:dyDescent="0.25">
      <c r="A49" s="30" t="s">
        <v>1622</v>
      </c>
      <c r="C49" s="157">
        <f>AVERAGE(Foundation!C12:I12)</f>
        <v>0.91714285714285715</v>
      </c>
      <c r="H49" s="166" t="s">
        <v>1623</v>
      </c>
    </row>
    <row r="50" spans="1:8" x14ac:dyDescent="0.25">
      <c r="A50" s="176" t="s">
        <v>1644</v>
      </c>
      <c r="C50" s="160">
        <f t="shared" ref="C50:E51" si="2">C45</f>
        <v>106.57142857142857</v>
      </c>
      <c r="D50" s="3">
        <f t="shared" si="2"/>
        <v>102</v>
      </c>
      <c r="E50" s="3">
        <f t="shared" si="2"/>
        <v>111</v>
      </c>
      <c r="F50" s="177">
        <f>ROUND(Population!C4*Population!$B$36,0)</f>
        <v>97</v>
      </c>
      <c r="G50" s="177">
        <f>ROUND(Population!D4*Population!$B$36,0)</f>
        <v>115</v>
      </c>
      <c r="H50" s="178" t="str">
        <f>IF(AND(D50&gt;=F50,E50&lt;=G50),"Age-adjusted: ALL Foundation sessions now WITHIN expected range for age 52",IF(E50&lt;F50,"Age-adjusted: still BELOW — exceptional aerobic efficiency for age","Age-adjusted: range now captures most sessions"))</f>
        <v>Age-adjusted: ALL Foundation sessions now WITHIN expected range for age 52</v>
      </c>
    </row>
    <row r="51" spans="1:8" x14ac:dyDescent="0.25">
      <c r="A51" s="176" t="s">
        <v>1645</v>
      </c>
      <c r="C51" s="160">
        <f t="shared" si="2"/>
        <v>123.71428571428571</v>
      </c>
      <c r="D51" s="3">
        <f t="shared" si="2"/>
        <v>115</v>
      </c>
      <c r="E51" s="3">
        <f t="shared" si="2"/>
        <v>134</v>
      </c>
      <c r="F51" s="177">
        <f>ROUND(Population!F4*Population!$B$36,0)</f>
        <v>115</v>
      </c>
      <c r="G51" s="177">
        <f>ROUND(Population!G4*Population!$B$36,0)</f>
        <v>133</v>
      </c>
      <c r="H51" s="178" t="str">
        <f>IF(AND(D51&gt;=F51,E51&lt;=G51),"Age-adjusted: ALL Foundation max HR within expected range for age 52",IF(E51&gt;G51,"Age-adjusted: some max HR still ABOVE age-corrected range (brief surges)","Age-adjusted: mostly within range"))</f>
        <v>Age-adjusted: some max HR still ABOVE age-corrected range (brief surges)</v>
      </c>
    </row>
  </sheetData>
  <conditionalFormatting sqref="E35:E41">
    <cfRule type="containsText" dxfId="44" priority="25" operator="containsText" text="BELOW">
      <formula>NOT(ISERROR(SEARCH("BELOW",E35)))</formula>
    </cfRule>
    <cfRule type="containsText" dxfId="43" priority="26" operator="containsText" text="WITHIN">
      <formula>NOT(ISERROR(SEARCH("WITHIN",E35)))</formula>
    </cfRule>
    <cfRule type="containsText" dxfId="42" priority="27" operator="containsText" text="ABOVE">
      <formula>NOT(ISERROR(SEARCH("ABOVE",E35)))</formula>
    </cfRule>
  </conditionalFormatting>
  <conditionalFormatting sqref="F5:F19">
    <cfRule type="containsText" dxfId="41" priority="1" operator="containsText" text="BELOW">
      <formula>NOT(ISERROR(SEARCH("BELOW",F5)))</formula>
    </cfRule>
    <cfRule type="containsText" dxfId="40" priority="2" operator="containsText" text="WITHIN">
      <formula>NOT(ISERROR(SEARCH("WITHIN",F5)))</formula>
    </cfRule>
    <cfRule type="containsText" dxfId="39" priority="3" operator="containsText" text="ABOVE">
      <formula>NOT(ISERROR(SEARCH("ABOVE",F5)))</formula>
    </cfRule>
    <cfRule type="containsText" dxfId="38" priority="4" operator="containsText" text="EXCEEDS">
      <formula>NOT(ISERROR(SEARCH("EXCEEDS",F5)))</formula>
    </cfRule>
  </conditionalFormatting>
  <conditionalFormatting sqref="H35:H41">
    <cfRule type="containsText" dxfId="37" priority="30" operator="containsText" text="ABOVE">
      <formula>NOT(ISERROR(SEARCH("ABOVE",H35)))</formula>
    </cfRule>
    <cfRule type="containsText" dxfId="36" priority="29" operator="containsText" text="WITHIN">
      <formula>NOT(ISERROR(SEARCH("WITHIN",H35)))</formula>
    </cfRule>
    <cfRule type="containsText" dxfId="35" priority="28" operator="containsText" text="BELOW">
      <formula>NOT(ISERROR(SEARCH("BELOW",H35)))</formula>
    </cfRule>
  </conditionalFormatting>
  <conditionalFormatting sqref="I5:I19">
    <cfRule type="containsText" dxfId="34" priority="5" operator="containsText" text="BELOW">
      <formula>NOT(ISERROR(SEARCH("BELOW",I5)))</formula>
    </cfRule>
    <cfRule type="containsText" dxfId="33" priority="6" operator="containsText" text="WITHIN">
      <formula>NOT(ISERROR(SEARCH("WITHIN",I5)))</formula>
    </cfRule>
    <cfRule type="containsText" dxfId="32" priority="7" operator="containsText" text="ABOVE">
      <formula>NOT(ISERROR(SEARCH("ABOVE",I5)))</formula>
    </cfRule>
    <cfRule type="containsText" dxfId="31" priority="8" operator="containsText" text="EXCEEDS">
      <formula>NOT(ISERROR(SEARCH("EXCEEDS",I5)))</formula>
    </cfRule>
  </conditionalFormatting>
  <conditionalFormatting sqref="K35:K41">
    <cfRule type="containsText" dxfId="30" priority="31" operator="containsText" text="BELOW">
      <formula>NOT(ISERROR(SEARCH("BELOW",K35)))</formula>
    </cfRule>
    <cfRule type="containsText" dxfId="29" priority="33" operator="containsText" text="ABOVE">
      <formula>NOT(ISERROR(SEARCH("ABOVE",K35)))</formula>
    </cfRule>
    <cfRule type="containsText" dxfId="28" priority="32" operator="containsText" text="WITHIN">
      <formula>NOT(ISERROR(SEARCH("WITHIN",K35)))</formula>
    </cfRule>
  </conditionalFormatting>
  <conditionalFormatting sqref="L5:L19">
    <cfRule type="containsText" dxfId="27" priority="49" operator="containsText" text="WITHIN">
      <formula>NOT(ISERROR(SEARCH("WITHIN",L5)))</formula>
    </cfRule>
    <cfRule type="containsText" dxfId="26" priority="46" operator="containsText" text="NEGATIVE (improving)">
      <formula>NOT(ISERROR(SEARCH("NEGATIVE (improving)",L5)))</formula>
    </cfRule>
    <cfRule type="containsText" dxfId="25" priority="47" operator="containsText" text="BELOW POP RANGE">
      <formula>NOT(ISERROR(SEARCH("BELOW POP RANGE",L5)))</formula>
    </cfRule>
    <cfRule type="containsText" dxfId="24" priority="48" operator="containsText" text="ABOVE POP RANGE">
      <formula>NOT(ISERROR(SEARCH("ABOVE POP RANGE",L5)))</formula>
    </cfRule>
  </conditionalFormatting>
  <conditionalFormatting sqref="M35:M41">
    <cfRule type="containsText" dxfId="23" priority="40" operator="containsText" text="BELOW">
      <formula>NOT(ISERROR(SEARCH("BELOW",M35)))</formula>
    </cfRule>
    <cfRule type="containsText" dxfId="22" priority="41" operator="containsText" text="WITHIN">
      <formula>NOT(ISERROR(SEARCH("WITHIN",M35)))</formula>
    </cfRule>
    <cfRule type="containsText" dxfId="21" priority="42" operator="containsText" text="ABOVE">
      <formula>NOT(ISERROR(SEARCH("ABOVE",M35)))</formula>
    </cfRule>
  </conditionalFormatting>
  <conditionalFormatting sqref="O5:O19">
    <cfRule type="containsText" dxfId="20" priority="13" operator="containsText" text="BELOW">
      <formula>NOT(ISERROR(SEARCH("BELOW",O5)))</formula>
    </cfRule>
    <cfRule type="containsText" dxfId="19" priority="14" operator="containsText" text="WITHIN">
      <formula>NOT(ISERROR(SEARCH("WITHIN",O5)))</formula>
    </cfRule>
    <cfRule type="containsText" dxfId="18" priority="15" operator="containsText" text="ABOVE">
      <formula>NOT(ISERROR(SEARCH("ABOVE",O5)))</formula>
    </cfRule>
    <cfRule type="containsText" dxfId="17" priority="16" operator="containsText" text="EXCEEDS">
      <formula>NOT(ISERROR(SEARCH("EXCEEDS",O5)))</formula>
    </cfRule>
  </conditionalFormatting>
  <conditionalFormatting sqref="O35:O41">
    <cfRule type="containsText" dxfId="16" priority="43" operator="containsText" text="BELOW">
      <formula>NOT(ISERROR(SEARCH("BELOW",O35)))</formula>
    </cfRule>
    <cfRule type="containsText" dxfId="15" priority="44" operator="containsText" text="WITHIN">
      <formula>NOT(ISERROR(SEARCH("WITHIN",O35)))</formula>
    </cfRule>
    <cfRule type="containsText" dxfId="14" priority="45" operator="containsText" text="ABOVE">
      <formula>NOT(ISERROR(SEARCH("ABOVE",O35)))</formula>
    </cfRule>
  </conditionalFormatting>
  <conditionalFormatting sqref="R5:R19">
    <cfRule type="containsText" dxfId="13" priority="17" operator="containsText" text="BELOW">
      <formula>NOT(ISERROR(SEARCH("BELOW",R5)))</formula>
    </cfRule>
    <cfRule type="containsText" dxfId="12" priority="18" operator="containsText" text="WITHIN">
      <formula>NOT(ISERROR(SEARCH("WITHIN",R5)))</formula>
    </cfRule>
    <cfRule type="containsText" dxfId="11" priority="19" operator="containsText" text="ABOVE">
      <formula>NOT(ISERROR(SEARCH("ABOVE",R5)))</formula>
    </cfRule>
    <cfRule type="containsText" dxfId="10" priority="20" operator="containsText" text="EXCEEDS">
      <formula>NOT(ISERROR(SEARCH("EXCEEDS",R5)))</formula>
    </cfRule>
  </conditionalFormatting>
  <conditionalFormatting sqref="T5:T19">
    <cfRule type="containsText" dxfId="9" priority="21" operator="containsText" text="BELOW">
      <formula>NOT(ISERROR(SEARCH("BELOW",T5)))</formula>
    </cfRule>
    <cfRule type="containsText" dxfId="8" priority="24" operator="containsText" text="EXCEEDS">
      <formula>NOT(ISERROR(SEARCH("EXCEEDS",T5)))</formula>
    </cfRule>
    <cfRule type="containsText" dxfId="7" priority="22" operator="containsText" text="WITHIN">
      <formula>NOT(ISERROR(SEARCH("WITHIN",T5)))</formula>
    </cfRule>
    <cfRule type="containsText" dxfId="6" priority="23" operator="containsText" text="ABOVE">
      <formula>NOT(ISERROR(SEARCH("ABOVE",T5)))</formula>
    </cfRule>
  </conditionalFormatting>
  <conditionalFormatting sqref="V5:V19">
    <cfRule type="containsText" dxfId="5" priority="34" operator="containsText" text="BELOW">
      <formula>NOT(ISERROR(SEARCH("BELOW",V5)))</formula>
    </cfRule>
    <cfRule type="containsText" dxfId="4" priority="35" operator="containsText" text="WITHIN">
      <formula>NOT(ISERROR(SEARCH("WITHIN",V5)))</formula>
    </cfRule>
    <cfRule type="containsText" dxfId="3" priority="36" operator="containsText" text="ABOVE">
      <formula>NOT(ISERROR(SEARCH("ABOVE",V5)))</formula>
    </cfRule>
  </conditionalFormatting>
  <conditionalFormatting sqref="X5:X19">
    <cfRule type="containsText" dxfId="2" priority="37" operator="containsText" text="BELOW">
      <formula>NOT(ISERROR(SEARCH("BELOW",X5)))</formula>
    </cfRule>
    <cfRule type="containsText" dxfId="1" priority="38" operator="containsText" text="WITHIN">
      <formula>NOT(ISERROR(SEARCH("WITHIN",X5)))</formula>
    </cfRule>
    <cfRule type="containsText" dxfId="0" priority="39" operator="containsText" text="ABOVE">
      <formula>NOT(ISERROR(SEARCH("ABOVE",X5)))</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Legend</vt:lpstr>
      <vt:lpstr>Hikes - High</vt:lpstr>
      <vt:lpstr>Sheet4</vt:lpstr>
      <vt:lpstr>HikeWorldModel</vt:lpstr>
      <vt:lpstr>Findings</vt:lpstr>
      <vt:lpstr>Sleep</vt:lpstr>
      <vt:lpstr>Trails Data</vt:lpstr>
      <vt:lpstr>Valid</vt:lpstr>
      <vt:lpstr>Foundation</vt:lpstr>
      <vt:lpstr>Run</vt:lpstr>
      <vt:lpstr>Population</vt:lpstr>
      <vt:lpstr>Pop 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Ye</dc:creator>
  <cp:lastModifiedBy>Michael Ye</cp:lastModifiedBy>
  <dcterms:created xsi:type="dcterms:W3CDTF">2025-11-29T02:23:06Z</dcterms:created>
  <dcterms:modified xsi:type="dcterms:W3CDTF">2026-04-12T21:34:09Z</dcterms:modified>
</cp:coreProperties>
</file>
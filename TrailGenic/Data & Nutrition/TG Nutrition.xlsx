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8160fc85f4c918/Documents/Cowork/TrailGenic/Data ^0 Nutrition/"/>
    </mc:Choice>
  </mc:AlternateContent>
  <xr:revisionPtr revIDLastSave="511" documentId="8_{724DF2BE-F1B8-4FC3-9367-D1FFF5717758}" xr6:coauthVersionLast="47" xr6:coauthVersionMax="47" xr10:uidLastSave="{DBE6CC0E-C9C0-4D4F-9EA4-ABED6383840D}"/>
  <bookViews>
    <workbookView xWindow="-120" yWindow="-120" windowWidth="29040" windowHeight="15720" activeTab="1" xr2:uid="{4520D48C-625F-4BF9-A808-91C897B9318D}"/>
  </bookViews>
  <sheets>
    <sheet name="original" sheetId="1" r:id="rId1"/>
    <sheet name="schema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42" i="1" l="1"/>
  <c r="AE242" i="1"/>
  <c r="AD242" i="1"/>
  <c r="AF241" i="1"/>
  <c r="AE241" i="1"/>
  <c r="AD241" i="1"/>
  <c r="AF240" i="1"/>
  <c r="AE240" i="1"/>
  <c r="AD240" i="1"/>
  <c r="AF239" i="1"/>
  <c r="AE239" i="1"/>
  <c r="AD239" i="1"/>
  <c r="AF238" i="1"/>
  <c r="AE238" i="1"/>
  <c r="AD238" i="1"/>
  <c r="AF237" i="1"/>
  <c r="AE237" i="1"/>
  <c r="AD237" i="1"/>
  <c r="AF236" i="1"/>
  <c r="AE236" i="1"/>
  <c r="AD236" i="1"/>
  <c r="AF235" i="1"/>
  <c r="AE235" i="1"/>
  <c r="AD235" i="1"/>
  <c r="AF234" i="1"/>
  <c r="AE234" i="1"/>
  <c r="AD234" i="1"/>
  <c r="AF233" i="1"/>
  <c r="AE233" i="1"/>
  <c r="AD233" i="1"/>
  <c r="AF232" i="1"/>
  <c r="AE232" i="1"/>
  <c r="AD232" i="1"/>
  <c r="AF231" i="1"/>
  <c r="AE231" i="1"/>
  <c r="AD231" i="1"/>
  <c r="AF230" i="1"/>
  <c r="AE230" i="1"/>
  <c r="AD230" i="1"/>
  <c r="AF229" i="1"/>
  <c r="AE229" i="1"/>
  <c r="AD229" i="1"/>
  <c r="AF228" i="1"/>
  <c r="AE228" i="1"/>
  <c r="AD228" i="1"/>
  <c r="AF227" i="1"/>
  <c r="AE227" i="1"/>
  <c r="AD227" i="1"/>
  <c r="AF226" i="1"/>
  <c r="AE226" i="1"/>
  <c r="AD226" i="1"/>
  <c r="AF225" i="1"/>
  <c r="AE225" i="1"/>
  <c r="AD225" i="1"/>
  <c r="AF224" i="1"/>
  <c r="AE224" i="1"/>
  <c r="AD224" i="1"/>
  <c r="AF223" i="1"/>
  <c r="AE223" i="1"/>
  <c r="AD223" i="1"/>
  <c r="AF222" i="1"/>
  <c r="AE222" i="1"/>
  <c r="AD222" i="1"/>
  <c r="AF221" i="1"/>
  <c r="AE221" i="1"/>
  <c r="AD221" i="1"/>
  <c r="AF220" i="1"/>
  <c r="AE220" i="1"/>
  <c r="AD220" i="1"/>
  <c r="AF219" i="1"/>
  <c r="AE219" i="1"/>
  <c r="AD219" i="1"/>
  <c r="AF218" i="1"/>
  <c r="AE218" i="1"/>
  <c r="AD218" i="1"/>
  <c r="AF217" i="1"/>
  <c r="AE217" i="1"/>
  <c r="AD217" i="1"/>
  <c r="AF216" i="1"/>
  <c r="AE216" i="1"/>
  <c r="AD216" i="1"/>
  <c r="AF215" i="1"/>
  <c r="AE215" i="1"/>
  <c r="AD215" i="1"/>
  <c r="AF214" i="1"/>
  <c r="AE214" i="1"/>
  <c r="AD214" i="1"/>
  <c r="AF213" i="1"/>
  <c r="AE213" i="1"/>
  <c r="AD213" i="1"/>
  <c r="AF212" i="1"/>
  <c r="AE212" i="1"/>
  <c r="AD212" i="1"/>
  <c r="AF211" i="1"/>
  <c r="AE211" i="1"/>
  <c r="AD211" i="1"/>
  <c r="AF210" i="1"/>
  <c r="AE210" i="1"/>
  <c r="AD210" i="1"/>
  <c r="AF209" i="1"/>
  <c r="AE209" i="1"/>
  <c r="AD209" i="1"/>
  <c r="AF208" i="1"/>
  <c r="AE208" i="1"/>
  <c r="AD208" i="1"/>
  <c r="AF207" i="1"/>
  <c r="AE207" i="1"/>
  <c r="AD207" i="1"/>
  <c r="AF206" i="1"/>
  <c r="AE206" i="1"/>
  <c r="AD206" i="1"/>
  <c r="AF205" i="1"/>
  <c r="AE205" i="1"/>
  <c r="AD205" i="1"/>
  <c r="AF204" i="1"/>
  <c r="AE204" i="1"/>
  <c r="AD204" i="1"/>
  <c r="AF203" i="1"/>
  <c r="AE203" i="1"/>
  <c r="AD203" i="1"/>
  <c r="AF202" i="1"/>
  <c r="AE202" i="1"/>
  <c r="AD202" i="1"/>
  <c r="AF201" i="1"/>
  <c r="AE201" i="1"/>
  <c r="AD201" i="1"/>
  <c r="AF200" i="1"/>
  <c r="AE200" i="1"/>
  <c r="AD200" i="1"/>
  <c r="AF199" i="1"/>
  <c r="AE199" i="1"/>
  <c r="AD199" i="1"/>
  <c r="AF198" i="1"/>
  <c r="AE198" i="1"/>
  <c r="AD198" i="1"/>
  <c r="AF197" i="1"/>
  <c r="AE197" i="1"/>
  <c r="AD197" i="1"/>
  <c r="AF196" i="1"/>
  <c r="AE196" i="1"/>
  <c r="AD196" i="1"/>
  <c r="AF195" i="1"/>
  <c r="AE195" i="1"/>
  <c r="AD195" i="1"/>
  <c r="AF194" i="1"/>
  <c r="AE194" i="1"/>
  <c r="AD194" i="1"/>
  <c r="AF193" i="1"/>
  <c r="AE193" i="1"/>
  <c r="AD193" i="1"/>
  <c r="AF192" i="1"/>
  <c r="AE192" i="1"/>
  <c r="AD192" i="1"/>
  <c r="AF191" i="1"/>
  <c r="AE191" i="1"/>
  <c r="AD191" i="1"/>
  <c r="AF190" i="1"/>
  <c r="AE190" i="1"/>
  <c r="AD190" i="1"/>
  <c r="AF189" i="1"/>
  <c r="AE189" i="1"/>
  <c r="AD189" i="1"/>
  <c r="AF188" i="1"/>
  <c r="AE188" i="1"/>
  <c r="AD188" i="1"/>
  <c r="AF187" i="1"/>
  <c r="AE187" i="1"/>
  <c r="AD187" i="1"/>
  <c r="AF186" i="1"/>
  <c r="AE186" i="1"/>
  <c r="AD186" i="1"/>
  <c r="AF185" i="1"/>
  <c r="AE185" i="1"/>
  <c r="AD185" i="1"/>
  <c r="AF184" i="1"/>
  <c r="AE184" i="1"/>
  <c r="AD184" i="1"/>
  <c r="AF183" i="1"/>
  <c r="AE183" i="1"/>
  <c r="AD183" i="1"/>
  <c r="AF182" i="1"/>
  <c r="AE182" i="1"/>
  <c r="AD182" i="1"/>
  <c r="AF181" i="1"/>
  <c r="AE181" i="1"/>
  <c r="AD181" i="1"/>
  <c r="AF180" i="1"/>
  <c r="AE180" i="1"/>
  <c r="AD180" i="1"/>
  <c r="AF179" i="1"/>
  <c r="AE179" i="1"/>
  <c r="AD179" i="1"/>
  <c r="AF178" i="1"/>
  <c r="AE178" i="1"/>
  <c r="AD178" i="1"/>
  <c r="AF177" i="1"/>
  <c r="AE177" i="1"/>
  <c r="AD177" i="1"/>
  <c r="AF176" i="1"/>
  <c r="AE176" i="1"/>
  <c r="AD176" i="1"/>
  <c r="AF175" i="1"/>
  <c r="AE175" i="1"/>
  <c r="AD175" i="1"/>
  <c r="AF174" i="1"/>
  <c r="AE174" i="1"/>
  <c r="AD174" i="1"/>
  <c r="AF173" i="1"/>
  <c r="AE173" i="1"/>
  <c r="AD173" i="1"/>
  <c r="AF172" i="1"/>
  <c r="AE172" i="1"/>
  <c r="AD172" i="1"/>
  <c r="AF171" i="1"/>
  <c r="AE171" i="1"/>
  <c r="AD171" i="1"/>
  <c r="AF170" i="1"/>
  <c r="AE170" i="1"/>
  <c r="AD170" i="1"/>
  <c r="AF169" i="1"/>
  <c r="AE169" i="1"/>
  <c r="AD169" i="1"/>
  <c r="AF168" i="1"/>
  <c r="AE168" i="1"/>
  <c r="AD168" i="1"/>
  <c r="AF167" i="1"/>
  <c r="AE167" i="1"/>
  <c r="AD167" i="1"/>
  <c r="AF166" i="1"/>
  <c r="AE166" i="1"/>
  <c r="AD166" i="1"/>
  <c r="AF165" i="1"/>
  <c r="AE165" i="1"/>
  <c r="AD165" i="1"/>
  <c r="AF164" i="1"/>
  <c r="AE164" i="1"/>
  <c r="AD164" i="1"/>
  <c r="AF163" i="1"/>
  <c r="AE163" i="1"/>
  <c r="AD163" i="1"/>
  <c r="AF162" i="1"/>
  <c r="AE162" i="1"/>
  <c r="AD162" i="1"/>
  <c r="AF161" i="1"/>
  <c r="AE161" i="1"/>
  <c r="AD161" i="1"/>
  <c r="AF160" i="1"/>
  <c r="AE160" i="1"/>
  <c r="AD160" i="1"/>
  <c r="AF159" i="1"/>
  <c r="AE159" i="1"/>
  <c r="AD159" i="1"/>
  <c r="AF158" i="1"/>
  <c r="AE158" i="1"/>
  <c r="AD158" i="1"/>
  <c r="AF157" i="1"/>
  <c r="AE157" i="1"/>
  <c r="AD157" i="1"/>
  <c r="AF156" i="1"/>
  <c r="AE156" i="1"/>
  <c r="AD156" i="1"/>
  <c r="AF155" i="1"/>
  <c r="AE155" i="1"/>
  <c r="AD155" i="1"/>
  <c r="AF154" i="1"/>
  <c r="AE154" i="1"/>
  <c r="AD154" i="1"/>
  <c r="AF153" i="1"/>
  <c r="AE153" i="1"/>
  <c r="AD153" i="1"/>
  <c r="AF152" i="1"/>
  <c r="AE152" i="1"/>
  <c r="AD152" i="1"/>
  <c r="AF151" i="1"/>
  <c r="AE151" i="1"/>
  <c r="AD151" i="1"/>
  <c r="AF150" i="1"/>
  <c r="AE150" i="1"/>
  <c r="AD150" i="1"/>
  <c r="AF149" i="1"/>
  <c r="AE149" i="1"/>
  <c r="AD149" i="1"/>
  <c r="AF148" i="1"/>
  <c r="AE148" i="1"/>
  <c r="AD148" i="1"/>
  <c r="AF147" i="1"/>
  <c r="AE147" i="1"/>
  <c r="AD147" i="1"/>
  <c r="AF146" i="1"/>
  <c r="AE146" i="1"/>
  <c r="AD146" i="1"/>
  <c r="AF145" i="1"/>
  <c r="AE145" i="1"/>
  <c r="AD145" i="1"/>
  <c r="AF144" i="1"/>
  <c r="AE144" i="1"/>
  <c r="AD144" i="1"/>
  <c r="AF143" i="1"/>
  <c r="AE143" i="1"/>
  <c r="AD143" i="1"/>
  <c r="AF142" i="1"/>
  <c r="AE142" i="1"/>
  <c r="AD142" i="1"/>
  <c r="AF141" i="1"/>
  <c r="AE141" i="1"/>
  <c r="AD141" i="1"/>
  <c r="AF140" i="1"/>
  <c r="AE140" i="1"/>
  <c r="AD140" i="1"/>
  <c r="AF139" i="1"/>
  <c r="AE139" i="1"/>
  <c r="AD139" i="1"/>
  <c r="AF138" i="1"/>
  <c r="AE138" i="1"/>
  <c r="AD138" i="1"/>
  <c r="AF137" i="1"/>
  <c r="AE137" i="1"/>
  <c r="AD137" i="1"/>
  <c r="AF136" i="1"/>
  <c r="AE136" i="1"/>
  <c r="AD136" i="1"/>
  <c r="AF135" i="1"/>
  <c r="AE135" i="1"/>
  <c r="AD135" i="1"/>
  <c r="AF134" i="1"/>
  <c r="AE134" i="1"/>
  <c r="AD134" i="1"/>
  <c r="AF133" i="1"/>
  <c r="AE133" i="1"/>
  <c r="AD133" i="1"/>
  <c r="AF132" i="1"/>
  <c r="AE132" i="1"/>
  <c r="AD132" i="1"/>
  <c r="AF131" i="1"/>
  <c r="AE131" i="1"/>
  <c r="AD131" i="1"/>
  <c r="AF130" i="1"/>
  <c r="AE130" i="1"/>
  <c r="AD130" i="1"/>
  <c r="AF129" i="1"/>
  <c r="AE129" i="1"/>
  <c r="AD129" i="1"/>
  <c r="AF128" i="1"/>
  <c r="AE128" i="1"/>
  <c r="AD128" i="1"/>
  <c r="AF127" i="1"/>
  <c r="AE127" i="1"/>
  <c r="AD127" i="1"/>
  <c r="AF126" i="1"/>
  <c r="AE126" i="1"/>
  <c r="AD126" i="1"/>
  <c r="AF125" i="1"/>
  <c r="AE125" i="1"/>
  <c r="AD125" i="1"/>
  <c r="AF124" i="1"/>
  <c r="AE124" i="1"/>
  <c r="AD124" i="1"/>
  <c r="AF123" i="1"/>
  <c r="AE123" i="1"/>
  <c r="AD123" i="1"/>
  <c r="AF122" i="1"/>
  <c r="AE122" i="1"/>
  <c r="AD122" i="1"/>
  <c r="AF121" i="1"/>
  <c r="AE121" i="1"/>
  <c r="AD121" i="1"/>
  <c r="AF120" i="1"/>
  <c r="AE120" i="1"/>
  <c r="AD120" i="1"/>
  <c r="AF119" i="1"/>
  <c r="AE119" i="1"/>
  <c r="AD119" i="1"/>
  <c r="AF118" i="1"/>
  <c r="AE118" i="1"/>
  <c r="AD118" i="1"/>
  <c r="AF117" i="1"/>
  <c r="AE117" i="1"/>
  <c r="AD117" i="1"/>
  <c r="AF116" i="1"/>
  <c r="AE116" i="1"/>
  <c r="AD116" i="1"/>
  <c r="AF115" i="1"/>
  <c r="AE115" i="1"/>
  <c r="AD115" i="1"/>
  <c r="AF114" i="1"/>
  <c r="AE114" i="1"/>
  <c r="AD114" i="1"/>
  <c r="AF113" i="1"/>
  <c r="AE113" i="1"/>
  <c r="AD113" i="1"/>
  <c r="AF112" i="1"/>
  <c r="AE112" i="1"/>
  <c r="AD112" i="1"/>
  <c r="AF111" i="1"/>
  <c r="AE111" i="1"/>
  <c r="AD111" i="1"/>
  <c r="AF110" i="1"/>
  <c r="AE110" i="1"/>
  <c r="AD110" i="1"/>
  <c r="AF109" i="1"/>
  <c r="AE109" i="1"/>
  <c r="AD109" i="1"/>
  <c r="AF108" i="1"/>
  <c r="AE108" i="1"/>
  <c r="AD108" i="1"/>
  <c r="AF107" i="1"/>
  <c r="AE107" i="1"/>
  <c r="AD107" i="1"/>
  <c r="AF106" i="1"/>
  <c r="AE106" i="1"/>
  <c r="AD106" i="1"/>
  <c r="AF105" i="1"/>
  <c r="AE105" i="1"/>
  <c r="AD105" i="1"/>
  <c r="AF104" i="1"/>
  <c r="AE104" i="1"/>
  <c r="AD104" i="1"/>
  <c r="AF103" i="1"/>
  <c r="AE103" i="1"/>
  <c r="AD103" i="1"/>
  <c r="AF102" i="1"/>
  <c r="AE102" i="1"/>
  <c r="AD102" i="1"/>
  <c r="AF101" i="1"/>
  <c r="AE101" i="1"/>
  <c r="AD101" i="1"/>
  <c r="AF100" i="1"/>
  <c r="AE100" i="1"/>
  <c r="AD100" i="1"/>
  <c r="AF99" i="1"/>
  <c r="AE99" i="1"/>
  <c r="AD99" i="1"/>
  <c r="AF98" i="1"/>
  <c r="AE98" i="1"/>
  <c r="AD98" i="1"/>
  <c r="AF97" i="1"/>
  <c r="AE97" i="1"/>
  <c r="AD97" i="1"/>
  <c r="AF96" i="1"/>
  <c r="AE96" i="1"/>
  <c r="AD96" i="1"/>
  <c r="AF95" i="1"/>
  <c r="AE95" i="1"/>
  <c r="AD95" i="1"/>
  <c r="AF94" i="1"/>
  <c r="AE94" i="1"/>
  <c r="AD94" i="1"/>
  <c r="AF93" i="1"/>
  <c r="AE93" i="1"/>
  <c r="AD93" i="1"/>
  <c r="AF92" i="1"/>
  <c r="AE92" i="1"/>
  <c r="AD92" i="1"/>
  <c r="AF91" i="1"/>
  <c r="AE91" i="1"/>
  <c r="AD91" i="1"/>
  <c r="AF90" i="1"/>
  <c r="AE90" i="1"/>
  <c r="AD90" i="1"/>
  <c r="AF89" i="1"/>
  <c r="AE89" i="1"/>
  <c r="AD89" i="1"/>
  <c r="AF88" i="1"/>
  <c r="AE88" i="1"/>
  <c r="AD88" i="1"/>
  <c r="AF87" i="1"/>
  <c r="AE87" i="1"/>
  <c r="AD87" i="1"/>
  <c r="AF86" i="1"/>
  <c r="AE86" i="1"/>
  <c r="AD86" i="1"/>
  <c r="AF85" i="1"/>
  <c r="AE85" i="1"/>
  <c r="AD85" i="1"/>
  <c r="AF84" i="1"/>
  <c r="AE84" i="1"/>
  <c r="AD84" i="1"/>
  <c r="AF83" i="1"/>
  <c r="AE83" i="1"/>
  <c r="AD83" i="1"/>
  <c r="AF82" i="1"/>
  <c r="AE82" i="1"/>
  <c r="AD82" i="1"/>
  <c r="AF81" i="1"/>
  <c r="AE81" i="1"/>
  <c r="AD81" i="1"/>
  <c r="AF80" i="1"/>
  <c r="AE80" i="1"/>
  <c r="AD80" i="1"/>
  <c r="AF79" i="1"/>
  <c r="AE79" i="1"/>
  <c r="AD79" i="1"/>
  <c r="AF78" i="1"/>
  <c r="AE78" i="1"/>
  <c r="AD78" i="1"/>
  <c r="AF77" i="1"/>
  <c r="AE77" i="1"/>
  <c r="AD77" i="1"/>
  <c r="AF76" i="1"/>
  <c r="AE76" i="1"/>
  <c r="AD76" i="1"/>
  <c r="AF75" i="1"/>
  <c r="AE75" i="1"/>
  <c r="AD75" i="1"/>
  <c r="AF74" i="1"/>
  <c r="AE74" i="1"/>
  <c r="AD74" i="1"/>
  <c r="AF73" i="1"/>
  <c r="AE73" i="1"/>
  <c r="AD73" i="1"/>
  <c r="AF72" i="1"/>
  <c r="AE72" i="1"/>
  <c r="AD72" i="1"/>
  <c r="AF71" i="1"/>
  <c r="AE71" i="1"/>
  <c r="AD71" i="1"/>
  <c r="AF70" i="1"/>
  <c r="AE70" i="1"/>
  <c r="AD70" i="1"/>
  <c r="AF69" i="1"/>
  <c r="AE69" i="1"/>
  <c r="AD69" i="1"/>
  <c r="AF68" i="1"/>
  <c r="AE68" i="1"/>
  <c r="AD68" i="1"/>
  <c r="AF67" i="1"/>
  <c r="AE67" i="1"/>
  <c r="AD67" i="1"/>
  <c r="AF66" i="1"/>
  <c r="AE66" i="1"/>
  <c r="AD66" i="1"/>
  <c r="AF65" i="1"/>
  <c r="AE65" i="1"/>
  <c r="AD65" i="1"/>
  <c r="AF64" i="1"/>
  <c r="AE64" i="1"/>
  <c r="AD64" i="1"/>
  <c r="AF63" i="1"/>
  <c r="AE63" i="1"/>
  <c r="AD63" i="1"/>
  <c r="AF62" i="1"/>
  <c r="AE62" i="1"/>
  <c r="AD62" i="1"/>
  <c r="AF61" i="1"/>
  <c r="AE61" i="1"/>
  <c r="AD61" i="1"/>
  <c r="AF60" i="1"/>
  <c r="AE60" i="1"/>
  <c r="AD60" i="1"/>
  <c r="AF59" i="1"/>
  <c r="AE59" i="1"/>
  <c r="AD59" i="1"/>
  <c r="AF58" i="1"/>
  <c r="AE58" i="1"/>
  <c r="AD58" i="1"/>
  <c r="AF57" i="1"/>
  <c r="AE57" i="1"/>
  <c r="AD57" i="1"/>
  <c r="AF56" i="1"/>
  <c r="AE56" i="1"/>
  <c r="AD56" i="1"/>
  <c r="AF55" i="1"/>
  <c r="AE55" i="1"/>
  <c r="AD55" i="1"/>
  <c r="AF54" i="1"/>
  <c r="AE54" i="1"/>
  <c r="AD54" i="1"/>
  <c r="AF53" i="1"/>
  <c r="AE53" i="1"/>
  <c r="AD53" i="1"/>
  <c r="AF52" i="1"/>
  <c r="AE52" i="1"/>
  <c r="AD52" i="1"/>
  <c r="AF51" i="1"/>
  <c r="AE51" i="1"/>
  <c r="AD51" i="1"/>
  <c r="AF50" i="1"/>
  <c r="AE50" i="1"/>
  <c r="AD50" i="1"/>
  <c r="AF49" i="1"/>
  <c r="AE49" i="1"/>
  <c r="AD49" i="1"/>
  <c r="AF48" i="1"/>
  <c r="AE48" i="1"/>
  <c r="AD48" i="1"/>
  <c r="AF47" i="1"/>
  <c r="AE47" i="1"/>
  <c r="AD47" i="1"/>
  <c r="AF46" i="1"/>
  <c r="AE46" i="1"/>
  <c r="AD46" i="1"/>
  <c r="AF45" i="1"/>
  <c r="AE45" i="1"/>
  <c r="AD45" i="1"/>
  <c r="AF44" i="1"/>
  <c r="AE44" i="1"/>
  <c r="AD44" i="1"/>
  <c r="AF43" i="1"/>
  <c r="AE43" i="1"/>
  <c r="AD43" i="1"/>
  <c r="AF42" i="1"/>
  <c r="AE42" i="1"/>
  <c r="AD42" i="1"/>
  <c r="AF41" i="1"/>
  <c r="AE41" i="1"/>
  <c r="AD41" i="1"/>
  <c r="AF40" i="1"/>
  <c r="AE40" i="1"/>
  <c r="AD40" i="1"/>
  <c r="AF39" i="1"/>
  <c r="AE39" i="1"/>
  <c r="AD39" i="1"/>
  <c r="AF38" i="1"/>
  <c r="AE38" i="1"/>
  <c r="AD38" i="1"/>
  <c r="AF37" i="1"/>
  <c r="AE37" i="1"/>
  <c r="AD37" i="1"/>
  <c r="AF36" i="1"/>
  <c r="AE36" i="1"/>
  <c r="AD36" i="1"/>
  <c r="AF35" i="1"/>
  <c r="AE35" i="1"/>
  <c r="AD35" i="1"/>
  <c r="AF34" i="1"/>
  <c r="AE34" i="1"/>
  <c r="AD34" i="1"/>
  <c r="AF33" i="1"/>
  <c r="AE33" i="1"/>
  <c r="AD33" i="1"/>
  <c r="AF32" i="1"/>
  <c r="AE32" i="1"/>
  <c r="AD32" i="1"/>
  <c r="AF31" i="1"/>
  <c r="AE31" i="1"/>
  <c r="AD31" i="1"/>
  <c r="AF30" i="1"/>
  <c r="AE30" i="1"/>
  <c r="AD30" i="1"/>
  <c r="AF29" i="1"/>
  <c r="AE29" i="1"/>
  <c r="AD29" i="1"/>
  <c r="AF28" i="1"/>
  <c r="AE28" i="1"/>
  <c r="AD28" i="1"/>
  <c r="AF27" i="1"/>
  <c r="AE27" i="1"/>
  <c r="AD27" i="1"/>
  <c r="AF26" i="1"/>
  <c r="AE26" i="1"/>
  <c r="AD26" i="1"/>
  <c r="AF25" i="1"/>
  <c r="AE25" i="1"/>
  <c r="AD25" i="1"/>
  <c r="AF24" i="1"/>
  <c r="AE24" i="1"/>
  <c r="AD24" i="1"/>
  <c r="AF23" i="1"/>
  <c r="AE23" i="1"/>
  <c r="AD23" i="1"/>
  <c r="AF22" i="1"/>
  <c r="AE22" i="1"/>
  <c r="AD22" i="1"/>
  <c r="AF21" i="1"/>
  <c r="AE21" i="1"/>
  <c r="AD21" i="1"/>
  <c r="AF20" i="1"/>
  <c r="AE20" i="1"/>
  <c r="AD20" i="1"/>
  <c r="AF19" i="1"/>
  <c r="AE19" i="1"/>
  <c r="AD19" i="1"/>
  <c r="AF18" i="1"/>
  <c r="AE18" i="1"/>
  <c r="AD18" i="1"/>
  <c r="AF17" i="1"/>
  <c r="AE17" i="1"/>
  <c r="AD17" i="1"/>
  <c r="AF16" i="1"/>
  <c r="AE16" i="1"/>
  <c r="AD16" i="1"/>
  <c r="AF15" i="1"/>
  <c r="AE15" i="1"/>
  <c r="AD15" i="1"/>
  <c r="AF14" i="1"/>
  <c r="AE14" i="1"/>
  <c r="AD14" i="1"/>
  <c r="AF13" i="1"/>
  <c r="AE13" i="1"/>
  <c r="AD13" i="1"/>
  <c r="AF12" i="1"/>
  <c r="AE12" i="1"/>
  <c r="AD12" i="1"/>
  <c r="AF11" i="1"/>
  <c r="AE11" i="1"/>
  <c r="AD11" i="1"/>
  <c r="AF10" i="1"/>
  <c r="AE10" i="1"/>
  <c r="AD10" i="1"/>
  <c r="AF9" i="1"/>
  <c r="AE9" i="1"/>
  <c r="AD9" i="1"/>
  <c r="AF8" i="1"/>
  <c r="AE8" i="1"/>
  <c r="AD8" i="1"/>
  <c r="AF7" i="1"/>
  <c r="AE7" i="1"/>
  <c r="AD7" i="1"/>
  <c r="AF6" i="1"/>
  <c r="AE6" i="1"/>
  <c r="AD6" i="1"/>
  <c r="AF5" i="1"/>
  <c r="AE5" i="1"/>
  <c r="AD5" i="1"/>
  <c r="AF4" i="1"/>
  <c r="AE4" i="1"/>
  <c r="AD4" i="1"/>
  <c r="AF3" i="1"/>
  <c r="AE3" i="1"/>
  <c r="AD3" i="1"/>
  <c r="AF2" i="1"/>
  <c r="AE2" i="1"/>
  <c r="AD2" i="1"/>
</calcChain>
</file>

<file path=xl/sharedStrings.xml><?xml version="1.0" encoding="utf-8"?>
<sst xmlns="http://schemas.openxmlformats.org/spreadsheetml/2006/main" count="3324" uniqueCount="673">
  <si>
    <t>Food ID</t>
  </si>
  <si>
    <t>Food Name</t>
  </si>
  <si>
    <t>Food Category</t>
  </si>
  <si>
    <t>TG Fuel Class</t>
  </si>
  <si>
    <t>Calories</t>
  </si>
  <si>
    <t>Carbs</t>
  </si>
  <si>
    <t>Fat</t>
  </si>
  <si>
    <t>Protein</t>
  </si>
  <si>
    <t>Fiber</t>
  </si>
  <si>
    <t>Carb Density</t>
  </si>
  <si>
    <t>Fat Density</t>
  </si>
  <si>
    <t>Protein Density</t>
  </si>
  <si>
    <t>Fiber Density</t>
  </si>
  <si>
    <t>Sodium</t>
  </si>
  <si>
    <t>Potassium</t>
  </si>
  <si>
    <t>Magnesium</t>
  </si>
  <si>
    <t>Electrolyte Density</t>
  </si>
  <si>
    <t>TG Metabolic Score</t>
  </si>
  <si>
    <t>Protocol Levels</t>
  </si>
  <si>
    <t>Source FDC ID</t>
  </si>
  <si>
    <t>tg_f_000002</t>
  </si>
  <si>
    <t>Oats (Includes foods for USDA's Food Distribution Program)</t>
  </si>
  <si>
    <t>Cereal Grains and Pasta</t>
  </si>
  <si>
    <t>glycogen</t>
  </si>
  <si>
    <t>2, 3</t>
  </si>
  <si>
    <t>tg_f_000007</t>
  </si>
  <si>
    <t>Cheese, cheddar (Includes foods for USDA's Food Distribution Program)</t>
  </si>
  <si>
    <t>Dairy and Egg Products</t>
  </si>
  <si>
    <t>electrolyte</t>
  </si>
  <si>
    <t>1, 2, 3, 4, 5</t>
  </si>
  <si>
    <t>tg_f_000008</t>
  </si>
  <si>
    <t>Apples, raw, with skin (Includes foods for USDA's Food Distribution Program)</t>
  </si>
  <si>
    <t>Fruits and Fruit Juices</t>
  </si>
  <si>
    <t>neutral</t>
  </si>
  <si>
    <t>tg_f_000010</t>
  </si>
  <si>
    <t>Blueberries, wild, frozen (Includes foods for USDA's Food Distribution Program)</t>
  </si>
  <si>
    <t>tg_f_000011</t>
  </si>
  <si>
    <t>Carrots, frozen, unprepared (Includes foods for USDA's Food Distribution Program)</t>
  </si>
  <si>
    <t>Vegetables and Vegetable Products</t>
  </si>
  <si>
    <t>tg_f_000014</t>
  </si>
  <si>
    <t>Oranges, raw, navels (Includes foods for USDA's Food Distribution Program)</t>
  </si>
  <si>
    <t>tg_f_000015</t>
  </si>
  <si>
    <t>Peanut Butter, smooth (Includes foods for USDA's Food Distribution Program)</t>
  </si>
  <si>
    <t>Legumes and Legume Products</t>
  </si>
  <si>
    <t>tg_f_000016</t>
  </si>
  <si>
    <t>Pears, raw, bartlett (Includes foods for USDA's Food Distribution Program)</t>
  </si>
  <si>
    <t>tg_f_000017</t>
  </si>
  <si>
    <t>Pears, raw, bosc (Includes foods for USDA's Food Distribution Program)</t>
  </si>
  <si>
    <t>tg_f_000019</t>
  </si>
  <si>
    <t>Raisins, dark, seedless (Includes foods for USDA's Food Distribution Program)</t>
  </si>
  <si>
    <t>tg_f_000043</t>
  </si>
  <si>
    <t>Apples, raw, fuji, with skin (Includes foods for USDA's Food Distribution Program)</t>
  </si>
  <si>
    <t>tg_f_000044</t>
  </si>
  <si>
    <t>Apples, raw, gala, with skin (Includes foods for USDA's Food Distribution Program)</t>
  </si>
  <si>
    <t>tg_f_000045</t>
  </si>
  <si>
    <t>Broccoli, frozen, spears, unprepared (Includes foods for USDA's Food Distribution Program)</t>
  </si>
  <si>
    <t>tg_f_000046</t>
  </si>
  <si>
    <t>Cheese, cheddar, reduced fat (Includes foods for USDA's Food Distribution Program)</t>
  </si>
  <si>
    <t>tg_f_000048</t>
  </si>
  <si>
    <t>Pasta, whole-wheat, cooked (Includes foods for USDA's Food Distribution Program)</t>
  </si>
  <si>
    <t>tg_f_000049</t>
  </si>
  <si>
    <t>Pasta, whole-wheat, dry (Includes foods for USDA's Food Distribution Program)</t>
  </si>
  <si>
    <t>tg_f_000050</t>
  </si>
  <si>
    <t>Pears, raw, green anjou (Includes foods for USDA's Food Distribution Program)</t>
  </si>
  <si>
    <t>tg_f_000051</t>
  </si>
  <si>
    <t>Peas, green, frozen, unprepared (Includes foods for USDA's Food Distribution Program)</t>
  </si>
  <si>
    <t>tg_f_000052</t>
  </si>
  <si>
    <t>Sweet potato, frozen, unprepared (Includes foods for USDA's Food Distribution Program)</t>
  </si>
  <si>
    <t>tg_f_000053</t>
  </si>
  <si>
    <t>Sweet potato, raw, unprepared (Includes foods for USDA's Food Distribution Program)</t>
  </si>
  <si>
    <t>tg_f_000055</t>
  </si>
  <si>
    <t>Yogurt, Greek, plain, nonfat (Includes foods for USDA's Food Distribution Program)</t>
  </si>
  <si>
    <t>tg_f_000056</t>
  </si>
  <si>
    <t>Apples, raw, granny smith, with skin (Includes foods for USDA's Food Distribution Program)</t>
  </si>
  <si>
    <t>tg_f_000057</t>
  </si>
  <si>
    <t>Apples, raw, red delicious, with skin (Includes foods for USDA's Food Distribution Program)</t>
  </si>
  <si>
    <t>tg_f_000058</t>
  </si>
  <si>
    <t>Beans, pinto, mature seeds, raw (Includes foods for USDA's Food Distribution Program)</t>
  </si>
  <si>
    <t>tg_f_000060</t>
  </si>
  <si>
    <t>Egg, whole, raw, frozen, pasteurized (Includes foods for USDA's Food Distribution Program)</t>
  </si>
  <si>
    <t>tg_f_000061</t>
  </si>
  <si>
    <t>Peanut butter, smooth style, with salt (Includes foods for USDA's Food Distribution Program)</t>
  </si>
  <si>
    <t>tg_f_000062</t>
  </si>
  <si>
    <t>Potatoes, russet, flesh and skin, raw (Includes foods for USDA's Food Distribution Program)</t>
  </si>
  <si>
    <t>tg_f_000063</t>
  </si>
  <si>
    <t>Rice, brown, long-grain, cooked (Includes foods for USDA's Food Distribution Program)</t>
  </si>
  <si>
    <t>tg_f_000064</t>
  </si>
  <si>
    <t>Rice, brown, long-grain, raw (Includes foods for USDA's Food Distribution Program)</t>
  </si>
  <si>
    <t>tg_f_000065</t>
  </si>
  <si>
    <t>Rice, brown, medium-grain, cooked (Includes foods for USDA's Food Distribution Program)</t>
  </si>
  <si>
    <t>tg_f_000066</t>
  </si>
  <si>
    <t>Rice, brown, medium-grain, raw (Includes foods for USDA's Food Distribution Program)</t>
  </si>
  <si>
    <t>tg_f_000067</t>
  </si>
  <si>
    <t>Spinach, frozen, chopped or leaf, unprepared (Includes foods for USDA's Food Distribution Program)</t>
  </si>
  <si>
    <t>tg_f_000088</t>
  </si>
  <si>
    <t>HOUSE FOODS Premium Firm Tofu</t>
  </si>
  <si>
    <t>tg_f_000089</t>
  </si>
  <si>
    <t>HOUSE FOODS Premium Soft Tofu</t>
  </si>
  <si>
    <t>tg_f_000098</t>
  </si>
  <si>
    <t>Beans, great northern, mature seeds, raw (Includes foods for USDA's Food Distribution Program)</t>
  </si>
  <si>
    <t>tg_f_000101</t>
  </si>
  <si>
    <t>Beans, snap, green, frozen, all styles, unprepared (Includes foods for USDA's Food Distribution Program)</t>
  </si>
  <si>
    <t>tg_f_000102</t>
  </si>
  <si>
    <t>Fish, tuna, light, canned in water, drained solids (Includes foods for USDA's Food Distribution Program)</t>
  </si>
  <si>
    <t>Finfish and Shellfish Products</t>
  </si>
  <si>
    <t>tg_f_000135</t>
  </si>
  <si>
    <t>Beef, ground, 85% lean meat / 15% fat, raw (Includes foods for USDA's Food Distribution Program)</t>
  </si>
  <si>
    <t>Beef Products</t>
  </si>
  <si>
    <t>fat_adaptation</t>
  </si>
  <si>
    <t>4, 5</t>
  </si>
  <si>
    <t>tg_f_000136</t>
  </si>
  <si>
    <t>Corn, sweet, yellow, canned, no salt added, solids and liquids (Includes foods for USDA's Food Distribution Program)</t>
  </si>
  <si>
    <t>tg_f_000139</t>
  </si>
  <si>
    <t>Corn, sweet, yellow, frozen, kernels cut off cob, unprepared (Includes foods for USDA's Food Distribution Program)</t>
  </si>
  <si>
    <t>tg_f_000179</t>
  </si>
  <si>
    <t>Pasta, whole grain, 51% whole wheat, remaining enriched semolina, cooked (Includes foods for USDA's Food Distribution Program)</t>
  </si>
  <si>
    <t>tg_f_000180</t>
  </si>
  <si>
    <t>Pasta, whole grain, 51% whole wheat, remaining enriched semolina, dry (Includes foods for USDA's Food Distribution Program)</t>
  </si>
  <si>
    <t>tg_f_000181</t>
  </si>
  <si>
    <t>Pork, fresh, leg (ham), rump half, separable lean only, raw (Includes foods for USDA's Food Distribution Program)</t>
  </si>
  <si>
    <t>Pork Products</t>
  </si>
  <si>
    <t>tg_f_000307</t>
  </si>
  <si>
    <t>Nuts, almonds, dry roasted, without salt added</t>
  </si>
  <si>
    <t>Nut and Seed Products</t>
  </si>
  <si>
    <t>tg_f_001213</t>
  </si>
  <si>
    <t>Blackberries, wild, raw (Alaska Native)</t>
  </si>
  <si>
    <t>American Indian/Alaska Native Foods</t>
  </si>
  <si>
    <t>tg_f_001214</t>
  </si>
  <si>
    <t>Blueberries, wild, frozen (Alaska Native)</t>
  </si>
  <si>
    <t>tg_f_001215</t>
  </si>
  <si>
    <t>Blueberries, wild, raw (Alaska Native)</t>
  </si>
  <si>
    <t>tg_f_001218</t>
  </si>
  <si>
    <t>Buffalo, free range, top round steak, cooked (Shoshone Bannock)</t>
  </si>
  <si>
    <t>tg_f_001219</t>
  </si>
  <si>
    <t>Buffalo, free range, top round steak, raw (Shoshone Bannock)</t>
  </si>
  <si>
    <t>tg_f_001222</t>
  </si>
  <si>
    <t>Caribou, hind quarter meat, raw (Alaska Native)</t>
  </si>
  <si>
    <t>tg_f_001223</t>
  </si>
  <si>
    <t>Caribou, hind quarter, meat, cooked (Alaska Native)</t>
  </si>
  <si>
    <t>tg_f_001237</t>
  </si>
  <si>
    <t>Corn, white, steamed (Navajo)</t>
  </si>
  <si>
    <t>tg_f_001242</t>
  </si>
  <si>
    <t>Cranberries, wild, bush, raw (Alaska Native)</t>
  </si>
  <si>
    <t>tg_f_001243</t>
  </si>
  <si>
    <t>Cranberry, low bush or lingenberry, raw (Alaska Native)</t>
  </si>
  <si>
    <t>tg_f_001244</t>
  </si>
  <si>
    <t>Deer (venison), sitka, raw (Alaska Native)</t>
  </si>
  <si>
    <t>tg_f_001246</t>
  </si>
  <si>
    <t>Elk, free range, ground, cooked patties (Shoshone Bannock)</t>
  </si>
  <si>
    <t>tg_f_001247</t>
  </si>
  <si>
    <t>Elk, free range, ground, raw (Shoshone Bannock)</t>
  </si>
  <si>
    <t>tg_f_001248</t>
  </si>
  <si>
    <t>Elk, free range, roast, eye of round, cooked (Shoshone Bannock)</t>
  </si>
  <si>
    <t>tg_f_001249</t>
  </si>
  <si>
    <t>Elk, free range, roast, eye of round, raw (Shoshone Bannock)</t>
  </si>
  <si>
    <t>tg_f_001253</t>
  </si>
  <si>
    <t>Fish, halibut, cooked, with skin (Alaska Native)</t>
  </si>
  <si>
    <t>tg_f_001254</t>
  </si>
  <si>
    <t>Fish, halibut, raw, with skin (Alaska Native)</t>
  </si>
  <si>
    <t>tg_f_001263</t>
  </si>
  <si>
    <t>Fish, Salmon, Chum, raw (Alaska Native)</t>
  </si>
  <si>
    <t>tg_f_001264</t>
  </si>
  <si>
    <t>Fish, salmon, coho (silver), raw (Alaska Native)</t>
  </si>
  <si>
    <t>tg_f_001265</t>
  </si>
  <si>
    <t>Fish, salmon, king (chinook), raw (Alaska Native)</t>
  </si>
  <si>
    <t>tg_f_001266</t>
  </si>
  <si>
    <t>Fish, salmon, king, chinook, kippered, canned (Alaska Native)</t>
  </si>
  <si>
    <t>tg_f_001268</t>
  </si>
  <si>
    <t>Fish, salmon, king, chinook, smoked and canned (Alaska Native)</t>
  </si>
  <si>
    <t>tg_f_001270</t>
  </si>
  <si>
    <t>Fish, salmon, king, with skin, kippered, (Alaska Native)</t>
  </si>
  <si>
    <t>tg_f_001271</t>
  </si>
  <si>
    <t>Fish, salmon, red, (sockeye), canned, smoked (Alaska Native)</t>
  </si>
  <si>
    <t>tg_f_001272</t>
  </si>
  <si>
    <t>Fish, salmon, red, (sockeye), kippered (Alaska Native)</t>
  </si>
  <si>
    <t>tg_f_001273</t>
  </si>
  <si>
    <t>Fish, salmon, red, canned, bones removed (Alaska Native)</t>
  </si>
  <si>
    <t>tg_f_001274</t>
  </si>
  <si>
    <t>Fish, salmon, sockeye (red), raw (Alaska Native)</t>
  </si>
  <si>
    <t>tg_f_001275</t>
  </si>
  <si>
    <t>Fish, salmon, tipnuk, fermented (Alaska Native)</t>
  </si>
  <si>
    <t>tg_f_001284</t>
  </si>
  <si>
    <t>Hazelnuts, beaked (Northern Plains Indians)</t>
  </si>
  <si>
    <t>tg_f_001285</t>
  </si>
  <si>
    <t>Huckleberries, raw (Alaska Native)</t>
  </si>
  <si>
    <t>tg_f_001291</t>
  </si>
  <si>
    <t>Moose, meat, raw (Alaska Native)</t>
  </si>
  <si>
    <t>tg_f_001295</t>
  </si>
  <si>
    <t>Mutton, cooked, roasted (Navajo)</t>
  </si>
  <si>
    <t>tg_f_001305</t>
  </si>
  <si>
    <t>Pinon Nuts, roasted (Navajo)</t>
  </si>
  <si>
    <t>tg_f_001306</t>
  </si>
  <si>
    <t>Plums, wild (Northern Plains Indians)</t>
  </si>
  <si>
    <t>tg_f_001311</t>
  </si>
  <si>
    <t>Raspberries, wild (Northern Plains Indians)</t>
  </si>
  <si>
    <t>tg_f_001314</t>
  </si>
  <si>
    <t>Salmon, red (sockeye), filets with skin, smoked (Alaska Native)</t>
  </si>
  <si>
    <t>tg_f_001333</t>
  </si>
  <si>
    <t>Squash, Indian, cooked, boiled (Navajo)</t>
  </si>
  <si>
    <t>tg_f_001334</t>
  </si>
  <si>
    <t>Squash, Indian, raw (Navajo)</t>
  </si>
  <si>
    <t>tg_f_001337</t>
  </si>
  <si>
    <t>Steelhead trout, dried, flesh (Shoshone Bannock)</t>
  </si>
  <si>
    <t>tg_f_001477</t>
  </si>
  <si>
    <t>FOOD LION, BLUEBERRIES</t>
  </si>
  <si>
    <t>Frozen Fruit &amp; Fruit Juice Concentrates</t>
  </si>
  <si>
    <t>tg_f_001488</t>
  </si>
  <si>
    <t>HOUSE FOODS, TOFU</t>
  </si>
  <si>
    <t>Other Meats</t>
  </si>
  <si>
    <t>tg_f_001493</t>
  </si>
  <si>
    <t>KEY FOOD, CAULIFLOWER</t>
  </si>
  <si>
    <t>Frozen Vegetables</t>
  </si>
  <si>
    <t>tg_f_001518</t>
  </si>
  <si>
    <t>WINCO FOODS, MYZITHRA</t>
  </si>
  <si>
    <t>Cheese</t>
  </si>
  <si>
    <t>tg_f_001544</t>
  </si>
  <si>
    <t>AMPORT FOODS, FLAX SEEDS</t>
  </si>
  <si>
    <t>Other Grains &amp; Seeds</t>
  </si>
  <si>
    <t>tg_f_001574</t>
  </si>
  <si>
    <t>CUT OKRA PREMIUM FOOD</t>
  </si>
  <si>
    <t>tg_f_001613</t>
  </si>
  <si>
    <t>FOOD LION, BROCCOLI CUTS</t>
  </si>
  <si>
    <t>tg_f_001616</t>
  </si>
  <si>
    <t>FOOD LION, BRUSSELS SPROUTS</t>
  </si>
  <si>
    <t>tg_f_001620</t>
  </si>
  <si>
    <t>FOOD LION, CHICKEN BREAST</t>
  </si>
  <si>
    <t>Canned Meat</t>
  </si>
  <si>
    <t>tg_f_001639</t>
  </si>
  <si>
    <t>FOOD LION, GROUND BEEF</t>
  </si>
  <si>
    <t>tg_f_001652</t>
  </si>
  <si>
    <t>FOOD LION, MOZZARELLA CHEESE</t>
  </si>
  <si>
    <t>tg_f_001660</t>
  </si>
  <si>
    <t>FOOD LION, PEPPER JACK</t>
  </si>
  <si>
    <t>tg_f_001674</t>
  </si>
  <si>
    <t>FOOD LION, SWEET PEAS</t>
  </si>
  <si>
    <t>Canned Vegetables</t>
  </si>
  <si>
    <t>tg_f_001675</t>
  </si>
  <si>
    <t>FOOD LION, SWISS CHEESE</t>
  </si>
  <si>
    <t>tg_f_001685</t>
  </si>
  <si>
    <t>FOOD LOIN, GROUND TURKEY</t>
  </si>
  <si>
    <t>Poultry, Chicken &amp; Turkey</t>
  </si>
  <si>
    <t>tg_f_001700</t>
  </si>
  <si>
    <t>HOUSE FOODS, ORGANIC TOFU</t>
  </si>
  <si>
    <t>tg_f_001746</t>
  </si>
  <si>
    <t>KEY FOOD, BERRY MEDLEY</t>
  </si>
  <si>
    <t>tg_f_001747</t>
  </si>
  <si>
    <t>KEY FOOD, BLACK BEANS</t>
  </si>
  <si>
    <t>Canned &amp; Bottled Beans</t>
  </si>
  <si>
    <t>tg_f_001748</t>
  </si>
  <si>
    <t>KEY FOOD, BLUE CHEESE</t>
  </si>
  <si>
    <t>tg_f_001764</t>
  </si>
  <si>
    <t>KEY FOOD, COTTAGE CHEESE</t>
  </si>
  <si>
    <t>tg_f_001767</t>
  </si>
  <si>
    <t>KEY FOOD, CUT OKRA</t>
  </si>
  <si>
    <t>tg_f_001770</t>
  </si>
  <si>
    <t>KEY FOOD, EDAM CHEESE</t>
  </si>
  <si>
    <t>tg_f_001773</t>
  </si>
  <si>
    <t>KEY FOOD, FONTINA CHEESE</t>
  </si>
  <si>
    <t>tg_f_001774</t>
  </si>
  <si>
    <t>KEY FOOD, GARDEN PEAS</t>
  </si>
  <si>
    <t>tg_f_001777</t>
  </si>
  <si>
    <t>KEY FOOD, GOUDA CHEESE</t>
  </si>
  <si>
    <t>tg_f_001789</t>
  </si>
  <si>
    <t>KEY FOOD, MANDARIN ORANGES</t>
  </si>
  <si>
    <t>Canned Fruit</t>
  </si>
  <si>
    <t>tg_f_001807</t>
  </si>
  <si>
    <t>KEY FOOD, PINEAPPLE TIDBITS</t>
  </si>
  <si>
    <t>tg_f_001808</t>
  </si>
  <si>
    <t>KEY FOOD, PINK BEANS</t>
  </si>
  <si>
    <t>tg_f_001809</t>
  </si>
  <si>
    <t>KEY FOOD, PINTO BEANS</t>
  </si>
  <si>
    <t>tg_f_001825</t>
  </si>
  <si>
    <t>KEY FOOD, SLICED BEETS</t>
  </si>
  <si>
    <t>tg_f_001827</t>
  </si>
  <si>
    <t>KEY FOOD, SLICED CARROTS</t>
  </si>
  <si>
    <t>tg_f_001829</t>
  </si>
  <si>
    <t>KEY FOOD, SLICED PEACHES</t>
  </si>
  <si>
    <t>tg_f_001830</t>
  </si>
  <si>
    <t>KEY FOOD, SOUR CREAM</t>
  </si>
  <si>
    <t>Cream</t>
  </si>
  <si>
    <t>tg_f_001853</t>
  </si>
  <si>
    <t>LOWES FOODS, BLACKEYE PEAS</t>
  </si>
  <si>
    <t>tg_f_001856</t>
  </si>
  <si>
    <t>LOWES FOODS, CANNELLINI BEANS</t>
  </si>
  <si>
    <t>tg_f_001859</t>
  </si>
  <si>
    <t>LOWES FOODS, CUTLEAF SPINACH</t>
  </si>
  <si>
    <t>tg_f_001860</t>
  </si>
  <si>
    <t>LOWES FOODS, DICED PEACHES</t>
  </si>
  <si>
    <t>tg_f_001861</t>
  </si>
  <si>
    <t>LOWES FOODS, DICED TOMATOES</t>
  </si>
  <si>
    <t>Tomatoes</t>
  </si>
  <si>
    <t>tg_f_001862</t>
  </si>
  <si>
    <t>tg_f_001878</t>
  </si>
  <si>
    <t>LOWES FOODS, PINTO BEANS</t>
  </si>
  <si>
    <t>tg_f_001881</t>
  </si>
  <si>
    <t>LOWES FOODS, SLICED BEETS</t>
  </si>
  <si>
    <t>tg_f_001900</t>
  </si>
  <si>
    <t>PERU FOOD, CHIA SEED</t>
  </si>
  <si>
    <t>tg_f_001911</t>
  </si>
  <si>
    <t>RIVERTRAIL FOODS, GOLDEN FLAXSEED</t>
  </si>
  <si>
    <t>tg_f_001916</t>
  </si>
  <si>
    <t>SUPER FOOD ALMOND BUTTER</t>
  </si>
  <si>
    <t>Nut &amp; Seed Butters</t>
  </si>
  <si>
    <t>tg_f_001944</t>
  </si>
  <si>
    <t>WINCO FOODS, REFRIED BEANS</t>
  </si>
  <si>
    <t>tg_f_002042</t>
  </si>
  <si>
    <t>FOOD LION, BLUE CHEESE CRUMBLED</t>
  </si>
  <si>
    <t>tg_f_002050</t>
  </si>
  <si>
    <t>FOOD LION, CHOPPED COLLARD GREENS</t>
  </si>
  <si>
    <t>tg_f_002058</t>
  </si>
  <si>
    <t>FOOD LION, CRUMBLED FETA CHEESE</t>
  </si>
  <si>
    <t>tg_f_002076</t>
  </si>
  <si>
    <t>FOOD LION, JUMBO BUTTERFLY SHRIMP</t>
  </si>
  <si>
    <t>Frozen Fish &amp; Seafood</t>
  </si>
  <si>
    <t>tg_f_002078</t>
  </si>
  <si>
    <t>FOOD LION, LOWFAT COTTAGE CHEESE</t>
  </si>
  <si>
    <t>tg_f_002080</t>
  </si>
  <si>
    <t>FOOD LION, MEDIUM WHITE EGGS</t>
  </si>
  <si>
    <t>Eggs &amp; Egg Substitutes</t>
  </si>
  <si>
    <t>tg_f_002081</t>
  </si>
  <si>
    <t>FOOD LION, MOZZARELLA STRING CHEESE</t>
  </si>
  <si>
    <t>tg_f_002083</t>
  </si>
  <si>
    <t>FOOD LION, NATURAL PROVOLONE, CHEESE</t>
  </si>
  <si>
    <t>tg_f_002084</t>
  </si>
  <si>
    <t>FOOD LION, NATURAL SWISS CHEESE</t>
  </si>
  <si>
    <t>tg_f_002094</t>
  </si>
  <si>
    <t>FOOD LION, PINEAPPLE TIDBITS IN JUICE</t>
  </si>
  <si>
    <t>tg_f_002141</t>
  </si>
  <si>
    <t>FOOD LION, WHOLE GRAIN PENNE</t>
  </si>
  <si>
    <t>Pasta by Shape &amp; Type</t>
  </si>
  <si>
    <t>tg_f_002147</t>
  </si>
  <si>
    <t>FPL FOOD, COARSE GROUND BEEF</t>
  </si>
  <si>
    <t>tg_f_002160</t>
  </si>
  <si>
    <t>GOSSNER FOODS, 1% LOWFAT MILK</t>
  </si>
  <si>
    <t>Milk</t>
  </si>
  <si>
    <t>tg_f_002169</t>
  </si>
  <si>
    <t>HEMP HEARTS WHOLE FOOD NUTRITION</t>
  </si>
  <si>
    <t>tg_f_002176</t>
  </si>
  <si>
    <t>HOUSE FOODS, ORGANIC TOFU CUBED</t>
  </si>
  <si>
    <t>tg_f_002245</t>
  </si>
  <si>
    <t>KEY FOOD, CHICK PEAS, GARBANZOS</t>
  </si>
  <si>
    <t>tg_f_002248</t>
  </si>
  <si>
    <t>KEY FOOD, CREAMY PEANUT BUTTER</t>
  </si>
  <si>
    <t>tg_f_002249</t>
  </si>
  <si>
    <t>KEY FOOD, CRINKLE CUT CARROTS</t>
  </si>
  <si>
    <t>tg_f_002253</t>
  </si>
  <si>
    <t>KEY FOOD, CRUNCHY PEANUT BUTTER</t>
  </si>
  <si>
    <t>tg_f_002254</t>
  </si>
  <si>
    <t>KEY FOOD, CUT GREEN BEANS</t>
  </si>
  <si>
    <t>tg_f_002256</t>
  </si>
  <si>
    <t>tg_f_002259</t>
  </si>
  <si>
    <t>KEY FOOD, CUT WAX BEANS</t>
  </si>
  <si>
    <t>tg_f_002260</t>
  </si>
  <si>
    <t>KEY FOOD, CUTS &amp; TIPS ASPARAGUS</t>
  </si>
  <si>
    <t>tg_f_002278</t>
  </si>
  <si>
    <t>KEY FOOD, LOWFAT COTTAGE CHEESE</t>
  </si>
  <si>
    <t>tg_f_002282</t>
  </si>
  <si>
    <t>KEY FOOD, MEDIUM SWEET PEAS</t>
  </si>
  <si>
    <t>tg_f_002284</t>
  </si>
  <si>
    <t>KEY FOOD, MEDIUM WHOLE BEETS</t>
  </si>
  <si>
    <t>tg_f_002290</t>
  </si>
  <si>
    <t>KEY FOOD, NATURAL SWISS CHEESE</t>
  </si>
  <si>
    <t>tg_f_002291</t>
  </si>
  <si>
    <t>KEY FOOD, NONFAT COTTAGE CHEESE</t>
  </si>
  <si>
    <t>tg_f_002294</t>
  </si>
  <si>
    <t>KEY FOOD, PEAS &amp; DICED CARROTS</t>
  </si>
  <si>
    <t>tg_f_002299</t>
  </si>
  <si>
    <t>KEY FOOD, PREMIUM RED RASPBERRIES</t>
  </si>
  <si>
    <t>tg_f_002311</t>
  </si>
  <si>
    <t>KEY FOOD, SMALL WHITE BEANS</t>
  </si>
  <si>
    <t>tg_f_002312</t>
  </si>
  <si>
    <t>KEY FOOD, SMOKED GOUDA CHEESE</t>
  </si>
  <si>
    <t>tg_f_002321</t>
  </si>
  <si>
    <t>KEY FOOD, STRING CHEESE STICKS</t>
  </si>
  <si>
    <t>tg_f_002333</t>
  </si>
  <si>
    <t>KEY FOOD, WHOLE BUTTON MUSHROOMS</t>
  </si>
  <si>
    <t>tg_f_002334</t>
  </si>
  <si>
    <t>KEY FOOD, WHOLE LEAF SPINACH</t>
  </si>
  <si>
    <t>tg_f_002335</t>
  </si>
  <si>
    <t>KEY FOOD, WHOLE PEELED TOMATOES</t>
  </si>
  <si>
    <t>tg_f_002360</t>
  </si>
  <si>
    <t>LOWES FOODS, CRUNCHY PEANUT BUTTER</t>
  </si>
  <si>
    <t>tg_f_002373</t>
  </si>
  <si>
    <t>LOWES FOODS, GREAT NORTHERN BEANS</t>
  </si>
  <si>
    <t>tg_f_002385</t>
  </si>
  <si>
    <t>LOWES FOODS, PETITE DICED TOMATOES</t>
  </si>
  <si>
    <t>tg_f_002407</t>
  </si>
  <si>
    <t>LOWES FOODS, WHOLE GREEN BEANS</t>
  </si>
  <si>
    <t>tg_f_002408</t>
  </si>
  <si>
    <t>LOWES FOODS, WHOLE KERNEL CORN</t>
  </si>
  <si>
    <t>tg_f_002412</t>
  </si>
  <si>
    <t>MELISSA'S, GOOD LIFE FOOD, QUINOA</t>
  </si>
  <si>
    <t>tg_f_002440</t>
  </si>
  <si>
    <t>PERU FOOD, WHOLE ROASTED BARLEY</t>
  </si>
  <si>
    <t>tg_f_002467</t>
  </si>
  <si>
    <t>RIO GRANDE FOODS, REFRIED BEANS</t>
  </si>
  <si>
    <t>tg_f_002513</t>
  </si>
  <si>
    <t>WALNUT CREEK FOODS, CHEESE CURDS</t>
  </si>
  <si>
    <t>tg_f_002533</t>
  </si>
  <si>
    <t>WHOLE FOODS MARKET, CAPELLINI PASTA</t>
  </si>
  <si>
    <t>tg_f_002566</t>
  </si>
  <si>
    <t>WHOLE FOODS MARKET, FETTUCCINE PASTA</t>
  </si>
  <si>
    <t>tg_f_002576</t>
  </si>
  <si>
    <t>WHOLE FOODS MARKET, GREEK YOUGURT</t>
  </si>
  <si>
    <t>Yogurt</t>
  </si>
  <si>
    <t>tg_f_002630</t>
  </si>
  <si>
    <t>WHOLE FOODS MARKET, SHELLED PISTACHIOS</t>
  </si>
  <si>
    <t>tg_f_002670</t>
  </si>
  <si>
    <t>WINCO FOODS, CREAMY PEANUT BUTTER</t>
  </si>
  <si>
    <t>tg_f_002672</t>
  </si>
  <si>
    <t>WINCO FOODS, DELI MYZITHRA CHEESE</t>
  </si>
  <si>
    <t>tg_f_002751</t>
  </si>
  <si>
    <t>COLOMA FROZEN FOODS, GREEN GARDEN PEAS</t>
  </si>
  <si>
    <t>tg_f_002828</t>
  </si>
  <si>
    <t>FOOD LION, GRADE A LARGE WHITE EGGS</t>
  </si>
  <si>
    <t>tg_f_002853</t>
  </si>
  <si>
    <t>FOOD LION, MOZZARELLA STRING CHEESE, NATURAL</t>
  </si>
  <si>
    <t>tg_f_002875</t>
  </si>
  <si>
    <t>FOOD LION, SHREDDED SHARP CHEDDAR CHEESE</t>
  </si>
  <si>
    <t>tg_f_002963</t>
  </si>
  <si>
    <t>IQF PEELED &amp; DEVEINED TAIL-ON SEA FOOD</t>
  </si>
  <si>
    <t>tg_f_002972</t>
  </si>
  <si>
    <t>JOHNVINCE FOODS, ORGANIC RAW PUMPKIN SEED</t>
  </si>
  <si>
    <t>tg_f_002986</t>
  </si>
  <si>
    <t>JUST HEMP FOODS, HULLED HEMP SEED</t>
  </si>
  <si>
    <t>tg_f_002999</t>
  </si>
  <si>
    <t>KEY FOOD, CHEDDAR CHEESE, MILD, MILD</t>
  </si>
  <si>
    <t>tg_f_003012</t>
  </si>
  <si>
    <t>KEY FOOD, EXTRA SHARP CHEDDAR CHEESE</t>
  </si>
  <si>
    <t>tg_f_003028</t>
  </si>
  <si>
    <t>KEY FOOD, LIGHT RED KIDNEY BEANS</t>
  </si>
  <si>
    <t>tg_f_003030</t>
  </si>
  <si>
    <t>KEY FOOD, LOWFAT YOGURT, BLUEBERRY, BLUEBERRY</t>
  </si>
  <si>
    <t>tg_f_003031</t>
  </si>
  <si>
    <t>KEY FOOD, NATURAL MUENSTER SLICED CHEESE</t>
  </si>
  <si>
    <t>tg_f_003032</t>
  </si>
  <si>
    <t>KEY FOOD, NATURAL SHARP CHEDDAR CHEESE</t>
  </si>
  <si>
    <t>tg_f_003035</t>
  </si>
  <si>
    <t>KEY FOOD, PART SKIM RICOTTA CHEESE</t>
  </si>
  <si>
    <t>tg_f_003042</t>
  </si>
  <si>
    <t>KEY FOOD, PREMIUM BABY LIMA BEANS</t>
  </si>
  <si>
    <t>tg_f_003045</t>
  </si>
  <si>
    <t>KEY FOOD, RICOTTA CHEESE, WHOLE MILK</t>
  </si>
  <si>
    <t>tg_f_003053</t>
  </si>
  <si>
    <t>KEY FOOD, SWEET PEAS &amp; DICED CARROTS</t>
  </si>
  <si>
    <t>tg_f_003058</t>
  </si>
  <si>
    <t>KEY FOOD, WHOLE MILK MOZZARELLA CHEESE</t>
  </si>
  <si>
    <t>tg_f_003073</t>
  </si>
  <si>
    <t>LOVE RAW FOODS, ALMOND BUTTER, UNSALTED</t>
  </si>
  <si>
    <t>tg_f_003078</t>
  </si>
  <si>
    <t>LOWES FOODS, CHUNK LIGHT TUNA IN WATER</t>
  </si>
  <si>
    <t>Canned Tuna</t>
  </si>
  <si>
    <t>tg_f_003087</t>
  </si>
  <si>
    <t>LOWES FOODS, DARK RED KIDNEY BEANS</t>
  </si>
  <si>
    <t>tg_f_003089</t>
  </si>
  <si>
    <t>LOWES FOODS, FRENCH CUT GREEN BEANS</t>
  </si>
  <si>
    <t>tg_f_003096</t>
  </si>
  <si>
    <t>LOWES FOODS, LONG GRAIN BROWN RICE</t>
  </si>
  <si>
    <t>Rice</t>
  </si>
  <si>
    <t>tg_f_003117</t>
  </si>
  <si>
    <t>LOWES FOODS, WHOLE KERNEL WHITE CORN</t>
  </si>
  <si>
    <t>tg_f_003123</t>
  </si>
  <si>
    <t>MDS FOODS, AMISH CLASSICS, SWISS CHEESE</t>
  </si>
  <si>
    <t>tg_f_003136</t>
  </si>
  <si>
    <t>NUT-TRITIOUS FOODS, PUMPKIN SEED BUTTER</t>
  </si>
  <si>
    <t>tg_f_003137</t>
  </si>
  <si>
    <t>NUT-TRITIOUS FOODS, SUNFLOWER SEED BUTTER</t>
  </si>
  <si>
    <t>tg_f_003238</t>
  </si>
  <si>
    <t>WALNUT CREEK FOODS, CRUMBLED FETA CHEESE</t>
  </si>
  <si>
    <t>tg_f_003243</t>
  </si>
  <si>
    <t>WHOLE ARTICHOKE HEARTS A FAT FREE FOOD</t>
  </si>
  <si>
    <t>tg_f_003263</t>
  </si>
  <si>
    <t>WHOLE FOODS MARKET, BROOKLYN, SMOKED SALMON</t>
  </si>
  <si>
    <t>Fish &amp; Seafood</t>
  </si>
  <si>
    <t>tg_f_003442</t>
  </si>
  <si>
    <t>WHOLE FOODS MARKET, STIR FRY VEGETABLES</t>
  </si>
  <si>
    <t>tg_f_003473</t>
  </si>
  <si>
    <t>WILLAMETTE FOODS, HARD-COOKED PEELED EGGS</t>
  </si>
  <si>
    <t>tg_f_003553</t>
  </si>
  <si>
    <t>BIG EASY FOODS, WILD CAUGHT GULF SHRIMP</t>
  </si>
  <si>
    <t>tg_f_003601</t>
  </si>
  <si>
    <t>FANTASTIC WORLD FOODS, ORGANIC WHOLE WHEAT COUSCOUS</t>
  </si>
  <si>
    <t>tg_f_003630</t>
  </si>
  <si>
    <t>FOOD LION, FANCY SHREDDED SHARP CHEDDAR CHEESE</t>
  </si>
  <si>
    <t>tg_f_003760</t>
  </si>
  <si>
    <t>KEY FOOD, BLENDED LOWFAT YOGURT, BANANA, BANANA</t>
  </si>
  <si>
    <t>tg_f_003763</t>
  </si>
  <si>
    <t>KEY FOOD, BLENDED LOWFAT YOGURT, STRAWBERRY, STRAWBERRY</t>
  </si>
  <si>
    <t>tg_f_003769</t>
  </si>
  <si>
    <t>KEY FOOD, CUT CORN FRESH FROZEN VEGETABLES</t>
  </si>
  <si>
    <t>tg_f_003783</t>
  </si>
  <si>
    <t>KEY FOOD, LOW-MOISTURE PART-SKIM MOZZARELLA</t>
  </si>
  <si>
    <t>tg_f_003785</t>
  </si>
  <si>
    <t>KEY FOOD, MONTEREY JACK CHEESE WITH JALAPENO PEPPERS</t>
  </si>
  <si>
    <t>tg_f_003791</t>
  </si>
  <si>
    <t>KEY FOOD, PREMIUM CHUNK LIGHT TUNA IN WATER</t>
  </si>
  <si>
    <t>tg_f_003799</t>
  </si>
  <si>
    <t>KEY FOOD, WHOLE KERNEL GOLDEN SWEET CORN</t>
  </si>
  <si>
    <t>tg_f_003818</t>
  </si>
  <si>
    <t>LOWES FOODS, PREMIUM CHUNK WHITE CHICKEN IN WATER</t>
  </si>
  <si>
    <t>tg_f_003983</t>
  </si>
  <si>
    <t>WHOLE FOODS MARKET, GREEK YOGURT, STRAWBERRY, STRAWBERRY</t>
  </si>
  <si>
    <t>tg_f_003985</t>
  </si>
  <si>
    <t>WHOLE FOODS MARKET, HERVE MONS CAMEMBERT CHEESE</t>
  </si>
  <si>
    <t>tg_f_004019</t>
  </si>
  <si>
    <t>WHOLE FOODS MARKET, PAPPARDELLE'S, WHOLE EGG FETTUCCINE</t>
  </si>
  <si>
    <t>tg_f_004125</t>
  </si>
  <si>
    <t>BIG EASY FOODS, WILD CAUGHT COOKED GULF SHRIMP</t>
  </si>
  <si>
    <t>tg_f_004167</t>
  </si>
  <si>
    <t>FLORA FINE FOODS, ITALIAN CRUSHED TOMATOES IN TOMATO PUREE</t>
  </si>
  <si>
    <t>tg_f_004168</t>
  </si>
  <si>
    <t>FLORA FINE FOODS, ITALIAN PEELED TOMATOES IN TOMATO PUREE</t>
  </si>
  <si>
    <t>tg_f_004302</t>
  </si>
  <si>
    <t>KEY FOOD, PINK SALMON, WILD ALASKA, WILD ALASKA</t>
  </si>
  <si>
    <t>Canned Seafood</t>
  </si>
  <si>
    <t>tg_f_004316</t>
  </si>
  <si>
    <t>LOWES FOODS, 1% MILKFAT LOWFAT YOGURT, BLUEBERRY, BLUEBERRY</t>
  </si>
  <si>
    <t>tg_f_004326</t>
  </si>
  <si>
    <t>MANITOBA HARVEST HEMP FOODS, RAW SHELLED HEMP SEEDS</t>
  </si>
  <si>
    <t>tg_f_004328</t>
  </si>
  <si>
    <t>Massimo's Food Service Range Italian Cheeses Bocconcini 1kg</t>
  </si>
  <si>
    <t xml:space="preserve">Cheese - Speciality </t>
  </si>
  <si>
    <t>tg_f_004329</t>
  </si>
  <si>
    <t>Massimo's Food Service Range Stracciatella Italian Cheeses 1kg</t>
  </si>
  <si>
    <t>tg_f_004557</t>
  </si>
  <si>
    <t>FOOD LION, BROCCOLI, CARROTS, SUGAR SNAP PEAS &amp; WATER CHESTNUTS</t>
  </si>
  <si>
    <t>tg_f_004619</t>
  </si>
  <si>
    <t>Massimo's Food Service Range Italian Cheeses Cherry Bocconcini 1kg</t>
  </si>
  <si>
    <t>tg_f_004620</t>
  </si>
  <si>
    <t>MELISSA'S, GOOD LIFE FOOD, 100% WHOLE GRAIN GOODNESS FREEKEH</t>
  </si>
  <si>
    <t>tg_f_004715</t>
  </si>
  <si>
    <t>WHOLE FOODS MARKET, ORGANIC NONFAT GREEK YOGURT, MANGO, MANGO</t>
  </si>
  <si>
    <t>tg_f_004716</t>
  </si>
  <si>
    <t>WHOLE FOODS MARKET, ORGANIC NONFAT GREEK YOGURT, PINEAPPLE, PINEAPPLE</t>
  </si>
  <si>
    <t>tg_f_004717</t>
  </si>
  <si>
    <t>WHOLE FOODS MARKET, ORGANIC NONFAT GREEK YOGURT, RASPBERRY, RASPBERRY</t>
  </si>
  <si>
    <t>tg_f_004917</t>
  </si>
  <si>
    <t>FOOD LION, NATURAL FANCY SHREDDED LOW-MOISTURE PART-SKIM MOZZARELLA CHEESE</t>
  </si>
  <si>
    <t>tg_f_004967</t>
  </si>
  <si>
    <t>WHOLE FOODS MARKET, ORGANIC 2% PLAIN ORGANIC LOWFAT YOGURT GREEK YOGURT</t>
  </si>
  <si>
    <t>TG Food Role</t>
  </si>
  <si>
    <t>anchor</t>
  </si>
  <si>
    <t>support</t>
  </si>
  <si>
    <t>TG Longevity Score</t>
  </si>
  <si>
    <t>TG Performance Score</t>
  </si>
  <si>
    <t>TG_Score_Audit_Flag</t>
  </si>
  <si>
    <t>TG_Score_Audit_Notes</t>
  </si>
  <si>
    <t>TG_Longevity_Score_Reviewed</t>
  </si>
  <si>
    <t>TG_Metabolic_Score_Qualitative_Reviewed</t>
  </si>
  <si>
    <t>TG_Performance_Score_Reviewed</t>
  </si>
  <si>
    <t>keep</t>
  </si>
  <si>
    <t>scores look reasonable</t>
  </si>
  <si>
    <t>review</t>
  </si>
  <si>
    <t>peanut butter slightly overrated for longevity (was 5)</t>
  </si>
  <si>
    <t>peas underscored for longevity</t>
  </si>
  <si>
    <t>adjust</t>
  </si>
  <si>
    <t>sweet potato underscored for metabolic (was 1); potato underscored for performance (was 2)</t>
  </si>
  <si>
    <t>potato underscored for performance (was 2)</t>
  </si>
  <si>
    <t>plain Greek yogurt underscored for metabolic (was 3)</t>
  </si>
  <si>
    <t>rice underscored for performance (was 2); pasta underscored for performance (was 2)</t>
  </si>
  <si>
    <t>tofu underscored for performance (was 1)</t>
  </si>
  <si>
    <t>legume underscored for performance (was 1)</t>
  </si>
  <si>
    <t>berry underscored for metabolic (was 1)</t>
  </si>
  <si>
    <t>red meat overrated for longevity (was 4)</t>
  </si>
  <si>
    <t>steamed corn overrated for longevity (was 5)</t>
  </si>
  <si>
    <t>fish underscored for metabolic (was 2)</t>
  </si>
  <si>
    <t>high fiber density underscored for metabolic (was 2)</t>
  </si>
  <si>
    <t>green vegetable underscored for longevity (was 4); cruciferous vegetable underscored for metabolic (was 3)</t>
  </si>
  <si>
    <t>cruciferous vegetable underscored for metabolic (was 3)</t>
  </si>
  <si>
    <t>cheese overrated for longevity due to sodium/saturation (was 5)</t>
  </si>
  <si>
    <t>green vegetable underscored for longevity (was 4); leafy green underscored for metabolic (was 3)</t>
  </si>
  <si>
    <t>high fiber density underscored for metabolic (was 2); low-calorie vegetable overrated for performance (was 3); carrots overrated for performance (was 3)</t>
  </si>
  <si>
    <t>green beans overrated for metabolic (was 4); low-calorie vegetable overrated for performance (was 3); green beans overrated for performance (was 3)</t>
  </si>
  <si>
    <t>low-calorie vegetable overrated for performance (was 3); green beans overrated for performance (was 3)</t>
  </si>
  <si>
    <t>low-calorie vegetable overrated for performance (was 3); asparagus overrated for performance (was 3)</t>
  </si>
  <si>
    <t>cottage cheese underscored for metabolic (was 3)</t>
  </si>
  <si>
    <t>cottage cheese underscored for metabolic (was 3); cottage cheese overrated for performance (was 4)</t>
  </si>
  <si>
    <t>low-calorie vegetable overrated for performance (was 3); peas &amp; carrots mix overrated for performance</t>
  </si>
  <si>
    <t>berry overrated for performance (was 3)</t>
  </si>
  <si>
    <t>high-sodium cheese borderline for longevity (was 4); cheese overrated for metabolic (was 5)</t>
  </si>
  <si>
    <t>low-calorie vegetable overrated for performance (was 4); support food scored too high for performance (was 4); mushrooms overrated for performance (was 4)</t>
  </si>
  <si>
    <t>low-calorie vegetable overrated for performance (was 3)</t>
  </si>
  <si>
    <t>tomato underscored for longevity (was 2); low-calorie vegetable overrated for performance (was 3); tomato overrated for performance (was 3)</t>
  </si>
  <si>
    <t>peanut butter underscored for longevity (was 2)</t>
  </si>
  <si>
    <t>low-calorie vegetable overrated for performance (was 3); canned corn overrated for performance (was 3)</t>
  </si>
  <si>
    <t>legume underscored for longevity (was 3); legume underscored for performance (was 2)</t>
  </si>
  <si>
    <t>non-whole-grain pasta overrated for longevity (was 5)</t>
  </si>
  <si>
    <t>cheese overrated for longevity due to sodium/saturation (was 5); cheese overrated for performance (was 4)</t>
  </si>
  <si>
    <t>fish underscored for performance (was 1)</t>
  </si>
  <si>
    <t>high-sodium cheese borderline for longevity (was 4)</t>
  </si>
  <si>
    <t>legume underscored for metabolic (was 2); high fiber density underscored for metabolic (was 2)</t>
  </si>
  <si>
    <t>sweetened yogurt likely too high for longevity (was 5); high-sugar low-protein yogurt overrated for longevity; sweetened yogurt overrated for performance (was 4)</t>
  </si>
  <si>
    <t>legume underscored for longevity (was 2); lima beans underscored for longevity (was 2)</t>
  </si>
  <si>
    <t>cheese overrated for longevity due to sodium/saturation (was 5); milk overrated for performance</t>
  </si>
  <si>
    <t>nut butter underscored for performance (was 1)</t>
  </si>
  <si>
    <t>rice underscored for performance (was 2)</t>
  </si>
  <si>
    <t>canned corn overrated for longevity (was 5); low-calorie vegetable overrated for performance (was 3); canned corn overrated for performance (was 3)</t>
  </si>
  <si>
    <t>fish underscored for longevity (was 3); smoked salmon underscored for performance</t>
  </si>
  <si>
    <t>low-calorie vegetable overrated for performance (was 3); stir fry vegetables overrated for performance</t>
  </si>
  <si>
    <t>eggs slightly overrated for longevity (was 5)</t>
  </si>
  <si>
    <t>pasta underscored for performance (was 2)</t>
  </si>
  <si>
    <t>fish underscored for longevity (was 2)</t>
  </si>
  <si>
    <t>poultry underscored for longevity (was 2); high-protein poultry underscored for metabolic (was 3)</t>
  </si>
  <si>
    <t>sweetened yogurt likely too high for longevity (was 5); sweetened yogurt overrated for performance (was 4)</t>
  </si>
  <si>
    <t>pasta underscored for performance (was 1)</t>
  </si>
  <si>
    <t>shrimp underscored for performance (was 1)</t>
  </si>
  <si>
    <t>tomato underscored for longevity (was 2)</t>
  </si>
  <si>
    <t>green vegetable underscored for longevity (was 4)</t>
  </si>
  <si>
    <t>green beans overrated for metabolic (was 4)</t>
  </si>
  <si>
    <t>eggs standardized L→4 (was 3)</t>
  </si>
  <si>
    <t>fish standardized P→3 (was 4)</t>
  </si>
  <si>
    <t>cheese L capped at 3 (was 4)</t>
  </si>
  <si>
    <t>cheese overrated for performance (was 4); ricotta overrated for performance; cheese L capped at 3 (was 4)</t>
  </si>
  <si>
    <t>shrimp standardized L→4 (was 5); fish standardized P→3 (was 4)</t>
  </si>
  <si>
    <t>sweetened yogurt standardized P→2 (was 1)</t>
  </si>
  <si>
    <t>sweetened yogurt likely too high for longevity (was 5); high-sugar low-protein yogurt overrated for longevity; high-sugar yogurt overrated for metabolic (was 3); sweetened yogurt standardized P→2 (was 3)</t>
  </si>
  <si>
    <t>high-sugar low-protein yogurt overrated for longevity; sweetened yogurt standardized P→2 (was 1)</t>
  </si>
  <si>
    <t>sweetened yogurt standardized M→3 (was 2); sweetened yogurt standardized P→2 (was 1)</t>
  </si>
  <si>
    <t>plain yogurt (misspelled) standardized L→4 (was 2); plain yogurt standardized M→4 (was 3); plain yogurt standardized P→2 (was 3)</t>
  </si>
  <si>
    <t>tg_longevity_score</t>
  </si>
  <si>
    <t>tg_metabolic_score</t>
  </si>
  <si>
    <t>tg_performance_score</t>
  </si>
  <si>
    <t>Oats</t>
  </si>
  <si>
    <t>Blueberries</t>
  </si>
  <si>
    <t>Carrots</t>
  </si>
  <si>
    <t>Broccoli</t>
  </si>
  <si>
    <t>Pinto Beans</t>
  </si>
  <si>
    <t>Egg</t>
  </si>
  <si>
    <t>Spinach</t>
  </si>
  <si>
    <t>Green Beans</t>
  </si>
  <si>
    <t>Halibut</t>
  </si>
  <si>
    <t>Hazelnuts</t>
  </si>
  <si>
    <t>Huckleberries</t>
  </si>
  <si>
    <t>Steelhead Trout</t>
  </si>
  <si>
    <t>Tofu</t>
  </si>
  <si>
    <t>Cauliflower</t>
  </si>
  <si>
    <t>Cottage Cheese</t>
  </si>
  <si>
    <t>Cannellini Beans</t>
  </si>
  <si>
    <t>Almond Butter</t>
  </si>
  <si>
    <t>Refried Beans</t>
  </si>
  <si>
    <t>Mushrooms</t>
  </si>
  <si>
    <t>Pistachios</t>
  </si>
  <si>
    <t>Smoked Salmon</t>
  </si>
  <si>
    <t>Food</t>
  </si>
  <si>
    <t>Pasta</t>
  </si>
  <si>
    <t>Beans</t>
  </si>
  <si>
    <t>Nuts</t>
  </si>
  <si>
    <t>Blackberries</t>
  </si>
  <si>
    <t>Cranberries</t>
  </si>
  <si>
    <t>Cranberry</t>
  </si>
  <si>
    <t>Pinon Nuts</t>
  </si>
  <si>
    <t>Raspberries</t>
  </si>
  <si>
    <t>Seeds</t>
  </si>
  <si>
    <t>Cuts</t>
  </si>
  <si>
    <t>Sprouts</t>
  </si>
  <si>
    <t>Salmon</t>
  </si>
  <si>
    <t>Berry Medley</t>
  </si>
  <si>
    <t>Blackeye Peas</t>
  </si>
  <si>
    <t>Chia Seed</t>
  </si>
  <si>
    <t>Golden Flaxseed</t>
  </si>
  <si>
    <t>Collard Greens</t>
  </si>
  <si>
    <t>Hemp Hearts</t>
  </si>
  <si>
    <t>Chick Peas</t>
  </si>
  <si>
    <t>Asparagus</t>
  </si>
  <si>
    <t>Pumpkin Seed</t>
  </si>
  <si>
    <t>Kidney Beans</t>
  </si>
  <si>
    <t>Lima Beans</t>
  </si>
  <si>
    <t>Pump Seed Butter</t>
  </si>
  <si>
    <t>Alaska Salmon</t>
  </si>
  <si>
    <t>Hemp Seeds</t>
  </si>
  <si>
    <t>Vegetable Mix</t>
  </si>
  <si>
    <t>Capellini Pasta</t>
  </si>
  <si>
    <t>TG Protocols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</si>
</sst>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548235"/>
      <name val="Aptos Narrow"/>
      <family val="2"/>
      <scheme val="minor"/>
    </font>
    <font>
      <sz val="11"/>
      <color rgb="FFBF8F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31254F-A875-4516-97DF-5E85E0271149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c9c47522-3c14-4e59-ac8c-02666252992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49A8-0233-4F03-8947-79EC04DAE01E}">
  <dimension ref="A1:AF242"/>
  <sheetViews>
    <sheetView workbookViewId="0">
      <pane ySplit="1" topLeftCell="A209" activePane="bottomLeft" state="frozen"/>
      <selection pane="bottomLeft" sqref="A1:XFD1048576"/>
    </sheetView>
  </sheetViews>
  <sheetFormatPr defaultRowHeight="15" x14ac:dyDescent="0.25"/>
  <cols>
    <col min="1" max="1" width="10.85546875" bestFit="1" customWidth="1"/>
    <col min="2" max="2" width="97.85546875" customWidth="1"/>
    <col min="3" max="3" width="35.140625" bestFit="1" customWidth="1"/>
    <col min="4" max="4" width="14" bestFit="1" customWidth="1"/>
    <col min="5" max="5" width="10" bestFit="1" customWidth="1"/>
    <col min="6" max="6" width="6.28515625" bestFit="1" customWidth="1"/>
    <col min="7" max="7" width="5" bestFit="1" customWidth="1"/>
    <col min="8" max="8" width="7.5703125" bestFit="1" customWidth="1"/>
    <col min="9" max="9" width="5.5703125" bestFit="1" customWidth="1"/>
    <col min="10" max="10" width="12.7109375" bestFit="1" customWidth="1"/>
    <col min="11" max="11" width="11.140625" bestFit="1" customWidth="1"/>
    <col min="12" max="12" width="15.140625" bestFit="1" customWidth="1"/>
    <col min="13" max="13" width="13.140625" bestFit="1" customWidth="1"/>
    <col min="14" max="14" width="7.85546875" bestFit="1" customWidth="1"/>
    <col min="15" max="15" width="10.42578125" bestFit="1" customWidth="1"/>
    <col min="16" max="16" width="11.28515625" bestFit="1" customWidth="1"/>
    <col min="17" max="18" width="18.5703125" bestFit="1" customWidth="1"/>
    <col min="19" max="19" width="15" bestFit="1" customWidth="1"/>
    <col min="20" max="20" width="14.140625" bestFit="1" customWidth="1"/>
    <col min="22" max="22" width="18.42578125" bestFit="1" customWidth="1"/>
    <col min="23" max="23" width="18.5703125" bestFit="1" customWidth="1"/>
    <col min="24" max="24" width="21.42578125" bestFit="1" customWidth="1"/>
    <col min="25" max="25" width="19.7109375" bestFit="1" customWidth="1"/>
    <col min="26" max="26" width="96.5703125" customWidth="1"/>
    <col min="27" max="27" width="29.28515625" bestFit="1" customWidth="1"/>
    <col min="28" max="28" width="40.5703125" bestFit="1" customWidth="1"/>
    <col min="29" max="29" width="32.28515625" bestFit="1" customWidth="1"/>
    <col min="30" max="32" width="24.710937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540</v>
      </c>
      <c r="V1" s="1" t="s">
        <v>543</v>
      </c>
      <c r="W1" s="1" t="s">
        <v>17</v>
      </c>
      <c r="X1" s="1" t="s">
        <v>544</v>
      </c>
      <c r="Y1" s="1" t="s">
        <v>545</v>
      </c>
      <c r="Z1" s="1" t="s">
        <v>546</v>
      </c>
      <c r="AA1" s="1" t="s">
        <v>547</v>
      </c>
      <c r="AB1" s="1" t="s">
        <v>548</v>
      </c>
      <c r="AC1" s="1" t="s">
        <v>549</v>
      </c>
      <c r="AD1" s="1" t="s">
        <v>619</v>
      </c>
      <c r="AE1" s="1" t="s">
        <v>620</v>
      </c>
      <c r="AF1" s="1" t="s">
        <v>621</v>
      </c>
    </row>
    <row r="2" spans="1:32" x14ac:dyDescent="0.25">
      <c r="A2" t="s">
        <v>20</v>
      </c>
      <c r="B2" t="s">
        <v>21</v>
      </c>
      <c r="C2" t="s">
        <v>22</v>
      </c>
      <c r="D2" t="s">
        <v>23</v>
      </c>
      <c r="E2">
        <v>778.57929999999999</v>
      </c>
      <c r="F2">
        <v>66.3</v>
      </c>
      <c r="G2">
        <v>6.9</v>
      </c>
      <c r="H2">
        <v>16.899999999999999</v>
      </c>
      <c r="I2">
        <v>10.6</v>
      </c>
      <c r="J2">
        <v>8.5154999999999995E-2</v>
      </c>
      <c r="K2">
        <v>8.8620000000000001E-3</v>
      </c>
      <c r="L2">
        <v>2.1706E-2</v>
      </c>
      <c r="M2">
        <v>1.3615E-2</v>
      </c>
      <c r="N2">
        <v>2</v>
      </c>
      <c r="O2">
        <v>429</v>
      </c>
      <c r="P2">
        <v>177</v>
      </c>
      <c r="Q2">
        <v>0.78090999999999999</v>
      </c>
      <c r="R2">
        <v>0.103445</v>
      </c>
      <c r="S2" t="s">
        <v>24</v>
      </c>
      <c r="T2">
        <v>169705</v>
      </c>
      <c r="U2" t="s">
        <v>541</v>
      </c>
      <c r="V2">
        <v>5</v>
      </c>
      <c r="W2">
        <v>3</v>
      </c>
      <c r="X2">
        <v>5</v>
      </c>
      <c r="Y2" s="2" t="s">
        <v>550</v>
      </c>
      <c r="Z2" t="s">
        <v>551</v>
      </c>
      <c r="AA2">
        <v>5</v>
      </c>
      <c r="AB2">
        <v>3</v>
      </c>
      <c r="AC2">
        <v>5</v>
      </c>
      <c r="AD2">
        <f>AA2</f>
        <v>5</v>
      </c>
      <c r="AE2">
        <f>AB2</f>
        <v>3</v>
      </c>
      <c r="AF2">
        <f>AC2</f>
        <v>5</v>
      </c>
    </row>
    <row r="3" spans="1:32" x14ac:dyDescent="0.25">
      <c r="A3" t="s">
        <v>25</v>
      </c>
      <c r="B3" t="s">
        <v>26</v>
      </c>
      <c r="C3" t="s">
        <v>27</v>
      </c>
      <c r="D3" t="s">
        <v>28</v>
      </c>
      <c r="E3">
        <v>804.52959999999996</v>
      </c>
      <c r="F3">
        <v>3.37</v>
      </c>
      <c r="G3">
        <v>33.299999999999997</v>
      </c>
      <c r="H3">
        <v>22.9</v>
      </c>
      <c r="I3">
        <v>0</v>
      </c>
      <c r="J3">
        <v>4.189E-3</v>
      </c>
      <c r="K3">
        <v>4.1390999999999997E-2</v>
      </c>
      <c r="L3">
        <v>2.8464E-2</v>
      </c>
      <c r="M3">
        <v>0</v>
      </c>
      <c r="N3">
        <v>653</v>
      </c>
      <c r="O3">
        <v>76</v>
      </c>
      <c r="P3">
        <v>27</v>
      </c>
      <c r="Q3">
        <v>0.93967999999999996</v>
      </c>
      <c r="R3">
        <v>0.16000500000000001</v>
      </c>
      <c r="S3" t="s">
        <v>29</v>
      </c>
      <c r="T3">
        <v>173414</v>
      </c>
      <c r="U3" t="s">
        <v>541</v>
      </c>
      <c r="V3">
        <v>2</v>
      </c>
      <c r="W3">
        <v>2</v>
      </c>
      <c r="X3">
        <v>3</v>
      </c>
      <c r="Y3" s="2" t="s">
        <v>550</v>
      </c>
      <c r="Z3" t="s">
        <v>551</v>
      </c>
      <c r="AA3">
        <v>2</v>
      </c>
      <c r="AB3">
        <v>2</v>
      </c>
      <c r="AC3">
        <v>3</v>
      </c>
      <c r="AD3">
        <f t="shared" ref="AD3:AD66" si="0">AA3</f>
        <v>2</v>
      </c>
      <c r="AE3">
        <f t="shared" ref="AE3:AE66" si="1">AB3</f>
        <v>2</v>
      </c>
      <c r="AF3">
        <f t="shared" ref="AF3:AF66" si="2">AC3</f>
        <v>3</v>
      </c>
    </row>
    <row r="4" spans="1:32" x14ac:dyDescent="0.25">
      <c r="A4" t="s">
        <v>30</v>
      </c>
      <c r="B4" t="s">
        <v>31</v>
      </c>
      <c r="C4" t="s">
        <v>32</v>
      </c>
      <c r="D4" t="s">
        <v>33</v>
      </c>
      <c r="E4">
        <v>104.1033</v>
      </c>
      <c r="F4">
        <v>13.8</v>
      </c>
      <c r="G4">
        <v>0.17</v>
      </c>
      <c r="H4">
        <v>0.26</v>
      </c>
      <c r="I4">
        <v>2.4</v>
      </c>
      <c r="J4">
        <v>0.13256100000000001</v>
      </c>
      <c r="K4">
        <v>1.6329999999999999E-3</v>
      </c>
      <c r="L4">
        <v>2.4979999999999998E-3</v>
      </c>
      <c r="M4">
        <v>2.3054000000000002E-2</v>
      </c>
      <c r="N4">
        <v>1</v>
      </c>
      <c r="O4">
        <v>107</v>
      </c>
      <c r="P4">
        <v>5</v>
      </c>
      <c r="Q4">
        <v>1.0854600000000001</v>
      </c>
      <c r="R4">
        <v>0.12779099999999999</v>
      </c>
      <c r="T4">
        <v>171688</v>
      </c>
      <c r="U4" t="s">
        <v>542</v>
      </c>
      <c r="V4">
        <v>3</v>
      </c>
      <c r="W4">
        <v>2</v>
      </c>
      <c r="X4">
        <v>1</v>
      </c>
      <c r="Y4" s="2" t="s">
        <v>550</v>
      </c>
      <c r="Z4" t="s">
        <v>551</v>
      </c>
      <c r="AA4">
        <v>3</v>
      </c>
      <c r="AB4">
        <v>2</v>
      </c>
      <c r="AC4">
        <v>1</v>
      </c>
      <c r="AD4">
        <f t="shared" si="0"/>
        <v>3</v>
      </c>
      <c r="AE4">
        <f t="shared" si="1"/>
        <v>2</v>
      </c>
      <c r="AF4">
        <f t="shared" si="2"/>
        <v>1</v>
      </c>
    </row>
    <row r="5" spans="1:32" x14ac:dyDescent="0.25">
      <c r="A5" t="s">
        <v>34</v>
      </c>
      <c r="B5" t="s">
        <v>35</v>
      </c>
      <c r="C5" t="s">
        <v>32</v>
      </c>
      <c r="D5" t="s">
        <v>33</v>
      </c>
      <c r="E5">
        <v>113.88339999999999</v>
      </c>
      <c r="F5">
        <v>13.8</v>
      </c>
      <c r="G5">
        <v>0.16</v>
      </c>
      <c r="H5">
        <v>0</v>
      </c>
      <c r="I5">
        <v>4.4000000000000004</v>
      </c>
      <c r="J5">
        <v>0.12117700000000001</v>
      </c>
      <c r="K5">
        <v>1.405E-3</v>
      </c>
      <c r="L5">
        <v>0</v>
      </c>
      <c r="M5">
        <v>3.8635999999999997E-2</v>
      </c>
      <c r="N5">
        <v>3</v>
      </c>
      <c r="O5">
        <v>68</v>
      </c>
      <c r="P5">
        <v>7</v>
      </c>
      <c r="Q5">
        <v>0.68491100000000005</v>
      </c>
      <c r="R5">
        <v>7.2529999999999997E-2</v>
      </c>
      <c r="T5">
        <v>173949</v>
      </c>
      <c r="U5" t="s">
        <v>542</v>
      </c>
      <c r="V5">
        <v>5</v>
      </c>
      <c r="W5">
        <v>3</v>
      </c>
      <c r="X5">
        <v>1</v>
      </c>
      <c r="Y5" s="2" t="s">
        <v>550</v>
      </c>
      <c r="Z5" t="s">
        <v>551</v>
      </c>
      <c r="AA5">
        <v>5</v>
      </c>
      <c r="AB5">
        <v>3</v>
      </c>
      <c r="AC5">
        <v>1</v>
      </c>
      <c r="AD5">
        <f t="shared" si="0"/>
        <v>5</v>
      </c>
      <c r="AE5">
        <f t="shared" si="1"/>
        <v>3</v>
      </c>
      <c r="AF5">
        <f t="shared" si="2"/>
        <v>1</v>
      </c>
    </row>
    <row r="6" spans="1:32" x14ac:dyDescent="0.25">
      <c r="A6" t="s">
        <v>36</v>
      </c>
      <c r="B6" t="s">
        <v>37</v>
      </c>
      <c r="C6" t="s">
        <v>38</v>
      </c>
      <c r="D6" t="s">
        <v>33</v>
      </c>
      <c r="E6">
        <v>72.328900000000004</v>
      </c>
      <c r="F6">
        <v>7.9</v>
      </c>
      <c r="G6">
        <v>0.46</v>
      </c>
      <c r="H6">
        <v>0.78</v>
      </c>
      <c r="I6">
        <v>3.3</v>
      </c>
      <c r="J6">
        <v>0.109223</v>
      </c>
      <c r="K6">
        <v>6.3600000000000002E-3</v>
      </c>
      <c r="L6">
        <v>1.0784E-2</v>
      </c>
      <c r="M6">
        <v>4.5624999999999999E-2</v>
      </c>
      <c r="N6">
        <v>68</v>
      </c>
      <c r="O6">
        <v>235</v>
      </c>
      <c r="P6">
        <v>12</v>
      </c>
      <c r="Q6">
        <v>4.3551060000000001</v>
      </c>
      <c r="R6">
        <v>0.63270700000000002</v>
      </c>
      <c r="T6">
        <v>169983</v>
      </c>
      <c r="U6" t="s">
        <v>542</v>
      </c>
      <c r="V6">
        <v>4</v>
      </c>
      <c r="W6">
        <v>4</v>
      </c>
      <c r="X6">
        <v>1</v>
      </c>
      <c r="Y6" s="2" t="s">
        <v>550</v>
      </c>
      <c r="Z6" t="s">
        <v>551</v>
      </c>
      <c r="AA6">
        <v>4</v>
      </c>
      <c r="AB6">
        <v>4</v>
      </c>
      <c r="AC6">
        <v>1</v>
      </c>
      <c r="AD6">
        <f t="shared" si="0"/>
        <v>4</v>
      </c>
      <c r="AE6">
        <f t="shared" si="1"/>
        <v>4</v>
      </c>
      <c r="AF6">
        <f t="shared" si="2"/>
        <v>1</v>
      </c>
    </row>
    <row r="7" spans="1:32" x14ac:dyDescent="0.25">
      <c r="A7" t="s">
        <v>39</v>
      </c>
      <c r="B7" t="s">
        <v>40</v>
      </c>
      <c r="C7" t="s">
        <v>32</v>
      </c>
      <c r="D7" t="s">
        <v>33</v>
      </c>
      <c r="E7">
        <v>98.474199999999996</v>
      </c>
      <c r="F7">
        <v>12.5</v>
      </c>
      <c r="G7">
        <v>0.15</v>
      </c>
      <c r="H7">
        <v>0.91</v>
      </c>
      <c r="I7">
        <v>2.2000000000000002</v>
      </c>
      <c r="J7">
        <v>0.12693699999999999</v>
      </c>
      <c r="K7">
        <v>1.523E-3</v>
      </c>
      <c r="L7">
        <v>9.2409999999999992E-3</v>
      </c>
      <c r="M7">
        <v>2.2341E-2</v>
      </c>
      <c r="N7">
        <v>1</v>
      </c>
      <c r="O7">
        <v>166</v>
      </c>
      <c r="P7">
        <v>11</v>
      </c>
      <c r="Q7">
        <v>1.80758</v>
      </c>
      <c r="R7">
        <v>0.24002200000000001</v>
      </c>
      <c r="T7">
        <v>169917</v>
      </c>
      <c r="U7" t="s">
        <v>542</v>
      </c>
      <c r="V7">
        <v>3</v>
      </c>
      <c r="W7">
        <v>2</v>
      </c>
      <c r="X7">
        <v>1</v>
      </c>
      <c r="Y7" s="2" t="s">
        <v>550</v>
      </c>
      <c r="Z7" t="s">
        <v>551</v>
      </c>
      <c r="AA7">
        <v>3</v>
      </c>
      <c r="AB7">
        <v>2</v>
      </c>
      <c r="AC7">
        <v>1</v>
      </c>
      <c r="AD7">
        <f t="shared" si="0"/>
        <v>3</v>
      </c>
      <c r="AE7">
        <f t="shared" si="1"/>
        <v>2</v>
      </c>
      <c r="AF7">
        <f t="shared" si="2"/>
        <v>1</v>
      </c>
    </row>
    <row r="8" spans="1:32" x14ac:dyDescent="0.25">
      <c r="A8" t="s">
        <v>41</v>
      </c>
      <c r="B8" t="s">
        <v>42</v>
      </c>
      <c r="C8" t="s">
        <v>43</v>
      </c>
      <c r="D8" t="s">
        <v>33</v>
      </c>
      <c r="E8">
        <v>1175.9540999999999</v>
      </c>
      <c r="F8">
        <v>24</v>
      </c>
      <c r="G8">
        <v>49.5</v>
      </c>
      <c r="H8">
        <v>21.9</v>
      </c>
      <c r="I8">
        <v>5.7</v>
      </c>
      <c r="J8">
        <v>2.0409E-2</v>
      </c>
      <c r="K8">
        <v>4.2092999999999998E-2</v>
      </c>
      <c r="L8">
        <v>1.8623000000000001E-2</v>
      </c>
      <c r="M8">
        <v>4.8469999999999997E-3</v>
      </c>
      <c r="N8">
        <v>476</v>
      </c>
      <c r="O8">
        <v>592</v>
      </c>
      <c r="P8">
        <v>179</v>
      </c>
      <c r="Q8">
        <v>1.060416</v>
      </c>
      <c r="R8">
        <v>0.170708</v>
      </c>
      <c r="T8">
        <v>174294</v>
      </c>
      <c r="U8" t="s">
        <v>541</v>
      </c>
      <c r="V8">
        <v>5</v>
      </c>
      <c r="W8">
        <v>2</v>
      </c>
      <c r="X8">
        <v>4</v>
      </c>
      <c r="Y8" s="3" t="s">
        <v>552</v>
      </c>
      <c r="Z8" t="s">
        <v>553</v>
      </c>
      <c r="AA8">
        <v>4</v>
      </c>
      <c r="AB8">
        <v>2</v>
      </c>
      <c r="AC8">
        <v>4</v>
      </c>
      <c r="AD8">
        <f t="shared" si="0"/>
        <v>4</v>
      </c>
      <c r="AE8">
        <f t="shared" si="1"/>
        <v>2</v>
      </c>
      <c r="AF8">
        <f t="shared" si="2"/>
        <v>4</v>
      </c>
    </row>
    <row r="9" spans="1:32" x14ac:dyDescent="0.25">
      <c r="A9" t="s">
        <v>44</v>
      </c>
      <c r="B9" t="s">
        <v>45</v>
      </c>
      <c r="C9" t="s">
        <v>32</v>
      </c>
      <c r="D9" t="s">
        <v>33</v>
      </c>
      <c r="E9">
        <v>126.0975</v>
      </c>
      <c r="F9">
        <v>15</v>
      </c>
      <c r="G9">
        <v>0.16</v>
      </c>
      <c r="H9">
        <v>0.39</v>
      </c>
      <c r="I9">
        <v>3.1</v>
      </c>
      <c r="J9">
        <v>0.11895600000000001</v>
      </c>
      <c r="K9">
        <v>1.2689999999999999E-3</v>
      </c>
      <c r="L9">
        <v>3.0929999999999998E-3</v>
      </c>
      <c r="M9">
        <v>2.4584000000000002E-2</v>
      </c>
      <c r="N9">
        <v>1</v>
      </c>
      <c r="O9">
        <v>101</v>
      </c>
      <c r="P9">
        <v>6</v>
      </c>
      <c r="Q9">
        <v>0.85648000000000002</v>
      </c>
      <c r="R9">
        <v>9.7873000000000002E-2</v>
      </c>
      <c r="T9">
        <v>167776</v>
      </c>
      <c r="U9" t="s">
        <v>542</v>
      </c>
      <c r="V9">
        <v>3</v>
      </c>
      <c r="W9">
        <v>2</v>
      </c>
      <c r="X9">
        <v>1</v>
      </c>
      <c r="Y9" s="3" t="s">
        <v>552</v>
      </c>
      <c r="Z9" t="s">
        <v>554</v>
      </c>
      <c r="AA9">
        <v>4</v>
      </c>
      <c r="AB9">
        <v>2</v>
      </c>
      <c r="AC9">
        <v>1</v>
      </c>
      <c r="AD9">
        <f t="shared" si="0"/>
        <v>4</v>
      </c>
      <c r="AE9">
        <f t="shared" si="1"/>
        <v>2</v>
      </c>
      <c r="AF9">
        <f t="shared" si="2"/>
        <v>1</v>
      </c>
    </row>
    <row r="10" spans="1:32" x14ac:dyDescent="0.25">
      <c r="A10" t="s">
        <v>46</v>
      </c>
      <c r="B10" t="s">
        <v>47</v>
      </c>
      <c r="C10" t="s">
        <v>32</v>
      </c>
      <c r="D10" t="s">
        <v>33</v>
      </c>
      <c r="E10">
        <v>133.68260000000001</v>
      </c>
      <c r="F10">
        <v>16.100000000000001</v>
      </c>
      <c r="G10">
        <v>0.09</v>
      </c>
      <c r="H10">
        <v>0.36</v>
      </c>
      <c r="I10">
        <v>3.1</v>
      </c>
      <c r="J10">
        <v>0.120435</v>
      </c>
      <c r="K10">
        <v>6.7299999999999999E-4</v>
      </c>
      <c r="L10">
        <v>2.6930000000000001E-3</v>
      </c>
      <c r="M10">
        <v>2.3189000000000001E-2</v>
      </c>
      <c r="N10">
        <v>1</v>
      </c>
      <c r="O10">
        <v>122</v>
      </c>
      <c r="P10">
        <v>7</v>
      </c>
      <c r="Q10">
        <v>0.97245300000000001</v>
      </c>
      <c r="R10">
        <v>0.114327</v>
      </c>
      <c r="T10">
        <v>167778</v>
      </c>
      <c r="U10" t="s">
        <v>542</v>
      </c>
      <c r="V10">
        <v>3</v>
      </c>
      <c r="W10">
        <v>2</v>
      </c>
      <c r="X10">
        <v>1</v>
      </c>
      <c r="Y10" s="3" t="s">
        <v>552</v>
      </c>
      <c r="Z10" t="s">
        <v>554</v>
      </c>
      <c r="AA10">
        <v>4</v>
      </c>
      <c r="AB10">
        <v>2</v>
      </c>
      <c r="AC10">
        <v>1</v>
      </c>
      <c r="AD10">
        <f t="shared" si="0"/>
        <v>4</v>
      </c>
      <c r="AE10">
        <f t="shared" si="1"/>
        <v>2</v>
      </c>
      <c r="AF10">
        <f t="shared" si="2"/>
        <v>1</v>
      </c>
    </row>
    <row r="11" spans="1:32" x14ac:dyDescent="0.25">
      <c r="A11" t="s">
        <v>48</v>
      </c>
      <c r="B11" t="s">
        <v>49</v>
      </c>
      <c r="C11" t="s">
        <v>32</v>
      </c>
      <c r="D11" t="s">
        <v>23</v>
      </c>
      <c r="E11">
        <v>597.75720000000001</v>
      </c>
      <c r="F11">
        <v>79.3</v>
      </c>
      <c r="G11">
        <v>0.25</v>
      </c>
      <c r="H11">
        <v>3.3</v>
      </c>
      <c r="I11">
        <v>4.5</v>
      </c>
      <c r="J11">
        <v>0.132663</v>
      </c>
      <c r="K11">
        <v>4.1800000000000002E-4</v>
      </c>
      <c r="L11">
        <v>5.5209999999999999E-3</v>
      </c>
      <c r="M11">
        <v>7.528E-3</v>
      </c>
      <c r="N11">
        <v>26</v>
      </c>
      <c r="O11">
        <v>744</v>
      </c>
      <c r="P11">
        <v>36</v>
      </c>
      <c r="Q11">
        <v>1.348374</v>
      </c>
      <c r="R11">
        <v>0.16562299999999999</v>
      </c>
      <c r="S11" t="s">
        <v>24</v>
      </c>
      <c r="T11">
        <v>168165</v>
      </c>
      <c r="U11" t="s">
        <v>542</v>
      </c>
      <c r="V11">
        <v>3</v>
      </c>
      <c r="W11">
        <v>1</v>
      </c>
      <c r="X11">
        <v>4</v>
      </c>
      <c r="Y11" s="2" t="s">
        <v>550</v>
      </c>
      <c r="Z11" t="s">
        <v>551</v>
      </c>
      <c r="AA11">
        <v>3</v>
      </c>
      <c r="AB11">
        <v>1</v>
      </c>
      <c r="AC11">
        <v>4</v>
      </c>
      <c r="AD11">
        <f t="shared" si="0"/>
        <v>3</v>
      </c>
      <c r="AE11">
        <f t="shared" si="1"/>
        <v>1</v>
      </c>
      <c r="AF11">
        <f t="shared" si="2"/>
        <v>4</v>
      </c>
    </row>
    <row r="12" spans="1:32" x14ac:dyDescent="0.25">
      <c r="A12" t="s">
        <v>50</v>
      </c>
      <c r="B12" t="s">
        <v>51</v>
      </c>
      <c r="C12" t="s">
        <v>32</v>
      </c>
      <c r="D12" t="s">
        <v>33</v>
      </c>
      <c r="E12">
        <v>126.3365</v>
      </c>
      <c r="F12">
        <v>15.2</v>
      </c>
      <c r="G12">
        <v>0.18</v>
      </c>
      <c r="H12">
        <v>0.2</v>
      </c>
      <c r="I12">
        <v>2.1</v>
      </c>
      <c r="J12">
        <v>0.120314</v>
      </c>
      <c r="K12">
        <v>1.4250000000000001E-3</v>
      </c>
      <c r="L12">
        <v>1.583E-3</v>
      </c>
      <c r="M12">
        <v>1.6622000000000001E-2</v>
      </c>
      <c r="N12">
        <v>1</v>
      </c>
      <c r="O12">
        <v>109</v>
      </c>
      <c r="P12">
        <v>5</v>
      </c>
      <c r="Q12">
        <v>0.91026700000000005</v>
      </c>
      <c r="R12">
        <v>0.103849</v>
      </c>
      <c r="T12">
        <v>167793</v>
      </c>
      <c r="U12" t="s">
        <v>542</v>
      </c>
      <c r="V12">
        <v>3</v>
      </c>
      <c r="W12">
        <v>1</v>
      </c>
      <c r="X12">
        <v>1</v>
      </c>
      <c r="Y12" s="2" t="s">
        <v>550</v>
      </c>
      <c r="Z12" t="s">
        <v>551</v>
      </c>
      <c r="AA12">
        <v>3</v>
      </c>
      <c r="AB12">
        <v>1</v>
      </c>
      <c r="AC12">
        <v>1</v>
      </c>
      <c r="AD12">
        <f t="shared" si="0"/>
        <v>3</v>
      </c>
      <c r="AE12">
        <f t="shared" si="1"/>
        <v>1</v>
      </c>
      <c r="AF12">
        <f t="shared" si="2"/>
        <v>1</v>
      </c>
    </row>
    <row r="13" spans="1:32" x14ac:dyDescent="0.25">
      <c r="A13" t="s">
        <v>52</v>
      </c>
      <c r="B13" t="s">
        <v>53</v>
      </c>
      <c r="C13" t="s">
        <v>32</v>
      </c>
      <c r="D13" t="s">
        <v>33</v>
      </c>
      <c r="E13">
        <v>113.6444</v>
      </c>
      <c r="F13">
        <v>13.7</v>
      </c>
      <c r="G13">
        <v>0.12</v>
      </c>
      <c r="H13">
        <v>0.25</v>
      </c>
      <c r="I13">
        <v>2.2999999999999998</v>
      </c>
      <c r="J13">
        <v>0.12055100000000001</v>
      </c>
      <c r="K13">
        <v>1.0560000000000001E-3</v>
      </c>
      <c r="L13">
        <v>2.2000000000000001E-3</v>
      </c>
      <c r="M13">
        <v>2.0239E-2</v>
      </c>
      <c r="N13">
        <v>1</v>
      </c>
      <c r="O13">
        <v>108</v>
      </c>
      <c r="P13">
        <v>5</v>
      </c>
      <c r="Q13">
        <v>1.0031289999999999</v>
      </c>
      <c r="R13">
        <v>0.11837399999999999</v>
      </c>
      <c r="T13">
        <v>168204</v>
      </c>
      <c r="U13" t="s">
        <v>542</v>
      </c>
      <c r="V13">
        <v>3</v>
      </c>
      <c r="W13">
        <v>2</v>
      </c>
      <c r="X13">
        <v>1</v>
      </c>
      <c r="Y13" s="2" t="s">
        <v>550</v>
      </c>
      <c r="Z13" t="s">
        <v>551</v>
      </c>
      <c r="AA13">
        <v>3</v>
      </c>
      <c r="AB13">
        <v>2</v>
      </c>
      <c r="AC13">
        <v>1</v>
      </c>
      <c r="AD13">
        <f t="shared" si="0"/>
        <v>3</v>
      </c>
      <c r="AE13">
        <f t="shared" si="1"/>
        <v>2</v>
      </c>
      <c r="AF13">
        <f t="shared" si="2"/>
        <v>1</v>
      </c>
    </row>
    <row r="14" spans="1:32" x14ac:dyDescent="0.25">
      <c r="A14" t="s">
        <v>54</v>
      </c>
      <c r="B14" t="s">
        <v>55</v>
      </c>
      <c r="C14" t="s">
        <v>38</v>
      </c>
      <c r="D14" t="s">
        <v>33</v>
      </c>
      <c r="E14">
        <v>57.919699999999999</v>
      </c>
      <c r="F14">
        <v>5.35</v>
      </c>
      <c r="G14">
        <v>0.34</v>
      </c>
      <c r="H14">
        <v>3.06</v>
      </c>
      <c r="I14">
        <v>3</v>
      </c>
      <c r="J14">
        <v>9.2369000000000007E-2</v>
      </c>
      <c r="K14">
        <v>5.8700000000000002E-3</v>
      </c>
      <c r="L14">
        <v>5.2831999999999997E-2</v>
      </c>
      <c r="M14">
        <v>5.1796000000000002E-2</v>
      </c>
      <c r="N14">
        <v>17</v>
      </c>
      <c r="O14">
        <v>250</v>
      </c>
      <c r="P14">
        <v>16</v>
      </c>
      <c r="Q14">
        <v>4.8860749999999999</v>
      </c>
      <c r="R14">
        <v>0.73292900000000005</v>
      </c>
      <c r="T14">
        <v>169970</v>
      </c>
      <c r="U14" t="s">
        <v>542</v>
      </c>
      <c r="V14">
        <v>5</v>
      </c>
      <c r="W14">
        <v>5</v>
      </c>
      <c r="X14">
        <v>1</v>
      </c>
      <c r="Y14" s="2" t="s">
        <v>550</v>
      </c>
      <c r="Z14" t="s">
        <v>551</v>
      </c>
      <c r="AA14">
        <v>5</v>
      </c>
      <c r="AB14">
        <v>5</v>
      </c>
      <c r="AC14">
        <v>1</v>
      </c>
      <c r="AD14">
        <f t="shared" si="0"/>
        <v>5</v>
      </c>
      <c r="AE14">
        <f t="shared" si="1"/>
        <v>5</v>
      </c>
      <c r="AF14">
        <f t="shared" si="2"/>
        <v>1</v>
      </c>
    </row>
    <row r="15" spans="1:32" x14ac:dyDescent="0.25">
      <c r="A15" t="s">
        <v>56</v>
      </c>
      <c r="B15" t="s">
        <v>57</v>
      </c>
      <c r="C15" t="s">
        <v>27</v>
      </c>
      <c r="D15" t="s">
        <v>28</v>
      </c>
      <c r="E15">
        <v>631.48760000000004</v>
      </c>
      <c r="F15">
        <v>2.67</v>
      </c>
      <c r="G15">
        <v>20.399999999999999</v>
      </c>
      <c r="H15">
        <v>27.4</v>
      </c>
      <c r="I15">
        <v>0</v>
      </c>
      <c r="J15">
        <v>4.228E-3</v>
      </c>
      <c r="K15">
        <v>3.2305E-2</v>
      </c>
      <c r="L15">
        <v>4.3389999999999998E-2</v>
      </c>
      <c r="M15">
        <v>0</v>
      </c>
      <c r="N15">
        <v>628</v>
      </c>
      <c r="O15">
        <v>63</v>
      </c>
      <c r="P15">
        <v>27</v>
      </c>
      <c r="Q15">
        <v>1.136998</v>
      </c>
      <c r="R15">
        <v>0.19254399999999999</v>
      </c>
      <c r="S15" t="s">
        <v>29</v>
      </c>
      <c r="T15">
        <v>171292</v>
      </c>
      <c r="U15" t="s">
        <v>541</v>
      </c>
      <c r="V15">
        <v>2</v>
      </c>
      <c r="W15">
        <v>3</v>
      </c>
      <c r="X15">
        <v>3</v>
      </c>
      <c r="Y15" s="2" t="s">
        <v>550</v>
      </c>
      <c r="Z15" t="s">
        <v>551</v>
      </c>
      <c r="AA15">
        <v>2</v>
      </c>
      <c r="AB15">
        <v>3</v>
      </c>
      <c r="AC15">
        <v>3</v>
      </c>
      <c r="AD15">
        <f t="shared" si="0"/>
        <v>2</v>
      </c>
      <c r="AE15">
        <f t="shared" si="1"/>
        <v>3</v>
      </c>
      <c r="AF15">
        <f t="shared" si="2"/>
        <v>3</v>
      </c>
    </row>
    <row r="16" spans="1:32" x14ac:dyDescent="0.25">
      <c r="A16" t="s">
        <v>58</v>
      </c>
      <c r="B16" t="s">
        <v>59</v>
      </c>
      <c r="C16" t="s">
        <v>22</v>
      </c>
      <c r="D16" t="s">
        <v>23</v>
      </c>
      <c r="E16">
        <v>298.37860000000001</v>
      </c>
      <c r="F16">
        <v>30.1</v>
      </c>
      <c r="G16">
        <v>1.71</v>
      </c>
      <c r="H16">
        <v>5.99</v>
      </c>
      <c r="I16">
        <v>3.9</v>
      </c>
      <c r="J16">
        <v>0.100879</v>
      </c>
      <c r="K16">
        <v>5.731E-3</v>
      </c>
      <c r="L16">
        <v>2.0074999999999999E-2</v>
      </c>
      <c r="M16">
        <v>1.3070999999999999E-2</v>
      </c>
      <c r="N16">
        <v>4</v>
      </c>
      <c r="O16">
        <v>96</v>
      </c>
      <c r="P16">
        <v>54</v>
      </c>
      <c r="Q16">
        <v>0.516123</v>
      </c>
      <c r="R16">
        <v>5.7574E-2</v>
      </c>
      <c r="S16" t="s">
        <v>24</v>
      </c>
      <c r="T16">
        <v>168910</v>
      </c>
      <c r="U16" t="s">
        <v>541</v>
      </c>
      <c r="V16">
        <v>4</v>
      </c>
      <c r="W16">
        <v>3</v>
      </c>
      <c r="X16">
        <v>4</v>
      </c>
      <c r="Y16" s="2" t="s">
        <v>550</v>
      </c>
      <c r="Z16" t="s">
        <v>551</v>
      </c>
      <c r="AA16">
        <v>4</v>
      </c>
      <c r="AB16">
        <v>3</v>
      </c>
      <c r="AC16">
        <v>4</v>
      </c>
      <c r="AD16">
        <f t="shared" si="0"/>
        <v>4</v>
      </c>
      <c r="AE16">
        <f t="shared" si="1"/>
        <v>3</v>
      </c>
      <c r="AF16">
        <f t="shared" si="2"/>
        <v>4</v>
      </c>
    </row>
    <row r="17" spans="1:32" x14ac:dyDescent="0.25">
      <c r="A17" t="s">
        <v>60</v>
      </c>
      <c r="B17" t="s">
        <v>61</v>
      </c>
      <c r="C17" t="s">
        <v>22</v>
      </c>
      <c r="D17" t="s">
        <v>23</v>
      </c>
      <c r="E17">
        <v>703.33839999999998</v>
      </c>
      <c r="F17">
        <v>73.400000000000006</v>
      </c>
      <c r="G17">
        <v>2.93</v>
      </c>
      <c r="H17">
        <v>13.9</v>
      </c>
      <c r="I17">
        <v>9.1999999999999993</v>
      </c>
      <c r="J17">
        <v>0.10435899999999999</v>
      </c>
      <c r="K17">
        <v>4.1660000000000004E-3</v>
      </c>
      <c r="L17">
        <v>1.9762999999999999E-2</v>
      </c>
      <c r="M17">
        <v>1.308E-2</v>
      </c>
      <c r="N17">
        <v>6</v>
      </c>
      <c r="O17">
        <v>434</v>
      </c>
      <c r="P17">
        <v>128</v>
      </c>
      <c r="Q17">
        <v>0.80757699999999999</v>
      </c>
      <c r="R17">
        <v>9.9749000000000004E-2</v>
      </c>
      <c r="S17" t="s">
        <v>24</v>
      </c>
      <c r="T17">
        <v>169738</v>
      </c>
      <c r="U17" t="s">
        <v>541</v>
      </c>
      <c r="V17">
        <v>4</v>
      </c>
      <c r="W17">
        <v>3</v>
      </c>
      <c r="X17">
        <v>5</v>
      </c>
      <c r="Y17" s="2" t="s">
        <v>550</v>
      </c>
      <c r="Z17" t="s">
        <v>551</v>
      </c>
      <c r="AA17">
        <v>4</v>
      </c>
      <c r="AB17">
        <v>3</v>
      </c>
      <c r="AC17">
        <v>5</v>
      </c>
      <c r="AD17">
        <f t="shared" si="0"/>
        <v>4</v>
      </c>
      <c r="AE17">
        <f t="shared" si="1"/>
        <v>3</v>
      </c>
      <c r="AF17">
        <f t="shared" si="2"/>
        <v>5</v>
      </c>
    </row>
    <row r="18" spans="1:32" x14ac:dyDescent="0.25">
      <c r="A18" t="s">
        <v>62</v>
      </c>
      <c r="B18" t="s">
        <v>63</v>
      </c>
      <c r="C18" t="s">
        <v>32</v>
      </c>
      <c r="D18" t="s">
        <v>33</v>
      </c>
      <c r="E18">
        <v>131.72659999999999</v>
      </c>
      <c r="F18">
        <v>15.8</v>
      </c>
      <c r="G18">
        <v>0.1</v>
      </c>
      <c r="H18">
        <v>0.44</v>
      </c>
      <c r="I18">
        <v>3.1</v>
      </c>
      <c r="J18">
        <v>0.119945</v>
      </c>
      <c r="K18">
        <v>7.5900000000000002E-4</v>
      </c>
      <c r="L18">
        <v>3.3400000000000001E-3</v>
      </c>
      <c r="M18">
        <v>2.3533999999999999E-2</v>
      </c>
      <c r="N18">
        <v>1</v>
      </c>
      <c r="O18">
        <v>127</v>
      </c>
      <c r="P18">
        <v>7</v>
      </c>
      <c r="Q18">
        <v>1.02485</v>
      </c>
      <c r="R18">
        <v>0.12263300000000001</v>
      </c>
      <c r="T18">
        <v>167779</v>
      </c>
      <c r="U18" t="s">
        <v>542</v>
      </c>
      <c r="V18">
        <v>3</v>
      </c>
      <c r="W18">
        <v>2</v>
      </c>
      <c r="X18">
        <v>1</v>
      </c>
      <c r="Y18" s="3" t="s">
        <v>552</v>
      </c>
      <c r="Z18" t="s">
        <v>554</v>
      </c>
      <c r="AA18">
        <v>4</v>
      </c>
      <c r="AB18">
        <v>2</v>
      </c>
      <c r="AC18">
        <v>1</v>
      </c>
      <c r="AD18">
        <f t="shared" si="0"/>
        <v>4</v>
      </c>
      <c r="AE18">
        <f t="shared" si="1"/>
        <v>2</v>
      </c>
      <c r="AF18">
        <f t="shared" si="2"/>
        <v>1</v>
      </c>
    </row>
    <row r="19" spans="1:32" x14ac:dyDescent="0.25">
      <c r="A19" t="s">
        <v>64</v>
      </c>
      <c r="B19" t="s">
        <v>65</v>
      </c>
      <c r="C19" t="s">
        <v>38</v>
      </c>
      <c r="D19" t="s">
        <v>33</v>
      </c>
      <c r="E19">
        <v>153.9598</v>
      </c>
      <c r="F19">
        <v>13.6</v>
      </c>
      <c r="G19">
        <v>0.4</v>
      </c>
      <c r="H19">
        <v>5.22</v>
      </c>
      <c r="I19">
        <v>4.5</v>
      </c>
      <c r="J19">
        <v>8.8334999999999997E-2</v>
      </c>
      <c r="K19">
        <v>2.598E-3</v>
      </c>
      <c r="L19">
        <v>3.3904999999999998E-2</v>
      </c>
      <c r="M19">
        <v>2.9228000000000001E-2</v>
      </c>
      <c r="N19">
        <v>108</v>
      </c>
      <c r="O19">
        <v>153</v>
      </c>
      <c r="P19">
        <v>26</v>
      </c>
      <c r="Q19">
        <v>1.864123</v>
      </c>
      <c r="R19">
        <v>0.27001799999999998</v>
      </c>
      <c r="T19">
        <v>170016</v>
      </c>
      <c r="U19" t="s">
        <v>542</v>
      </c>
      <c r="V19">
        <v>4</v>
      </c>
      <c r="W19">
        <v>3</v>
      </c>
      <c r="X19">
        <v>2</v>
      </c>
      <c r="Y19" s="2" t="s">
        <v>550</v>
      </c>
      <c r="Z19" t="s">
        <v>551</v>
      </c>
      <c r="AA19">
        <v>4</v>
      </c>
      <c r="AB19">
        <v>3</v>
      </c>
      <c r="AC19">
        <v>2</v>
      </c>
      <c r="AD19">
        <f t="shared" si="0"/>
        <v>4</v>
      </c>
      <c r="AE19">
        <f t="shared" si="1"/>
        <v>3</v>
      </c>
      <c r="AF19">
        <f t="shared" si="2"/>
        <v>2</v>
      </c>
    </row>
    <row r="20" spans="1:32" x14ac:dyDescent="0.25">
      <c r="A20" t="s">
        <v>66</v>
      </c>
      <c r="B20" t="s">
        <v>67</v>
      </c>
      <c r="C20" t="s">
        <v>38</v>
      </c>
      <c r="D20" t="s">
        <v>33</v>
      </c>
      <c r="E20">
        <v>191.84129999999999</v>
      </c>
      <c r="F20">
        <v>22.2</v>
      </c>
      <c r="G20">
        <v>0.18</v>
      </c>
      <c r="H20">
        <v>1.71</v>
      </c>
      <c r="I20">
        <v>1.7</v>
      </c>
      <c r="J20">
        <v>0.115721</v>
      </c>
      <c r="K20">
        <v>9.3800000000000003E-4</v>
      </c>
      <c r="L20">
        <v>8.914E-3</v>
      </c>
      <c r="M20">
        <v>8.8610000000000008E-3</v>
      </c>
      <c r="N20">
        <v>6</v>
      </c>
      <c r="O20">
        <v>365</v>
      </c>
      <c r="P20">
        <v>22</v>
      </c>
      <c r="Q20">
        <v>2.0485679999999999</v>
      </c>
      <c r="R20">
        <v>0.277252</v>
      </c>
      <c r="T20">
        <v>169306</v>
      </c>
      <c r="U20" t="s">
        <v>541</v>
      </c>
      <c r="V20">
        <v>4</v>
      </c>
      <c r="W20">
        <v>1</v>
      </c>
      <c r="X20">
        <v>2</v>
      </c>
      <c r="Y20" s="4" t="s">
        <v>555</v>
      </c>
      <c r="Z20" t="s">
        <v>556</v>
      </c>
      <c r="AA20">
        <v>4</v>
      </c>
      <c r="AB20">
        <v>2</v>
      </c>
      <c r="AC20">
        <v>3</v>
      </c>
      <c r="AD20">
        <f t="shared" si="0"/>
        <v>4</v>
      </c>
      <c r="AE20">
        <f t="shared" si="1"/>
        <v>2</v>
      </c>
      <c r="AF20">
        <f t="shared" si="2"/>
        <v>3</v>
      </c>
    </row>
    <row r="21" spans="1:32" x14ac:dyDescent="0.25">
      <c r="A21" t="s">
        <v>68</v>
      </c>
      <c r="B21" t="s">
        <v>69</v>
      </c>
      <c r="C21" t="s">
        <v>38</v>
      </c>
      <c r="D21" t="s">
        <v>33</v>
      </c>
      <c r="E21">
        <v>171.8031</v>
      </c>
      <c r="F21">
        <v>20.100000000000001</v>
      </c>
      <c r="G21">
        <v>0.05</v>
      </c>
      <c r="H21">
        <v>1.57</v>
      </c>
      <c r="I21">
        <v>3</v>
      </c>
      <c r="J21">
        <v>0.116994</v>
      </c>
      <c r="K21">
        <v>2.9100000000000003E-4</v>
      </c>
      <c r="L21">
        <v>9.1380000000000003E-3</v>
      </c>
      <c r="M21">
        <v>1.7461999999999998E-2</v>
      </c>
      <c r="N21">
        <v>55</v>
      </c>
      <c r="O21">
        <v>337</v>
      </c>
      <c r="P21">
        <v>25</v>
      </c>
      <c r="Q21">
        <v>2.427197</v>
      </c>
      <c r="R21">
        <v>0.334872</v>
      </c>
      <c r="T21">
        <v>168482</v>
      </c>
      <c r="U21" t="s">
        <v>541</v>
      </c>
      <c r="V21">
        <v>4</v>
      </c>
      <c r="W21">
        <v>2</v>
      </c>
      <c r="X21">
        <v>2</v>
      </c>
      <c r="Y21" s="3" t="s">
        <v>552</v>
      </c>
      <c r="Z21" t="s">
        <v>557</v>
      </c>
      <c r="AA21">
        <v>4</v>
      </c>
      <c r="AB21">
        <v>2</v>
      </c>
      <c r="AC21">
        <v>3</v>
      </c>
      <c r="AD21">
        <f t="shared" si="0"/>
        <v>4</v>
      </c>
      <c r="AE21">
        <f t="shared" si="1"/>
        <v>2</v>
      </c>
      <c r="AF21">
        <f t="shared" si="2"/>
        <v>3</v>
      </c>
    </row>
    <row r="22" spans="1:32" x14ac:dyDescent="0.25">
      <c r="A22" t="s">
        <v>70</v>
      </c>
      <c r="B22" t="s">
        <v>71</v>
      </c>
      <c r="C22" t="s">
        <v>27</v>
      </c>
      <c r="D22" t="s">
        <v>33</v>
      </c>
      <c r="E22">
        <v>117.7954</v>
      </c>
      <c r="F22">
        <v>3.6</v>
      </c>
      <c r="G22">
        <v>0.39</v>
      </c>
      <c r="H22">
        <v>10.199999999999999</v>
      </c>
      <c r="I22">
        <v>0</v>
      </c>
      <c r="J22">
        <v>3.0561000000000001E-2</v>
      </c>
      <c r="K22">
        <v>3.3110000000000001E-3</v>
      </c>
      <c r="L22">
        <v>8.6591000000000001E-2</v>
      </c>
      <c r="M22">
        <v>0</v>
      </c>
      <c r="N22">
        <v>36</v>
      </c>
      <c r="O22">
        <v>141</v>
      </c>
      <c r="P22">
        <v>11</v>
      </c>
      <c r="Q22">
        <v>1.595988</v>
      </c>
      <c r="R22">
        <v>0.26136399999999999</v>
      </c>
      <c r="T22">
        <v>170894</v>
      </c>
      <c r="U22" t="s">
        <v>541</v>
      </c>
      <c r="V22">
        <v>4</v>
      </c>
      <c r="W22">
        <v>3</v>
      </c>
      <c r="X22">
        <v>2</v>
      </c>
      <c r="Y22" s="3" t="s">
        <v>552</v>
      </c>
      <c r="Z22" t="s">
        <v>558</v>
      </c>
      <c r="AA22">
        <v>4</v>
      </c>
      <c r="AB22">
        <v>4</v>
      </c>
      <c r="AC22">
        <v>2</v>
      </c>
      <c r="AD22">
        <f t="shared" si="0"/>
        <v>4</v>
      </c>
      <c r="AE22">
        <f t="shared" si="1"/>
        <v>4</v>
      </c>
      <c r="AF22">
        <f t="shared" si="2"/>
        <v>2</v>
      </c>
    </row>
    <row r="23" spans="1:32" x14ac:dyDescent="0.25">
      <c r="A23" t="s">
        <v>72</v>
      </c>
      <c r="B23" t="s">
        <v>73</v>
      </c>
      <c r="C23" t="s">
        <v>32</v>
      </c>
      <c r="D23" t="s">
        <v>33</v>
      </c>
      <c r="E23">
        <v>115.8394</v>
      </c>
      <c r="F23">
        <v>13.6</v>
      </c>
      <c r="G23">
        <v>0.19</v>
      </c>
      <c r="H23">
        <v>0.44</v>
      </c>
      <c r="I23">
        <v>2.8</v>
      </c>
      <c r="J23">
        <v>0.11740399999999999</v>
      </c>
      <c r="K23">
        <v>1.64E-3</v>
      </c>
      <c r="L23">
        <v>3.7980000000000002E-3</v>
      </c>
      <c r="M23">
        <v>2.4171000000000002E-2</v>
      </c>
      <c r="N23">
        <v>1</v>
      </c>
      <c r="O23">
        <v>120</v>
      </c>
      <c r="P23">
        <v>5</v>
      </c>
      <c r="Q23">
        <v>1.0877129999999999</v>
      </c>
      <c r="R23">
        <v>0.133301</v>
      </c>
      <c r="T23">
        <v>168203</v>
      </c>
      <c r="U23" t="s">
        <v>542</v>
      </c>
      <c r="V23">
        <v>3</v>
      </c>
      <c r="W23">
        <v>2</v>
      </c>
      <c r="X23">
        <v>1</v>
      </c>
      <c r="Y23" s="2" t="s">
        <v>550</v>
      </c>
      <c r="Z23" t="s">
        <v>551</v>
      </c>
      <c r="AA23">
        <v>3</v>
      </c>
      <c r="AB23">
        <v>2</v>
      </c>
      <c r="AC23">
        <v>1</v>
      </c>
      <c r="AD23">
        <f t="shared" si="0"/>
        <v>3</v>
      </c>
      <c r="AE23">
        <f t="shared" si="1"/>
        <v>2</v>
      </c>
      <c r="AF23">
        <f t="shared" si="2"/>
        <v>1</v>
      </c>
    </row>
    <row r="24" spans="1:32" x14ac:dyDescent="0.25">
      <c r="A24" t="s">
        <v>74</v>
      </c>
      <c r="B24" t="s">
        <v>75</v>
      </c>
      <c r="C24" t="s">
        <v>32</v>
      </c>
      <c r="D24" t="s">
        <v>33</v>
      </c>
      <c r="E24">
        <v>118.03440000000001</v>
      </c>
      <c r="F24">
        <v>14.1</v>
      </c>
      <c r="G24">
        <v>0.2</v>
      </c>
      <c r="H24">
        <v>0.27</v>
      </c>
      <c r="I24">
        <v>2.2999999999999998</v>
      </c>
      <c r="J24">
        <v>0.11945699999999999</v>
      </c>
      <c r="K24">
        <v>1.694E-3</v>
      </c>
      <c r="L24">
        <v>2.287E-3</v>
      </c>
      <c r="M24">
        <v>1.9486E-2</v>
      </c>
      <c r="N24">
        <v>1</v>
      </c>
      <c r="O24">
        <v>104</v>
      </c>
      <c r="P24">
        <v>5</v>
      </c>
      <c r="Q24">
        <v>0.93193199999999998</v>
      </c>
      <c r="R24">
        <v>0.1081</v>
      </c>
      <c r="T24">
        <v>168201</v>
      </c>
      <c r="U24" t="s">
        <v>542</v>
      </c>
      <c r="V24">
        <v>3</v>
      </c>
      <c r="W24">
        <v>2</v>
      </c>
      <c r="X24">
        <v>1</v>
      </c>
      <c r="Y24" s="2" t="s">
        <v>550</v>
      </c>
      <c r="Z24" t="s">
        <v>551</v>
      </c>
      <c r="AA24">
        <v>3</v>
      </c>
      <c r="AB24">
        <v>2</v>
      </c>
      <c r="AC24">
        <v>1</v>
      </c>
      <c r="AD24">
        <f t="shared" si="0"/>
        <v>3</v>
      </c>
      <c r="AE24">
        <f t="shared" si="1"/>
        <v>2</v>
      </c>
      <c r="AF24">
        <f t="shared" si="2"/>
        <v>1</v>
      </c>
    </row>
    <row r="25" spans="1:32" x14ac:dyDescent="0.25">
      <c r="A25" t="s">
        <v>76</v>
      </c>
      <c r="B25" t="s">
        <v>77</v>
      </c>
      <c r="C25" t="s">
        <v>43</v>
      </c>
      <c r="D25" t="s">
        <v>23</v>
      </c>
      <c r="E25">
        <v>693.55830000000003</v>
      </c>
      <c r="F25">
        <v>62.6</v>
      </c>
      <c r="G25">
        <v>1.23</v>
      </c>
      <c r="H25">
        <v>21.4</v>
      </c>
      <c r="I25">
        <v>15.5</v>
      </c>
      <c r="J25">
        <v>9.0259000000000006E-2</v>
      </c>
      <c r="K25">
        <v>1.7730000000000001E-3</v>
      </c>
      <c r="L25">
        <v>3.0855E-2</v>
      </c>
      <c r="M25">
        <v>2.2349000000000001E-2</v>
      </c>
      <c r="N25">
        <v>12</v>
      </c>
      <c r="O25">
        <v>1390</v>
      </c>
      <c r="P25">
        <v>176</v>
      </c>
      <c r="Q25">
        <v>2.275223</v>
      </c>
      <c r="R25">
        <v>0.32880100000000001</v>
      </c>
      <c r="S25" t="s">
        <v>24</v>
      </c>
      <c r="T25">
        <v>175199</v>
      </c>
      <c r="U25" t="s">
        <v>541</v>
      </c>
      <c r="V25">
        <v>5</v>
      </c>
      <c r="W25">
        <v>3</v>
      </c>
      <c r="X25">
        <v>5</v>
      </c>
      <c r="Y25" s="2" t="s">
        <v>550</v>
      </c>
      <c r="Z25" t="s">
        <v>551</v>
      </c>
      <c r="AA25">
        <v>5</v>
      </c>
      <c r="AB25">
        <v>3</v>
      </c>
      <c r="AC25">
        <v>5</v>
      </c>
      <c r="AD25">
        <f t="shared" si="0"/>
        <v>5</v>
      </c>
      <c r="AE25">
        <f t="shared" si="1"/>
        <v>3</v>
      </c>
      <c r="AF25">
        <f t="shared" si="2"/>
        <v>5</v>
      </c>
    </row>
    <row r="26" spans="1:32" x14ac:dyDescent="0.25">
      <c r="A26" t="s">
        <v>78</v>
      </c>
      <c r="B26" t="s">
        <v>79</v>
      </c>
      <c r="C26" t="s">
        <v>27</v>
      </c>
      <c r="D26" t="s">
        <v>33</v>
      </c>
      <c r="E26">
        <v>294.22750000000002</v>
      </c>
      <c r="F26">
        <v>1.01</v>
      </c>
      <c r="G26">
        <v>9.9499999999999993</v>
      </c>
      <c r="H26">
        <v>12.3</v>
      </c>
      <c r="I26">
        <v>0</v>
      </c>
      <c r="J26">
        <v>3.4329999999999999E-3</v>
      </c>
      <c r="K26">
        <v>3.3817E-2</v>
      </c>
      <c r="L26">
        <v>4.1804000000000001E-2</v>
      </c>
      <c r="M26">
        <v>0</v>
      </c>
      <c r="N26">
        <v>128</v>
      </c>
      <c r="O26">
        <v>135</v>
      </c>
      <c r="P26">
        <v>9</v>
      </c>
      <c r="Q26">
        <v>0.92445500000000003</v>
      </c>
      <c r="R26">
        <v>0.16072400000000001</v>
      </c>
      <c r="T26">
        <v>172202</v>
      </c>
      <c r="U26" t="s">
        <v>541</v>
      </c>
      <c r="V26">
        <v>3</v>
      </c>
      <c r="W26">
        <v>3</v>
      </c>
      <c r="X26">
        <v>2</v>
      </c>
      <c r="Y26" s="3" t="s">
        <v>552</v>
      </c>
      <c r="Z26" t="s">
        <v>609</v>
      </c>
      <c r="AA26">
        <v>4</v>
      </c>
      <c r="AB26">
        <v>3</v>
      </c>
      <c r="AC26">
        <v>2</v>
      </c>
      <c r="AD26">
        <f t="shared" si="0"/>
        <v>4</v>
      </c>
      <c r="AE26">
        <f t="shared" si="1"/>
        <v>3</v>
      </c>
      <c r="AF26">
        <f t="shared" si="2"/>
        <v>2</v>
      </c>
    </row>
    <row r="27" spans="1:32" x14ac:dyDescent="0.25">
      <c r="A27" t="s">
        <v>80</v>
      </c>
      <c r="B27" t="s">
        <v>81</v>
      </c>
      <c r="C27" t="s">
        <v>43</v>
      </c>
      <c r="D27" t="s">
        <v>33</v>
      </c>
      <c r="E27">
        <v>1195.5143</v>
      </c>
      <c r="F27">
        <v>22.3</v>
      </c>
      <c r="G27">
        <v>51.4</v>
      </c>
      <c r="H27">
        <v>22.2</v>
      </c>
      <c r="I27">
        <v>5</v>
      </c>
      <c r="J27">
        <v>1.8652999999999999E-2</v>
      </c>
      <c r="K27">
        <v>4.2993999999999997E-2</v>
      </c>
      <c r="L27">
        <v>1.8568999999999999E-2</v>
      </c>
      <c r="M27">
        <v>4.182E-3</v>
      </c>
      <c r="N27">
        <v>426</v>
      </c>
      <c r="O27">
        <v>558</v>
      </c>
      <c r="P27">
        <v>168</v>
      </c>
      <c r="Q27">
        <v>0.96360199999999996</v>
      </c>
      <c r="R27">
        <v>0.15681899999999999</v>
      </c>
      <c r="T27">
        <v>174266</v>
      </c>
      <c r="U27" t="s">
        <v>541</v>
      </c>
      <c r="V27">
        <v>5</v>
      </c>
      <c r="W27">
        <v>2</v>
      </c>
      <c r="X27">
        <v>4</v>
      </c>
      <c r="Y27" s="3" t="s">
        <v>552</v>
      </c>
      <c r="Z27" t="s">
        <v>553</v>
      </c>
      <c r="AA27">
        <v>4</v>
      </c>
      <c r="AB27">
        <v>2</v>
      </c>
      <c r="AC27">
        <v>4</v>
      </c>
      <c r="AD27">
        <f t="shared" si="0"/>
        <v>4</v>
      </c>
      <c r="AE27">
        <f t="shared" si="1"/>
        <v>2</v>
      </c>
      <c r="AF27">
        <f t="shared" si="2"/>
        <v>4</v>
      </c>
    </row>
    <row r="28" spans="1:32" x14ac:dyDescent="0.25">
      <c r="A28" t="s">
        <v>82</v>
      </c>
      <c r="B28" t="s">
        <v>83</v>
      </c>
      <c r="C28" t="s">
        <v>38</v>
      </c>
      <c r="D28" t="s">
        <v>33</v>
      </c>
      <c r="E28">
        <v>158.34989999999999</v>
      </c>
      <c r="F28">
        <v>18.100000000000001</v>
      </c>
      <c r="G28">
        <v>0.08</v>
      </c>
      <c r="H28">
        <v>2.14</v>
      </c>
      <c r="I28">
        <v>1.3</v>
      </c>
      <c r="J28">
        <v>0.114304</v>
      </c>
      <c r="K28">
        <v>5.0500000000000002E-4</v>
      </c>
      <c r="L28">
        <v>1.3514E-2</v>
      </c>
      <c r="M28">
        <v>8.2100000000000003E-3</v>
      </c>
      <c r="N28">
        <v>5</v>
      </c>
      <c r="O28">
        <v>417</v>
      </c>
      <c r="P28">
        <v>23</v>
      </c>
      <c r="Q28">
        <v>2.8102320000000001</v>
      </c>
      <c r="R28">
        <v>0.39333099999999999</v>
      </c>
      <c r="T28">
        <v>170027</v>
      </c>
      <c r="U28" t="s">
        <v>541</v>
      </c>
      <c r="V28">
        <v>3</v>
      </c>
      <c r="W28">
        <v>2</v>
      </c>
      <c r="X28">
        <v>2</v>
      </c>
      <c r="Y28" s="3" t="s">
        <v>552</v>
      </c>
      <c r="Z28" t="s">
        <v>557</v>
      </c>
      <c r="AA28">
        <v>3</v>
      </c>
      <c r="AB28">
        <v>2</v>
      </c>
      <c r="AC28">
        <v>3</v>
      </c>
      <c r="AD28">
        <f t="shared" si="0"/>
        <v>3</v>
      </c>
      <c r="AE28">
        <f t="shared" si="1"/>
        <v>2</v>
      </c>
      <c r="AF28">
        <f t="shared" si="2"/>
        <v>3</v>
      </c>
    </row>
    <row r="29" spans="1:32" x14ac:dyDescent="0.25">
      <c r="A29" t="s">
        <v>84</v>
      </c>
      <c r="B29" t="s">
        <v>85</v>
      </c>
      <c r="C29" t="s">
        <v>22</v>
      </c>
      <c r="D29" t="s">
        <v>23</v>
      </c>
      <c r="E29">
        <v>245.84889999999999</v>
      </c>
      <c r="F29">
        <v>25.6</v>
      </c>
      <c r="G29">
        <v>0.97</v>
      </c>
      <c r="H29">
        <v>2.74</v>
      </c>
      <c r="I29">
        <v>1.6</v>
      </c>
      <c r="J29">
        <v>0.104129</v>
      </c>
      <c r="K29">
        <v>3.9459999999999999E-3</v>
      </c>
      <c r="L29">
        <v>1.1145E-2</v>
      </c>
      <c r="M29">
        <v>6.5079999999999999E-3</v>
      </c>
      <c r="N29">
        <v>4</v>
      </c>
      <c r="O29">
        <v>86</v>
      </c>
      <c r="P29">
        <v>39</v>
      </c>
      <c r="Q29">
        <v>0.52471299999999998</v>
      </c>
      <c r="R29">
        <v>5.3331999999999997E-2</v>
      </c>
      <c r="S29" t="s">
        <v>24</v>
      </c>
      <c r="T29">
        <v>169704</v>
      </c>
      <c r="U29" t="s">
        <v>541</v>
      </c>
      <c r="V29">
        <v>4</v>
      </c>
      <c r="W29">
        <v>2</v>
      </c>
      <c r="X29">
        <v>3</v>
      </c>
      <c r="Y29" s="2" t="s">
        <v>550</v>
      </c>
      <c r="Z29" t="s">
        <v>551</v>
      </c>
      <c r="AA29">
        <v>4</v>
      </c>
      <c r="AB29">
        <v>2</v>
      </c>
      <c r="AC29">
        <v>3</v>
      </c>
      <c r="AD29">
        <f t="shared" si="0"/>
        <v>4</v>
      </c>
      <c r="AE29">
        <f t="shared" si="1"/>
        <v>2</v>
      </c>
      <c r="AF29">
        <f t="shared" si="2"/>
        <v>3</v>
      </c>
    </row>
    <row r="30" spans="1:32" x14ac:dyDescent="0.25">
      <c r="A30" t="s">
        <v>86</v>
      </c>
      <c r="B30" t="s">
        <v>87</v>
      </c>
      <c r="C30" t="s">
        <v>22</v>
      </c>
      <c r="D30" t="s">
        <v>23</v>
      </c>
      <c r="E30">
        <v>732.67880000000002</v>
      </c>
      <c r="F30">
        <v>76.2</v>
      </c>
      <c r="G30">
        <v>3.2</v>
      </c>
      <c r="H30">
        <v>7.54</v>
      </c>
      <c r="I30">
        <v>3.6</v>
      </c>
      <c r="J30">
        <v>0.104002</v>
      </c>
      <c r="K30">
        <v>4.3680000000000004E-3</v>
      </c>
      <c r="L30">
        <v>1.0291E-2</v>
      </c>
      <c r="M30">
        <v>4.9129999999999998E-3</v>
      </c>
      <c r="N30">
        <v>5</v>
      </c>
      <c r="O30">
        <v>250</v>
      </c>
      <c r="P30">
        <v>116</v>
      </c>
      <c r="Q30">
        <v>0.50636099999999995</v>
      </c>
      <c r="R30">
        <v>5.0183999999999999E-2</v>
      </c>
      <c r="S30" t="s">
        <v>24</v>
      </c>
      <c r="T30">
        <v>169703</v>
      </c>
      <c r="U30" t="s">
        <v>541</v>
      </c>
      <c r="V30">
        <v>4</v>
      </c>
      <c r="W30">
        <v>2</v>
      </c>
      <c r="X30">
        <v>4</v>
      </c>
      <c r="Y30" s="2" t="s">
        <v>550</v>
      </c>
      <c r="Z30" t="s">
        <v>551</v>
      </c>
      <c r="AA30">
        <v>4</v>
      </c>
      <c r="AB30">
        <v>2</v>
      </c>
      <c r="AC30">
        <v>4</v>
      </c>
      <c r="AD30">
        <f t="shared" si="0"/>
        <v>4</v>
      </c>
      <c r="AE30">
        <f t="shared" si="1"/>
        <v>2</v>
      </c>
      <c r="AF30">
        <f t="shared" si="2"/>
        <v>4</v>
      </c>
    </row>
    <row r="31" spans="1:32" x14ac:dyDescent="0.25">
      <c r="A31" t="s">
        <v>88</v>
      </c>
      <c r="B31" t="s">
        <v>89</v>
      </c>
      <c r="C31" t="s">
        <v>22</v>
      </c>
      <c r="D31" t="s">
        <v>33</v>
      </c>
      <c r="E31">
        <v>224.09370000000001</v>
      </c>
      <c r="F31">
        <v>23.5</v>
      </c>
      <c r="G31">
        <v>0.83</v>
      </c>
      <c r="H31">
        <v>2.3199999999999998</v>
      </c>
      <c r="I31">
        <v>1.8</v>
      </c>
      <c r="J31">
        <v>0.104867</v>
      </c>
      <c r="K31">
        <v>3.7039999999999998E-3</v>
      </c>
      <c r="L31">
        <v>1.0352999999999999E-2</v>
      </c>
      <c r="M31">
        <v>8.0319999999999992E-3</v>
      </c>
      <c r="N31">
        <v>1</v>
      </c>
      <c r="O31">
        <v>79</v>
      </c>
      <c r="P31">
        <v>44</v>
      </c>
      <c r="Q31">
        <v>0.55334000000000005</v>
      </c>
      <c r="R31">
        <v>5.7294999999999999E-2</v>
      </c>
      <c r="T31">
        <v>168875</v>
      </c>
      <c r="U31" t="s">
        <v>541</v>
      </c>
      <c r="V31">
        <v>4</v>
      </c>
      <c r="W31">
        <v>2</v>
      </c>
      <c r="X31">
        <v>2</v>
      </c>
      <c r="Y31" s="3" t="s">
        <v>552</v>
      </c>
      <c r="Z31" t="s">
        <v>559</v>
      </c>
      <c r="AA31">
        <v>4</v>
      </c>
      <c r="AB31">
        <v>2</v>
      </c>
      <c r="AC31">
        <v>3</v>
      </c>
      <c r="AD31">
        <f t="shared" si="0"/>
        <v>4</v>
      </c>
      <c r="AE31">
        <f t="shared" si="1"/>
        <v>2</v>
      </c>
      <c r="AF31">
        <f t="shared" si="2"/>
        <v>3</v>
      </c>
    </row>
    <row r="32" spans="1:32" x14ac:dyDescent="0.25">
      <c r="A32" t="s">
        <v>90</v>
      </c>
      <c r="B32" t="s">
        <v>91</v>
      </c>
      <c r="C32" t="s">
        <v>22</v>
      </c>
      <c r="D32" t="s">
        <v>23</v>
      </c>
      <c r="E32">
        <v>725.28869999999995</v>
      </c>
      <c r="F32">
        <v>76.2</v>
      </c>
      <c r="G32">
        <v>2.68</v>
      </c>
      <c r="H32">
        <v>7.5</v>
      </c>
      <c r="I32">
        <v>3.4</v>
      </c>
      <c r="J32">
        <v>0.105062</v>
      </c>
      <c r="K32">
        <v>3.6949999999999999E-3</v>
      </c>
      <c r="L32">
        <v>1.0340999999999999E-2</v>
      </c>
      <c r="M32">
        <v>4.6880000000000003E-3</v>
      </c>
      <c r="N32">
        <v>4</v>
      </c>
      <c r="O32">
        <v>268</v>
      </c>
      <c r="P32">
        <v>143</v>
      </c>
      <c r="Q32">
        <v>0.57218599999999997</v>
      </c>
      <c r="R32">
        <v>5.9555999999999998E-2</v>
      </c>
      <c r="S32" t="s">
        <v>24</v>
      </c>
      <c r="T32">
        <v>169706</v>
      </c>
      <c r="U32" t="s">
        <v>541</v>
      </c>
      <c r="V32">
        <v>4</v>
      </c>
      <c r="W32">
        <v>2</v>
      </c>
      <c r="X32">
        <v>4</v>
      </c>
      <c r="Y32" s="2" t="s">
        <v>550</v>
      </c>
      <c r="Z32" t="s">
        <v>551</v>
      </c>
      <c r="AA32">
        <v>4</v>
      </c>
      <c r="AB32">
        <v>2</v>
      </c>
      <c r="AC32">
        <v>4</v>
      </c>
      <c r="AD32">
        <f t="shared" si="0"/>
        <v>4</v>
      </c>
      <c r="AE32">
        <f t="shared" si="1"/>
        <v>2</v>
      </c>
      <c r="AF32">
        <f t="shared" si="2"/>
        <v>4</v>
      </c>
    </row>
    <row r="33" spans="1:32" x14ac:dyDescent="0.25">
      <c r="A33" t="s">
        <v>92</v>
      </c>
      <c r="B33" t="s">
        <v>93</v>
      </c>
      <c r="C33" t="s">
        <v>38</v>
      </c>
      <c r="D33" t="s">
        <v>33</v>
      </c>
      <c r="E33">
        <v>57.680700000000002</v>
      </c>
      <c r="F33">
        <v>4.21</v>
      </c>
      <c r="G33">
        <v>0.56999999999999995</v>
      </c>
      <c r="H33">
        <v>3.63</v>
      </c>
      <c r="I33">
        <v>2.9</v>
      </c>
      <c r="J33">
        <v>7.2987999999999997E-2</v>
      </c>
      <c r="K33">
        <v>9.8820000000000002E-3</v>
      </c>
      <c r="L33">
        <v>6.2933000000000003E-2</v>
      </c>
      <c r="M33">
        <v>5.0277000000000002E-2</v>
      </c>
      <c r="N33">
        <v>74</v>
      </c>
      <c r="O33">
        <v>346</v>
      </c>
      <c r="P33">
        <v>75</v>
      </c>
      <c r="Q33">
        <v>8.5817270000000008</v>
      </c>
      <c r="R33">
        <v>1.297401</v>
      </c>
      <c r="T33">
        <v>169287</v>
      </c>
      <c r="U33" t="s">
        <v>542</v>
      </c>
      <c r="V33">
        <v>5</v>
      </c>
      <c r="W33">
        <v>5</v>
      </c>
      <c r="X33">
        <v>1</v>
      </c>
      <c r="Y33" s="2" t="s">
        <v>550</v>
      </c>
      <c r="Z33" t="s">
        <v>551</v>
      </c>
      <c r="AA33">
        <v>5</v>
      </c>
      <c r="AB33">
        <v>5</v>
      </c>
      <c r="AC33">
        <v>1</v>
      </c>
      <c r="AD33">
        <f t="shared" si="0"/>
        <v>5</v>
      </c>
      <c r="AE33">
        <f t="shared" si="1"/>
        <v>5</v>
      </c>
      <c r="AF33">
        <f t="shared" si="2"/>
        <v>1</v>
      </c>
    </row>
    <row r="34" spans="1:32" x14ac:dyDescent="0.25">
      <c r="A34" t="s">
        <v>94</v>
      </c>
      <c r="B34" t="s">
        <v>95</v>
      </c>
      <c r="C34" t="s">
        <v>43</v>
      </c>
      <c r="D34" t="s">
        <v>33</v>
      </c>
      <c r="E34">
        <v>170.32499999999999</v>
      </c>
      <c r="F34">
        <v>0.97</v>
      </c>
      <c r="G34">
        <v>4.1900000000000004</v>
      </c>
      <c r="H34">
        <v>10.9</v>
      </c>
      <c r="I34">
        <v>0.9</v>
      </c>
      <c r="J34">
        <v>5.6950000000000004E-3</v>
      </c>
      <c r="K34">
        <v>2.46E-2</v>
      </c>
      <c r="L34">
        <v>6.3994999999999996E-2</v>
      </c>
      <c r="M34">
        <v>5.2839999999999996E-3</v>
      </c>
      <c r="N34">
        <v>33</v>
      </c>
      <c r="Q34">
        <v>0.193747</v>
      </c>
      <c r="R34">
        <v>5.6694000000000001E-2</v>
      </c>
      <c r="T34">
        <v>173788</v>
      </c>
      <c r="U34" t="s">
        <v>541</v>
      </c>
      <c r="V34">
        <v>5</v>
      </c>
      <c r="W34">
        <v>3</v>
      </c>
      <c r="X34">
        <v>2</v>
      </c>
      <c r="Y34" s="2" t="s">
        <v>550</v>
      </c>
      <c r="Z34" t="s">
        <v>551</v>
      </c>
      <c r="AA34">
        <v>5</v>
      </c>
      <c r="AB34">
        <v>3</v>
      </c>
      <c r="AC34">
        <v>2</v>
      </c>
      <c r="AD34">
        <f t="shared" si="0"/>
        <v>5</v>
      </c>
      <c r="AE34">
        <f t="shared" si="1"/>
        <v>3</v>
      </c>
      <c r="AF34">
        <f t="shared" si="2"/>
        <v>2</v>
      </c>
    </row>
    <row r="35" spans="1:32" x14ac:dyDescent="0.25">
      <c r="A35" t="s">
        <v>96</v>
      </c>
      <c r="B35" t="s">
        <v>97</v>
      </c>
      <c r="C35" t="s">
        <v>43</v>
      </c>
      <c r="D35" t="s">
        <v>33</v>
      </c>
      <c r="E35">
        <v>117.5564</v>
      </c>
      <c r="F35">
        <v>2.19</v>
      </c>
      <c r="G35">
        <v>2.71</v>
      </c>
      <c r="H35">
        <v>6.38</v>
      </c>
      <c r="I35">
        <v>0.8</v>
      </c>
      <c r="J35">
        <v>1.8629E-2</v>
      </c>
      <c r="K35">
        <v>2.3053000000000001E-2</v>
      </c>
      <c r="L35">
        <v>5.4272000000000001E-2</v>
      </c>
      <c r="M35">
        <v>6.8050000000000003E-3</v>
      </c>
      <c r="N35">
        <v>34</v>
      </c>
      <c r="Q35">
        <v>0.28922300000000001</v>
      </c>
      <c r="R35">
        <v>6.3574000000000006E-2</v>
      </c>
      <c r="T35">
        <v>173787</v>
      </c>
      <c r="U35" t="s">
        <v>541</v>
      </c>
      <c r="V35">
        <v>5</v>
      </c>
      <c r="W35">
        <v>3</v>
      </c>
      <c r="X35">
        <v>1</v>
      </c>
      <c r="Y35" s="3" t="s">
        <v>552</v>
      </c>
      <c r="Z35" t="s">
        <v>560</v>
      </c>
      <c r="AA35">
        <v>5</v>
      </c>
      <c r="AB35">
        <v>3</v>
      </c>
      <c r="AC35">
        <v>2</v>
      </c>
      <c r="AD35">
        <f t="shared" si="0"/>
        <v>5</v>
      </c>
      <c r="AE35">
        <f t="shared" si="1"/>
        <v>3</v>
      </c>
      <c r="AF35">
        <f t="shared" si="2"/>
        <v>2</v>
      </c>
    </row>
    <row r="36" spans="1:32" x14ac:dyDescent="0.25">
      <c r="A36" t="s">
        <v>98</v>
      </c>
      <c r="B36" t="s">
        <v>99</v>
      </c>
      <c r="C36" t="s">
        <v>43</v>
      </c>
      <c r="D36" t="s">
        <v>23</v>
      </c>
      <c r="E36">
        <v>678.38810000000001</v>
      </c>
      <c r="F36">
        <v>62.4</v>
      </c>
      <c r="G36">
        <v>1.1399999999999999</v>
      </c>
      <c r="H36">
        <v>21.9</v>
      </c>
      <c r="I36">
        <v>20.2</v>
      </c>
      <c r="J36">
        <v>9.1982999999999995E-2</v>
      </c>
      <c r="K36">
        <v>1.6800000000000001E-3</v>
      </c>
      <c r="L36">
        <v>3.2281999999999998E-2</v>
      </c>
      <c r="M36">
        <v>2.9776E-2</v>
      </c>
      <c r="N36">
        <v>14</v>
      </c>
      <c r="O36">
        <v>1390</v>
      </c>
      <c r="P36">
        <v>189</v>
      </c>
      <c r="Q36">
        <v>2.3482129999999999</v>
      </c>
      <c r="R36">
        <v>0.34082200000000001</v>
      </c>
      <c r="S36" t="s">
        <v>24</v>
      </c>
      <c r="T36">
        <v>175190</v>
      </c>
      <c r="U36" t="s">
        <v>541</v>
      </c>
      <c r="V36">
        <v>5</v>
      </c>
      <c r="W36">
        <v>4</v>
      </c>
      <c r="X36">
        <v>5</v>
      </c>
      <c r="Y36" s="2" t="s">
        <v>550</v>
      </c>
      <c r="Z36" t="s">
        <v>551</v>
      </c>
      <c r="AA36">
        <v>5</v>
      </c>
      <c r="AB36">
        <v>4</v>
      </c>
      <c r="AC36">
        <v>5</v>
      </c>
      <c r="AD36">
        <f t="shared" si="0"/>
        <v>5</v>
      </c>
      <c r="AE36">
        <f t="shared" si="1"/>
        <v>4</v>
      </c>
      <c r="AF36">
        <f t="shared" si="2"/>
        <v>5</v>
      </c>
    </row>
    <row r="37" spans="1:32" x14ac:dyDescent="0.25">
      <c r="A37" t="s">
        <v>100</v>
      </c>
      <c r="B37" t="s">
        <v>101</v>
      </c>
      <c r="C37" t="s">
        <v>38</v>
      </c>
      <c r="D37" t="s">
        <v>33</v>
      </c>
      <c r="E37">
        <v>65.982799999999997</v>
      </c>
      <c r="F37">
        <v>7.54</v>
      </c>
      <c r="G37">
        <v>0.21</v>
      </c>
      <c r="H37">
        <v>1.79</v>
      </c>
      <c r="I37">
        <v>2.6</v>
      </c>
      <c r="J37">
        <v>0.114272</v>
      </c>
      <c r="K37">
        <v>3.1830000000000001E-3</v>
      </c>
      <c r="L37">
        <v>2.7127999999999999E-2</v>
      </c>
      <c r="M37">
        <v>3.9404000000000002E-2</v>
      </c>
      <c r="N37">
        <v>3</v>
      </c>
      <c r="O37">
        <v>186</v>
      </c>
      <c r="P37">
        <v>22</v>
      </c>
      <c r="Q37">
        <v>3.197803</v>
      </c>
      <c r="R37">
        <v>0.46159</v>
      </c>
      <c r="T37">
        <v>169962</v>
      </c>
      <c r="U37" t="s">
        <v>542</v>
      </c>
      <c r="V37">
        <v>4</v>
      </c>
      <c r="W37">
        <v>4</v>
      </c>
      <c r="X37">
        <v>1</v>
      </c>
      <c r="Y37" s="3" t="s">
        <v>552</v>
      </c>
      <c r="Z37" t="s">
        <v>608</v>
      </c>
      <c r="AA37">
        <v>4</v>
      </c>
      <c r="AB37">
        <v>3</v>
      </c>
      <c r="AC37">
        <v>1</v>
      </c>
      <c r="AD37">
        <f t="shared" si="0"/>
        <v>4</v>
      </c>
      <c r="AE37">
        <f t="shared" si="1"/>
        <v>3</v>
      </c>
      <c r="AF37">
        <f t="shared" si="2"/>
        <v>1</v>
      </c>
    </row>
    <row r="38" spans="1:32" x14ac:dyDescent="0.25">
      <c r="A38" t="s">
        <v>102</v>
      </c>
      <c r="B38" t="s">
        <v>103</v>
      </c>
      <c r="C38" t="s">
        <v>104</v>
      </c>
      <c r="D38" t="s">
        <v>33</v>
      </c>
      <c r="E38">
        <v>172.28110000000001</v>
      </c>
      <c r="F38">
        <v>0</v>
      </c>
      <c r="G38">
        <v>0.96</v>
      </c>
      <c r="H38">
        <v>19.399999999999999</v>
      </c>
      <c r="I38">
        <v>0</v>
      </c>
      <c r="J38">
        <v>0</v>
      </c>
      <c r="K38">
        <v>5.5719999999999997E-3</v>
      </c>
      <c r="L38">
        <v>0.112607</v>
      </c>
      <c r="M38">
        <v>0</v>
      </c>
      <c r="N38">
        <v>247</v>
      </c>
      <c r="O38">
        <v>179</v>
      </c>
      <c r="P38">
        <v>23</v>
      </c>
      <c r="Q38">
        <v>2.6062059999999998</v>
      </c>
      <c r="R38">
        <v>0.43173600000000001</v>
      </c>
      <c r="T38">
        <v>173709</v>
      </c>
      <c r="U38" t="s">
        <v>541</v>
      </c>
      <c r="V38">
        <v>4</v>
      </c>
      <c r="W38">
        <v>4</v>
      </c>
      <c r="X38">
        <v>2</v>
      </c>
      <c r="Y38" s="2" t="s">
        <v>550</v>
      </c>
      <c r="Z38" t="s">
        <v>551</v>
      </c>
      <c r="AA38">
        <v>4</v>
      </c>
      <c r="AB38">
        <v>4</v>
      </c>
      <c r="AC38">
        <v>2</v>
      </c>
      <c r="AD38">
        <f t="shared" si="0"/>
        <v>4</v>
      </c>
      <c r="AE38">
        <f t="shared" si="1"/>
        <v>4</v>
      </c>
      <c r="AF38">
        <f t="shared" si="2"/>
        <v>2</v>
      </c>
    </row>
    <row r="39" spans="1:32" x14ac:dyDescent="0.25">
      <c r="A39" t="s">
        <v>105</v>
      </c>
      <c r="B39" t="s">
        <v>106</v>
      </c>
      <c r="C39" t="s">
        <v>107</v>
      </c>
      <c r="D39" t="s">
        <v>108</v>
      </c>
      <c r="E39">
        <v>429.62720000000002</v>
      </c>
      <c r="F39">
        <v>0</v>
      </c>
      <c r="G39">
        <v>15</v>
      </c>
      <c r="H39">
        <v>18.600000000000001</v>
      </c>
      <c r="I39">
        <v>0</v>
      </c>
      <c r="J39">
        <v>0</v>
      </c>
      <c r="K39">
        <v>3.4914000000000001E-2</v>
      </c>
      <c r="L39">
        <v>4.3292999999999998E-2</v>
      </c>
      <c r="M39">
        <v>0</v>
      </c>
      <c r="N39">
        <v>66</v>
      </c>
      <c r="O39">
        <v>295</v>
      </c>
      <c r="P39">
        <v>18</v>
      </c>
      <c r="Q39">
        <v>0.88216000000000006</v>
      </c>
      <c r="R39">
        <v>0.15620500000000001</v>
      </c>
      <c r="S39" t="s">
        <v>109</v>
      </c>
      <c r="T39">
        <v>171796</v>
      </c>
      <c r="U39" t="s">
        <v>541</v>
      </c>
      <c r="V39">
        <v>2</v>
      </c>
      <c r="W39">
        <v>2</v>
      </c>
      <c r="X39">
        <v>2</v>
      </c>
      <c r="Y39" s="2" t="s">
        <v>550</v>
      </c>
      <c r="Z39" t="s">
        <v>551</v>
      </c>
      <c r="AA39">
        <v>2</v>
      </c>
      <c r="AB39">
        <v>2</v>
      </c>
      <c r="AC39">
        <v>2</v>
      </c>
      <c r="AD39">
        <f t="shared" si="0"/>
        <v>2</v>
      </c>
      <c r="AE39">
        <f t="shared" si="1"/>
        <v>2</v>
      </c>
      <c r="AF39">
        <f t="shared" si="2"/>
        <v>2</v>
      </c>
    </row>
    <row r="40" spans="1:32" x14ac:dyDescent="0.25">
      <c r="A40" t="s">
        <v>110</v>
      </c>
      <c r="B40" t="s">
        <v>111</v>
      </c>
      <c r="C40" t="s">
        <v>38</v>
      </c>
      <c r="D40" t="s">
        <v>33</v>
      </c>
      <c r="E40">
        <v>121.7075</v>
      </c>
      <c r="F40">
        <v>13.9</v>
      </c>
      <c r="G40">
        <v>0.77</v>
      </c>
      <c r="H40">
        <v>1.95</v>
      </c>
      <c r="I40">
        <v>1.7</v>
      </c>
      <c r="J40">
        <v>0.114208</v>
      </c>
      <c r="K40">
        <v>6.3270000000000002E-3</v>
      </c>
      <c r="L40">
        <v>1.6022000000000002E-2</v>
      </c>
      <c r="M40">
        <v>1.3968E-2</v>
      </c>
      <c r="N40">
        <v>12</v>
      </c>
      <c r="O40">
        <v>136</v>
      </c>
      <c r="P40">
        <v>15</v>
      </c>
      <c r="Q40">
        <v>1.3392770000000001</v>
      </c>
      <c r="R40">
        <v>0.17591399999999999</v>
      </c>
      <c r="T40">
        <v>169345</v>
      </c>
      <c r="U40" t="s">
        <v>542</v>
      </c>
      <c r="V40">
        <v>4</v>
      </c>
      <c r="W40">
        <v>2</v>
      </c>
      <c r="X40">
        <v>1</v>
      </c>
      <c r="Y40" s="2" t="s">
        <v>550</v>
      </c>
      <c r="Z40" t="s">
        <v>551</v>
      </c>
      <c r="AA40">
        <v>4</v>
      </c>
      <c r="AB40">
        <v>2</v>
      </c>
      <c r="AC40">
        <v>1</v>
      </c>
      <c r="AD40">
        <f t="shared" si="0"/>
        <v>4</v>
      </c>
      <c r="AE40">
        <f t="shared" si="1"/>
        <v>2</v>
      </c>
      <c r="AF40">
        <f t="shared" si="2"/>
        <v>1</v>
      </c>
    </row>
    <row r="41" spans="1:32" x14ac:dyDescent="0.25">
      <c r="A41" t="s">
        <v>112</v>
      </c>
      <c r="B41" t="s">
        <v>113</v>
      </c>
      <c r="C41" t="s">
        <v>38</v>
      </c>
      <c r="D41" t="s">
        <v>33</v>
      </c>
      <c r="E41">
        <v>175.95410000000001</v>
      </c>
      <c r="F41">
        <v>20.7</v>
      </c>
      <c r="G41">
        <v>0.78</v>
      </c>
      <c r="H41">
        <v>3.02</v>
      </c>
      <c r="I41">
        <v>2.1</v>
      </c>
      <c r="J41">
        <v>0.117644</v>
      </c>
      <c r="K41">
        <v>4.4330000000000003E-3</v>
      </c>
      <c r="L41">
        <v>1.7163999999999999E-2</v>
      </c>
      <c r="M41">
        <v>1.1934999999999999E-2</v>
      </c>
      <c r="N41">
        <v>3</v>
      </c>
      <c r="O41">
        <v>213</v>
      </c>
      <c r="P41">
        <v>18</v>
      </c>
      <c r="Q41">
        <v>1.3298920000000001</v>
      </c>
      <c r="R41">
        <v>0.173097</v>
      </c>
      <c r="T41">
        <v>168398</v>
      </c>
      <c r="U41" t="s">
        <v>542</v>
      </c>
      <c r="V41">
        <v>4</v>
      </c>
      <c r="W41">
        <v>2</v>
      </c>
      <c r="X41">
        <v>1</v>
      </c>
      <c r="Y41" s="2" t="s">
        <v>550</v>
      </c>
      <c r="Z41" t="s">
        <v>551</v>
      </c>
      <c r="AA41">
        <v>4</v>
      </c>
      <c r="AB41">
        <v>2</v>
      </c>
      <c r="AC41">
        <v>1</v>
      </c>
      <c r="AD41">
        <f t="shared" si="0"/>
        <v>4</v>
      </c>
      <c r="AE41">
        <f t="shared" si="1"/>
        <v>2</v>
      </c>
      <c r="AF41">
        <f t="shared" si="2"/>
        <v>1</v>
      </c>
    </row>
    <row r="42" spans="1:32" x14ac:dyDescent="0.25">
      <c r="A42" t="s">
        <v>114</v>
      </c>
      <c r="B42" t="s">
        <v>115</v>
      </c>
      <c r="C42" t="s">
        <v>22</v>
      </c>
      <c r="D42" t="s">
        <v>23</v>
      </c>
      <c r="E42">
        <v>311.83170000000001</v>
      </c>
      <c r="F42">
        <v>30.9</v>
      </c>
      <c r="G42">
        <v>1.48</v>
      </c>
      <c r="H42">
        <v>5.67</v>
      </c>
      <c r="I42">
        <v>4.5</v>
      </c>
      <c r="J42">
        <v>9.9092E-2</v>
      </c>
      <c r="K42">
        <v>4.7460000000000002E-3</v>
      </c>
      <c r="L42">
        <v>1.8183000000000001E-2</v>
      </c>
      <c r="M42">
        <v>1.4430999999999999E-2</v>
      </c>
      <c r="N42">
        <v>4</v>
      </c>
      <c r="O42">
        <v>71</v>
      </c>
      <c r="P42">
        <v>41</v>
      </c>
      <c r="Q42">
        <v>0.37199599999999999</v>
      </c>
      <c r="R42">
        <v>3.5786999999999999E-2</v>
      </c>
      <c r="S42" t="s">
        <v>24</v>
      </c>
      <c r="T42">
        <v>172024</v>
      </c>
      <c r="U42" t="s">
        <v>541</v>
      </c>
      <c r="V42">
        <v>4</v>
      </c>
      <c r="W42">
        <v>3</v>
      </c>
      <c r="X42">
        <v>4</v>
      </c>
      <c r="Y42" s="2" t="s">
        <v>550</v>
      </c>
      <c r="Z42" t="s">
        <v>551</v>
      </c>
      <c r="AA42">
        <v>4</v>
      </c>
      <c r="AB42">
        <v>3</v>
      </c>
      <c r="AC42">
        <v>4</v>
      </c>
      <c r="AD42">
        <f t="shared" si="0"/>
        <v>4</v>
      </c>
      <c r="AE42">
        <f t="shared" si="1"/>
        <v>3</v>
      </c>
      <c r="AF42">
        <f t="shared" si="2"/>
        <v>4</v>
      </c>
    </row>
    <row r="43" spans="1:32" x14ac:dyDescent="0.25">
      <c r="A43" t="s">
        <v>116</v>
      </c>
      <c r="B43" t="s">
        <v>117</v>
      </c>
      <c r="C43" t="s">
        <v>22</v>
      </c>
      <c r="D43" t="s">
        <v>23</v>
      </c>
      <c r="E43">
        <v>721.89869999999996</v>
      </c>
      <c r="F43">
        <v>73.3</v>
      </c>
      <c r="G43">
        <v>2.5499999999999998</v>
      </c>
      <c r="H43">
        <v>13.2</v>
      </c>
      <c r="I43">
        <v>11.3</v>
      </c>
      <c r="J43">
        <v>0.101538</v>
      </c>
      <c r="K43">
        <v>3.532E-3</v>
      </c>
      <c r="L43">
        <v>1.8284999999999999E-2</v>
      </c>
      <c r="M43">
        <v>1.5653E-2</v>
      </c>
      <c r="N43">
        <v>12</v>
      </c>
      <c r="O43">
        <v>318</v>
      </c>
      <c r="P43">
        <v>94</v>
      </c>
      <c r="Q43">
        <v>0.58733999999999997</v>
      </c>
      <c r="R43">
        <v>6.7269999999999996E-2</v>
      </c>
      <c r="S43" t="s">
        <v>24</v>
      </c>
      <c r="T43">
        <v>172025</v>
      </c>
      <c r="U43" t="s">
        <v>541</v>
      </c>
      <c r="V43">
        <v>5</v>
      </c>
      <c r="W43">
        <v>3</v>
      </c>
      <c r="X43">
        <v>5</v>
      </c>
      <c r="Y43" s="2" t="s">
        <v>550</v>
      </c>
      <c r="Z43" t="s">
        <v>551</v>
      </c>
      <c r="AA43">
        <v>5</v>
      </c>
      <c r="AB43">
        <v>3</v>
      </c>
      <c r="AC43">
        <v>5</v>
      </c>
      <c r="AD43">
        <f t="shared" si="0"/>
        <v>5</v>
      </c>
      <c r="AE43">
        <f t="shared" si="1"/>
        <v>3</v>
      </c>
      <c r="AF43">
        <f t="shared" si="2"/>
        <v>5</v>
      </c>
    </row>
    <row r="44" spans="1:32" x14ac:dyDescent="0.25">
      <c r="A44" t="s">
        <v>118</v>
      </c>
      <c r="B44" t="s">
        <v>119</v>
      </c>
      <c r="C44" t="s">
        <v>120</v>
      </c>
      <c r="D44" t="s">
        <v>33</v>
      </c>
      <c r="E44">
        <v>239.50290000000001</v>
      </c>
      <c r="F44">
        <v>0</v>
      </c>
      <c r="G44">
        <v>2.93</v>
      </c>
      <c r="H44">
        <v>21.8</v>
      </c>
      <c r="I44">
        <v>0</v>
      </c>
      <c r="J44">
        <v>0</v>
      </c>
      <c r="K44">
        <v>1.2234E-2</v>
      </c>
      <c r="L44">
        <v>9.1022000000000006E-2</v>
      </c>
      <c r="M44">
        <v>0</v>
      </c>
      <c r="N44">
        <v>76</v>
      </c>
      <c r="O44">
        <v>359</v>
      </c>
      <c r="P44">
        <v>22</v>
      </c>
      <c r="Q44">
        <v>1.9081189999999999</v>
      </c>
      <c r="R44">
        <v>0.32113399999999998</v>
      </c>
      <c r="T44">
        <v>167816</v>
      </c>
      <c r="U44" t="s">
        <v>541</v>
      </c>
      <c r="V44">
        <v>2</v>
      </c>
      <c r="W44">
        <v>3</v>
      </c>
      <c r="X44">
        <v>3</v>
      </c>
      <c r="Y44" s="2" t="s">
        <v>550</v>
      </c>
      <c r="Z44" t="s">
        <v>551</v>
      </c>
      <c r="AA44">
        <v>2</v>
      </c>
      <c r="AB44">
        <v>3</v>
      </c>
      <c r="AC44">
        <v>3</v>
      </c>
      <c r="AD44">
        <f t="shared" si="0"/>
        <v>2</v>
      </c>
      <c r="AE44">
        <f t="shared" si="1"/>
        <v>3</v>
      </c>
      <c r="AF44">
        <f t="shared" si="2"/>
        <v>3</v>
      </c>
    </row>
    <row r="45" spans="1:32" x14ac:dyDescent="0.25">
      <c r="A45" t="s">
        <v>121</v>
      </c>
      <c r="B45" t="s">
        <v>122</v>
      </c>
      <c r="C45" t="s">
        <v>123</v>
      </c>
      <c r="D45" t="s">
        <v>33</v>
      </c>
      <c r="E45">
        <v>1195.5143</v>
      </c>
      <c r="F45">
        <v>21</v>
      </c>
      <c r="G45">
        <v>52.5</v>
      </c>
      <c r="H45">
        <v>21</v>
      </c>
      <c r="I45">
        <v>10.9</v>
      </c>
      <c r="J45">
        <v>1.7565999999999998E-2</v>
      </c>
      <c r="K45">
        <v>4.3914000000000002E-2</v>
      </c>
      <c r="L45">
        <v>1.7565999999999998E-2</v>
      </c>
      <c r="M45">
        <v>9.1170000000000001E-3</v>
      </c>
      <c r="N45">
        <v>3</v>
      </c>
      <c r="O45">
        <v>713</v>
      </c>
      <c r="P45">
        <v>279</v>
      </c>
      <c r="Q45">
        <v>0.83227799999999996</v>
      </c>
      <c r="R45">
        <v>0.13806599999999999</v>
      </c>
      <c r="T45">
        <v>170158</v>
      </c>
      <c r="U45" t="s">
        <v>541</v>
      </c>
      <c r="V45">
        <v>5</v>
      </c>
      <c r="W45">
        <v>2</v>
      </c>
      <c r="X45">
        <v>4</v>
      </c>
      <c r="Y45" s="2" t="s">
        <v>550</v>
      </c>
      <c r="Z45" t="s">
        <v>551</v>
      </c>
      <c r="AA45">
        <v>5</v>
      </c>
      <c r="AB45">
        <v>2</v>
      </c>
      <c r="AC45">
        <v>4</v>
      </c>
      <c r="AD45">
        <f t="shared" si="0"/>
        <v>5</v>
      </c>
      <c r="AE45">
        <f t="shared" si="1"/>
        <v>2</v>
      </c>
      <c r="AF45">
        <f t="shared" si="2"/>
        <v>4</v>
      </c>
    </row>
    <row r="46" spans="1:32" x14ac:dyDescent="0.25">
      <c r="A46" t="s">
        <v>124</v>
      </c>
      <c r="B46" t="s">
        <v>125</v>
      </c>
      <c r="C46" t="s">
        <v>126</v>
      </c>
      <c r="D46" t="s">
        <v>33</v>
      </c>
      <c r="E46">
        <v>104.34229999999999</v>
      </c>
      <c r="F46">
        <v>9.84</v>
      </c>
      <c r="G46">
        <v>1.07</v>
      </c>
      <c r="H46">
        <v>0.84</v>
      </c>
      <c r="I46">
        <v>3.2</v>
      </c>
      <c r="J46">
        <v>9.4305E-2</v>
      </c>
      <c r="K46">
        <v>1.0255E-2</v>
      </c>
      <c r="L46">
        <v>8.0499999999999999E-3</v>
      </c>
      <c r="M46">
        <v>3.0668000000000001E-2</v>
      </c>
      <c r="N46">
        <v>6</v>
      </c>
      <c r="O46">
        <v>75</v>
      </c>
      <c r="P46">
        <v>4</v>
      </c>
      <c r="Q46">
        <v>0.81462599999999996</v>
      </c>
      <c r="R46">
        <v>0.103884</v>
      </c>
      <c r="T46">
        <v>168982</v>
      </c>
      <c r="U46" t="s">
        <v>542</v>
      </c>
      <c r="V46">
        <v>5</v>
      </c>
      <c r="W46">
        <v>3</v>
      </c>
      <c r="X46">
        <v>1</v>
      </c>
      <c r="Y46" s="2" t="s">
        <v>550</v>
      </c>
      <c r="Z46" t="s">
        <v>551</v>
      </c>
      <c r="AA46">
        <v>5</v>
      </c>
      <c r="AB46">
        <v>3</v>
      </c>
      <c r="AC46">
        <v>1</v>
      </c>
      <c r="AD46">
        <f t="shared" si="0"/>
        <v>5</v>
      </c>
      <c r="AE46">
        <f t="shared" si="1"/>
        <v>3</v>
      </c>
      <c r="AF46">
        <f t="shared" si="2"/>
        <v>1</v>
      </c>
    </row>
    <row r="47" spans="1:32" x14ac:dyDescent="0.25">
      <c r="A47" t="s">
        <v>127</v>
      </c>
      <c r="B47" t="s">
        <v>128</v>
      </c>
      <c r="C47" t="s">
        <v>126</v>
      </c>
      <c r="D47" t="s">
        <v>33</v>
      </c>
      <c r="E47">
        <v>88.455100000000002</v>
      </c>
      <c r="F47">
        <v>10.4</v>
      </c>
      <c r="G47">
        <v>0</v>
      </c>
      <c r="H47">
        <v>0.7</v>
      </c>
      <c r="J47">
        <v>0.117574</v>
      </c>
      <c r="K47">
        <v>0</v>
      </c>
      <c r="L47">
        <v>7.9139999999999992E-3</v>
      </c>
      <c r="M47">
        <v>0</v>
      </c>
      <c r="Q47">
        <v>0</v>
      </c>
      <c r="R47">
        <v>-3.2502000000000003E-2</v>
      </c>
      <c r="T47">
        <v>169799</v>
      </c>
      <c r="U47" t="s">
        <v>542</v>
      </c>
      <c r="V47">
        <v>5</v>
      </c>
      <c r="W47">
        <v>1</v>
      </c>
      <c r="X47">
        <v>1</v>
      </c>
      <c r="Y47" s="3" t="s">
        <v>552</v>
      </c>
      <c r="Z47" t="s">
        <v>562</v>
      </c>
      <c r="AA47">
        <v>5</v>
      </c>
      <c r="AB47">
        <v>2</v>
      </c>
      <c r="AC47">
        <v>1</v>
      </c>
      <c r="AD47">
        <f t="shared" si="0"/>
        <v>5</v>
      </c>
      <c r="AE47">
        <f t="shared" si="1"/>
        <v>2</v>
      </c>
      <c r="AF47">
        <f t="shared" si="2"/>
        <v>1</v>
      </c>
    </row>
    <row r="48" spans="1:32" x14ac:dyDescent="0.25">
      <c r="A48" t="s">
        <v>129</v>
      </c>
      <c r="B48" t="s">
        <v>130</v>
      </c>
      <c r="C48" t="s">
        <v>126</v>
      </c>
      <c r="D48" t="s">
        <v>33</v>
      </c>
      <c r="E48">
        <v>121.9465</v>
      </c>
      <c r="F48">
        <v>12.3</v>
      </c>
      <c r="G48">
        <v>0.76</v>
      </c>
      <c r="H48">
        <v>1.22</v>
      </c>
      <c r="I48">
        <v>2.6</v>
      </c>
      <c r="J48">
        <v>0.100864</v>
      </c>
      <c r="K48">
        <v>6.2319999999999997E-3</v>
      </c>
      <c r="L48">
        <v>1.0004000000000001E-2</v>
      </c>
      <c r="M48">
        <v>2.1321E-2</v>
      </c>
      <c r="N48">
        <v>6</v>
      </c>
      <c r="O48">
        <v>75</v>
      </c>
      <c r="P48">
        <v>7</v>
      </c>
      <c r="Q48">
        <v>0.72162800000000005</v>
      </c>
      <c r="R48">
        <v>8.6243E-2</v>
      </c>
      <c r="T48">
        <v>167640</v>
      </c>
      <c r="U48" t="s">
        <v>542</v>
      </c>
      <c r="V48">
        <v>5</v>
      </c>
      <c r="W48">
        <v>2</v>
      </c>
      <c r="X48">
        <v>1</v>
      </c>
      <c r="Y48" s="2" t="s">
        <v>550</v>
      </c>
      <c r="Z48" t="s">
        <v>551</v>
      </c>
      <c r="AA48">
        <v>5</v>
      </c>
      <c r="AB48">
        <v>2</v>
      </c>
      <c r="AC48">
        <v>1</v>
      </c>
      <c r="AD48">
        <f t="shared" si="0"/>
        <v>5</v>
      </c>
      <c r="AE48">
        <f t="shared" si="1"/>
        <v>2</v>
      </c>
      <c r="AF48">
        <f t="shared" si="2"/>
        <v>1</v>
      </c>
    </row>
    <row r="49" spans="1:32" x14ac:dyDescent="0.25">
      <c r="A49" t="s">
        <v>131</v>
      </c>
      <c r="B49" t="s">
        <v>132</v>
      </c>
      <c r="C49" t="s">
        <v>126</v>
      </c>
      <c r="D49" t="s">
        <v>33</v>
      </c>
      <c r="E49">
        <v>292.2715</v>
      </c>
      <c r="F49">
        <v>0</v>
      </c>
      <c r="G49">
        <v>1.8</v>
      </c>
      <c r="H49">
        <v>32.5</v>
      </c>
      <c r="J49">
        <v>0</v>
      </c>
      <c r="K49">
        <v>6.1590000000000004E-3</v>
      </c>
      <c r="L49">
        <v>0.11119800000000001</v>
      </c>
      <c r="M49">
        <v>0</v>
      </c>
      <c r="N49">
        <v>41</v>
      </c>
      <c r="O49">
        <v>376</v>
      </c>
      <c r="P49">
        <v>27</v>
      </c>
      <c r="Q49">
        <v>1.5191349999999999</v>
      </c>
      <c r="R49">
        <v>0.26832899999999998</v>
      </c>
      <c r="T49">
        <v>167651</v>
      </c>
      <c r="U49" t="s">
        <v>541</v>
      </c>
      <c r="V49">
        <v>4</v>
      </c>
      <c r="W49">
        <v>4</v>
      </c>
      <c r="X49">
        <v>3</v>
      </c>
      <c r="Y49" s="3" t="s">
        <v>552</v>
      </c>
      <c r="Z49" t="s">
        <v>563</v>
      </c>
      <c r="AA49">
        <v>3</v>
      </c>
      <c r="AB49">
        <v>4</v>
      </c>
      <c r="AC49">
        <v>3</v>
      </c>
      <c r="AD49">
        <f t="shared" si="0"/>
        <v>3</v>
      </c>
      <c r="AE49">
        <f t="shared" si="1"/>
        <v>4</v>
      </c>
      <c r="AF49">
        <f t="shared" si="2"/>
        <v>3</v>
      </c>
    </row>
    <row r="50" spans="1:32" x14ac:dyDescent="0.25">
      <c r="A50" t="s">
        <v>133</v>
      </c>
      <c r="B50" t="s">
        <v>134</v>
      </c>
      <c r="C50" t="s">
        <v>126</v>
      </c>
      <c r="D50" t="s">
        <v>33</v>
      </c>
      <c r="E50">
        <v>194.51429999999999</v>
      </c>
      <c r="F50">
        <v>0</v>
      </c>
      <c r="G50">
        <v>1.3</v>
      </c>
      <c r="H50">
        <v>21.4</v>
      </c>
      <c r="J50">
        <v>0</v>
      </c>
      <c r="K50">
        <v>6.6829999999999997E-3</v>
      </c>
      <c r="L50">
        <v>0.110018</v>
      </c>
      <c r="M50">
        <v>0</v>
      </c>
      <c r="N50">
        <v>43</v>
      </c>
      <c r="O50">
        <v>355</v>
      </c>
      <c r="P50">
        <v>22</v>
      </c>
      <c r="Q50">
        <v>2.159224</v>
      </c>
      <c r="R50">
        <v>0.36406100000000002</v>
      </c>
      <c r="T50">
        <v>167649</v>
      </c>
      <c r="U50" t="s">
        <v>541</v>
      </c>
      <c r="V50">
        <v>4</v>
      </c>
      <c r="W50">
        <v>4</v>
      </c>
      <c r="X50">
        <v>3</v>
      </c>
      <c r="Y50" s="3" t="s">
        <v>552</v>
      </c>
      <c r="Z50" t="s">
        <v>563</v>
      </c>
      <c r="AA50">
        <v>3</v>
      </c>
      <c r="AB50">
        <v>4</v>
      </c>
      <c r="AC50">
        <v>3</v>
      </c>
      <c r="AD50">
        <f t="shared" si="0"/>
        <v>3</v>
      </c>
      <c r="AE50">
        <f t="shared" si="1"/>
        <v>4</v>
      </c>
      <c r="AF50">
        <f t="shared" si="2"/>
        <v>3</v>
      </c>
    </row>
    <row r="51" spans="1:32" x14ac:dyDescent="0.25">
      <c r="A51" t="s">
        <v>135</v>
      </c>
      <c r="B51" t="s">
        <v>136</v>
      </c>
      <c r="C51" t="s">
        <v>126</v>
      </c>
      <c r="D51" t="s">
        <v>33</v>
      </c>
      <c r="E51">
        <v>243.41489999999999</v>
      </c>
      <c r="F51">
        <v>0</v>
      </c>
      <c r="G51">
        <v>3.37</v>
      </c>
      <c r="H51">
        <v>22.6</v>
      </c>
      <c r="I51">
        <v>0</v>
      </c>
      <c r="J51">
        <v>0</v>
      </c>
      <c r="K51">
        <v>1.3845E-2</v>
      </c>
      <c r="L51">
        <v>9.2845999999999998E-2</v>
      </c>
      <c r="M51">
        <v>0</v>
      </c>
      <c r="N51">
        <v>52</v>
      </c>
      <c r="O51">
        <v>320</v>
      </c>
      <c r="P51">
        <v>26</v>
      </c>
      <c r="Q51">
        <v>1.635068</v>
      </c>
      <c r="R51">
        <v>0.28121800000000002</v>
      </c>
      <c r="T51">
        <v>168050</v>
      </c>
      <c r="U51" t="s">
        <v>541</v>
      </c>
      <c r="V51">
        <v>4</v>
      </c>
      <c r="W51">
        <v>3</v>
      </c>
      <c r="X51">
        <v>3</v>
      </c>
      <c r="Y51" s="2" t="s">
        <v>550</v>
      </c>
      <c r="Z51" t="s">
        <v>551</v>
      </c>
      <c r="AA51">
        <v>4</v>
      </c>
      <c r="AB51">
        <v>3</v>
      </c>
      <c r="AC51">
        <v>3</v>
      </c>
      <c r="AD51">
        <f t="shared" si="0"/>
        <v>4</v>
      </c>
      <c r="AE51">
        <f t="shared" si="1"/>
        <v>3</v>
      </c>
      <c r="AF51">
        <f t="shared" si="2"/>
        <v>3</v>
      </c>
    </row>
    <row r="52" spans="1:32" x14ac:dyDescent="0.25">
      <c r="A52" t="s">
        <v>137</v>
      </c>
      <c r="B52" t="s">
        <v>138</v>
      </c>
      <c r="C52" t="s">
        <v>126</v>
      </c>
      <c r="D52" t="s">
        <v>33</v>
      </c>
      <c r="E52">
        <v>317.69979999999998</v>
      </c>
      <c r="F52">
        <v>0</v>
      </c>
      <c r="G52">
        <v>4.82</v>
      </c>
      <c r="H52">
        <v>28.8</v>
      </c>
      <c r="I52">
        <v>0</v>
      </c>
      <c r="J52">
        <v>0</v>
      </c>
      <c r="K52">
        <v>1.5172E-2</v>
      </c>
      <c r="L52">
        <v>9.0651999999999996E-2</v>
      </c>
      <c r="M52">
        <v>0</v>
      </c>
      <c r="N52">
        <v>45</v>
      </c>
      <c r="O52">
        <v>245</v>
      </c>
      <c r="P52">
        <v>24</v>
      </c>
      <c r="Q52">
        <v>0.98835399999999995</v>
      </c>
      <c r="R52">
        <v>0.18377399999999999</v>
      </c>
      <c r="T52">
        <v>169822</v>
      </c>
      <c r="U52" t="s">
        <v>541</v>
      </c>
      <c r="V52">
        <v>4</v>
      </c>
      <c r="W52">
        <v>3</v>
      </c>
      <c r="X52">
        <v>3</v>
      </c>
      <c r="Y52" s="2" t="s">
        <v>550</v>
      </c>
      <c r="Z52" t="s">
        <v>551</v>
      </c>
      <c r="AA52">
        <v>4</v>
      </c>
      <c r="AB52">
        <v>3</v>
      </c>
      <c r="AC52">
        <v>3</v>
      </c>
      <c r="AD52">
        <f t="shared" si="0"/>
        <v>4</v>
      </c>
      <c r="AE52">
        <f t="shared" si="1"/>
        <v>3</v>
      </c>
      <c r="AF52">
        <f t="shared" si="2"/>
        <v>3</v>
      </c>
    </row>
    <row r="53" spans="1:32" x14ac:dyDescent="0.25">
      <c r="A53" t="s">
        <v>139</v>
      </c>
      <c r="B53" t="s">
        <v>140</v>
      </c>
      <c r="C53" t="s">
        <v>126</v>
      </c>
      <c r="D53" t="s">
        <v>23</v>
      </c>
      <c r="E53">
        <v>773.1893</v>
      </c>
      <c r="F53">
        <v>75.2</v>
      </c>
      <c r="G53">
        <v>5.18</v>
      </c>
      <c r="H53">
        <v>9.7200000000000006</v>
      </c>
      <c r="I53">
        <v>16.600000000000001</v>
      </c>
      <c r="J53">
        <v>9.7258999999999998E-2</v>
      </c>
      <c r="K53">
        <v>6.7000000000000002E-3</v>
      </c>
      <c r="L53">
        <v>1.2571000000000001E-2</v>
      </c>
      <c r="M53">
        <v>2.147E-2</v>
      </c>
      <c r="N53">
        <v>4</v>
      </c>
      <c r="O53">
        <v>532</v>
      </c>
      <c r="P53">
        <v>123</v>
      </c>
      <c r="Q53">
        <v>0.85231400000000002</v>
      </c>
      <c r="R53">
        <v>0.10796500000000001</v>
      </c>
      <c r="S53" t="s">
        <v>24</v>
      </c>
      <c r="T53">
        <v>168037</v>
      </c>
      <c r="U53" t="s">
        <v>541</v>
      </c>
      <c r="V53">
        <v>5</v>
      </c>
      <c r="W53">
        <v>3</v>
      </c>
      <c r="X53">
        <v>4</v>
      </c>
      <c r="Y53" s="3" t="s">
        <v>552</v>
      </c>
      <c r="Z53" t="s">
        <v>564</v>
      </c>
      <c r="AA53">
        <v>4</v>
      </c>
      <c r="AB53">
        <v>3</v>
      </c>
      <c r="AC53">
        <v>4</v>
      </c>
      <c r="AD53">
        <f t="shared" si="0"/>
        <v>4</v>
      </c>
      <c r="AE53">
        <f t="shared" si="1"/>
        <v>3</v>
      </c>
      <c r="AF53">
        <f t="shared" si="2"/>
        <v>4</v>
      </c>
    </row>
    <row r="54" spans="1:32" x14ac:dyDescent="0.25">
      <c r="A54" t="s">
        <v>141</v>
      </c>
      <c r="B54" t="s">
        <v>142</v>
      </c>
      <c r="C54" t="s">
        <v>126</v>
      </c>
      <c r="D54" t="s">
        <v>33</v>
      </c>
      <c r="E54">
        <v>110.44929999999999</v>
      </c>
      <c r="F54">
        <v>12.3</v>
      </c>
      <c r="G54">
        <v>0.2</v>
      </c>
      <c r="H54">
        <v>1.1000000000000001</v>
      </c>
      <c r="I54">
        <v>6.7</v>
      </c>
      <c r="J54">
        <v>0.111363</v>
      </c>
      <c r="K54">
        <v>1.8109999999999999E-3</v>
      </c>
      <c r="L54">
        <v>9.9590000000000008E-3</v>
      </c>
      <c r="M54">
        <v>6.0661E-2</v>
      </c>
      <c r="N54">
        <v>26</v>
      </c>
      <c r="O54">
        <v>140</v>
      </c>
      <c r="Q54">
        <v>1.5029520000000001</v>
      </c>
      <c r="R54">
        <v>0.205071</v>
      </c>
      <c r="T54">
        <v>169804</v>
      </c>
      <c r="U54" t="s">
        <v>542</v>
      </c>
      <c r="V54">
        <v>5</v>
      </c>
      <c r="W54">
        <v>3</v>
      </c>
      <c r="X54">
        <v>1</v>
      </c>
      <c r="Y54" s="2" t="s">
        <v>550</v>
      </c>
      <c r="Z54" t="s">
        <v>551</v>
      </c>
      <c r="AA54">
        <v>5</v>
      </c>
      <c r="AB54">
        <v>3</v>
      </c>
      <c r="AC54">
        <v>1</v>
      </c>
      <c r="AD54">
        <f t="shared" si="0"/>
        <v>5</v>
      </c>
      <c r="AE54">
        <f t="shared" si="1"/>
        <v>3</v>
      </c>
      <c r="AF54">
        <f t="shared" si="2"/>
        <v>1</v>
      </c>
    </row>
    <row r="55" spans="1:32" x14ac:dyDescent="0.25">
      <c r="A55" t="s">
        <v>143</v>
      </c>
      <c r="B55" t="s">
        <v>144</v>
      </c>
      <c r="C55" t="s">
        <v>126</v>
      </c>
      <c r="D55" t="s">
        <v>33</v>
      </c>
      <c r="E55">
        <v>109.9713</v>
      </c>
      <c r="F55">
        <v>12.2</v>
      </c>
      <c r="G55">
        <v>0.5</v>
      </c>
      <c r="H55">
        <v>0.4</v>
      </c>
      <c r="J55">
        <v>0.11093799999999999</v>
      </c>
      <c r="K55">
        <v>4.5469999999999998E-3</v>
      </c>
      <c r="L55">
        <v>3.637E-3</v>
      </c>
      <c r="M55">
        <v>0</v>
      </c>
      <c r="Q55">
        <v>0</v>
      </c>
      <c r="R55">
        <v>-3.0872E-2</v>
      </c>
      <c r="T55">
        <v>169805</v>
      </c>
      <c r="U55" t="s">
        <v>542</v>
      </c>
      <c r="V55">
        <v>5</v>
      </c>
      <c r="W55">
        <v>1</v>
      </c>
      <c r="X55">
        <v>1</v>
      </c>
      <c r="Y55" s="3" t="s">
        <v>552</v>
      </c>
      <c r="Z55" t="s">
        <v>562</v>
      </c>
      <c r="AA55">
        <v>5</v>
      </c>
      <c r="AB55">
        <v>2</v>
      </c>
      <c r="AC55">
        <v>1</v>
      </c>
      <c r="AD55">
        <f t="shared" si="0"/>
        <v>5</v>
      </c>
      <c r="AE55">
        <f t="shared" si="1"/>
        <v>2</v>
      </c>
      <c r="AF55">
        <f t="shared" si="2"/>
        <v>1</v>
      </c>
    </row>
    <row r="56" spans="1:32" x14ac:dyDescent="0.25">
      <c r="A56" t="s">
        <v>145</v>
      </c>
      <c r="B56" t="s">
        <v>146</v>
      </c>
      <c r="C56" t="s">
        <v>126</v>
      </c>
      <c r="D56" t="s">
        <v>33</v>
      </c>
      <c r="E56">
        <v>231.6788</v>
      </c>
      <c r="F56">
        <v>0</v>
      </c>
      <c r="G56">
        <v>2.66</v>
      </c>
      <c r="H56">
        <v>21.5</v>
      </c>
      <c r="J56">
        <v>0</v>
      </c>
      <c r="K56">
        <v>1.1481E-2</v>
      </c>
      <c r="L56">
        <v>9.2800999999999995E-2</v>
      </c>
      <c r="M56">
        <v>0</v>
      </c>
      <c r="Q56">
        <v>0</v>
      </c>
      <c r="R56">
        <v>3.5351E-2</v>
      </c>
      <c r="T56">
        <v>167622</v>
      </c>
      <c r="U56" t="s">
        <v>541</v>
      </c>
      <c r="V56">
        <v>4</v>
      </c>
      <c r="W56">
        <v>3</v>
      </c>
      <c r="X56">
        <v>2</v>
      </c>
      <c r="Y56" s="2" t="s">
        <v>550</v>
      </c>
      <c r="Z56" t="s">
        <v>551</v>
      </c>
      <c r="AA56">
        <v>4</v>
      </c>
      <c r="AB56">
        <v>3</v>
      </c>
      <c r="AC56">
        <v>2</v>
      </c>
      <c r="AD56">
        <f t="shared" si="0"/>
        <v>4</v>
      </c>
      <c r="AE56">
        <f t="shared" si="1"/>
        <v>3</v>
      </c>
      <c r="AF56">
        <f t="shared" si="2"/>
        <v>2</v>
      </c>
    </row>
    <row r="57" spans="1:32" x14ac:dyDescent="0.25">
      <c r="A57" t="s">
        <v>147</v>
      </c>
      <c r="B57" t="s">
        <v>148</v>
      </c>
      <c r="C57" t="s">
        <v>126</v>
      </c>
      <c r="D57" t="s">
        <v>33</v>
      </c>
      <c r="E57">
        <v>285.92540000000002</v>
      </c>
      <c r="F57">
        <v>0</v>
      </c>
      <c r="G57">
        <v>2.8</v>
      </c>
      <c r="H57">
        <v>29.4</v>
      </c>
      <c r="J57">
        <v>0</v>
      </c>
      <c r="K57">
        <v>9.7929999999999996E-3</v>
      </c>
      <c r="L57">
        <v>0.102824</v>
      </c>
      <c r="M57">
        <v>0</v>
      </c>
      <c r="N57">
        <v>56</v>
      </c>
      <c r="O57">
        <v>379</v>
      </c>
      <c r="P57">
        <v>26</v>
      </c>
      <c r="Q57">
        <v>1.612309</v>
      </c>
      <c r="R57">
        <v>0.280283</v>
      </c>
      <c r="T57">
        <v>168055</v>
      </c>
      <c r="U57" t="s">
        <v>541</v>
      </c>
      <c r="V57">
        <v>4</v>
      </c>
      <c r="W57">
        <v>4</v>
      </c>
      <c r="X57">
        <v>3</v>
      </c>
      <c r="Y57" s="2" t="s">
        <v>550</v>
      </c>
      <c r="Z57" t="s">
        <v>551</v>
      </c>
      <c r="AA57">
        <v>4</v>
      </c>
      <c r="AB57">
        <v>4</v>
      </c>
      <c r="AC57">
        <v>3</v>
      </c>
      <c r="AD57">
        <f t="shared" si="0"/>
        <v>4</v>
      </c>
      <c r="AE57">
        <f t="shared" si="1"/>
        <v>4</v>
      </c>
      <c r="AF57">
        <f t="shared" si="2"/>
        <v>3</v>
      </c>
    </row>
    <row r="58" spans="1:32" x14ac:dyDescent="0.25">
      <c r="A58" t="s">
        <v>149</v>
      </c>
      <c r="B58" t="s">
        <v>150</v>
      </c>
      <c r="C58" t="s">
        <v>126</v>
      </c>
      <c r="D58" t="s">
        <v>33</v>
      </c>
      <c r="E58">
        <v>193.79730000000001</v>
      </c>
      <c r="F58">
        <v>0</v>
      </c>
      <c r="G58">
        <v>1.8</v>
      </c>
      <c r="H58">
        <v>20.100000000000001</v>
      </c>
      <c r="I58">
        <v>0</v>
      </c>
      <c r="J58">
        <v>0</v>
      </c>
      <c r="K58">
        <v>9.2879999999999994E-3</v>
      </c>
      <c r="L58">
        <v>0.103717</v>
      </c>
      <c r="M58">
        <v>0</v>
      </c>
      <c r="N58">
        <v>49</v>
      </c>
      <c r="O58">
        <v>328</v>
      </c>
      <c r="P58">
        <v>22</v>
      </c>
      <c r="Q58">
        <v>2.0588519999999999</v>
      </c>
      <c r="R58">
        <v>0.34745100000000001</v>
      </c>
      <c r="T58">
        <v>168056</v>
      </c>
      <c r="U58" t="s">
        <v>541</v>
      </c>
      <c r="V58">
        <v>4</v>
      </c>
      <c r="W58">
        <v>4</v>
      </c>
      <c r="X58">
        <v>3</v>
      </c>
      <c r="Y58" s="2" t="s">
        <v>550</v>
      </c>
      <c r="Z58" t="s">
        <v>551</v>
      </c>
      <c r="AA58">
        <v>4</v>
      </c>
      <c r="AB58">
        <v>4</v>
      </c>
      <c r="AC58">
        <v>3</v>
      </c>
      <c r="AD58">
        <f t="shared" si="0"/>
        <v>4</v>
      </c>
      <c r="AE58">
        <f t="shared" si="1"/>
        <v>4</v>
      </c>
      <c r="AF58">
        <f t="shared" si="2"/>
        <v>3</v>
      </c>
    </row>
    <row r="59" spans="1:32" x14ac:dyDescent="0.25">
      <c r="A59" t="s">
        <v>151</v>
      </c>
      <c r="B59" t="s">
        <v>152</v>
      </c>
      <c r="C59" t="s">
        <v>126</v>
      </c>
      <c r="D59" t="s">
        <v>33</v>
      </c>
      <c r="E59">
        <v>295.94459999999998</v>
      </c>
      <c r="F59">
        <v>0</v>
      </c>
      <c r="G59">
        <v>2.85</v>
      </c>
      <c r="H59">
        <v>30.6</v>
      </c>
      <c r="I59">
        <v>0</v>
      </c>
      <c r="J59">
        <v>0</v>
      </c>
      <c r="K59">
        <v>9.6299999999999997E-3</v>
      </c>
      <c r="L59">
        <v>0.103398</v>
      </c>
      <c r="M59">
        <v>0</v>
      </c>
      <c r="N59">
        <v>50</v>
      </c>
      <c r="O59">
        <v>369</v>
      </c>
      <c r="P59">
        <v>26</v>
      </c>
      <c r="Q59">
        <v>1.50366</v>
      </c>
      <c r="R59">
        <v>0.26414599999999999</v>
      </c>
      <c r="T59">
        <v>168057</v>
      </c>
      <c r="U59" t="s">
        <v>541</v>
      </c>
      <c r="V59">
        <v>4</v>
      </c>
      <c r="W59">
        <v>4</v>
      </c>
      <c r="X59">
        <v>3</v>
      </c>
      <c r="Y59" s="2" t="s">
        <v>550</v>
      </c>
      <c r="Z59" t="s">
        <v>551</v>
      </c>
      <c r="AA59">
        <v>4</v>
      </c>
      <c r="AB59">
        <v>4</v>
      </c>
      <c r="AC59">
        <v>3</v>
      </c>
      <c r="AD59">
        <f t="shared" si="0"/>
        <v>4</v>
      </c>
      <c r="AE59">
        <f t="shared" si="1"/>
        <v>4</v>
      </c>
      <c r="AF59">
        <f t="shared" si="2"/>
        <v>3</v>
      </c>
    </row>
    <row r="60" spans="1:32" x14ac:dyDescent="0.25">
      <c r="A60" t="s">
        <v>153</v>
      </c>
      <c r="B60" t="s">
        <v>154</v>
      </c>
      <c r="C60" t="s">
        <v>126</v>
      </c>
      <c r="D60" t="s">
        <v>33</v>
      </c>
      <c r="E60">
        <v>195.7533</v>
      </c>
      <c r="F60">
        <v>0</v>
      </c>
      <c r="G60">
        <v>2.1</v>
      </c>
      <c r="H60">
        <v>19.7</v>
      </c>
      <c r="I60">
        <v>0</v>
      </c>
      <c r="J60">
        <v>0</v>
      </c>
      <c r="K60">
        <v>1.0728E-2</v>
      </c>
      <c r="L60">
        <v>0.100637</v>
      </c>
      <c r="M60">
        <v>0</v>
      </c>
      <c r="N60">
        <v>43</v>
      </c>
      <c r="O60">
        <v>367</v>
      </c>
      <c r="P60">
        <v>24</v>
      </c>
      <c r="Q60">
        <v>2.217076</v>
      </c>
      <c r="R60">
        <v>0.37046600000000002</v>
      </c>
      <c r="T60">
        <v>167652</v>
      </c>
      <c r="U60" t="s">
        <v>541</v>
      </c>
      <c r="V60">
        <v>4</v>
      </c>
      <c r="W60">
        <v>4</v>
      </c>
      <c r="X60">
        <v>2</v>
      </c>
      <c r="Y60" s="2" t="s">
        <v>550</v>
      </c>
      <c r="Z60" t="s">
        <v>551</v>
      </c>
      <c r="AA60">
        <v>4</v>
      </c>
      <c r="AB60">
        <v>4</v>
      </c>
      <c r="AC60">
        <v>2</v>
      </c>
      <c r="AD60">
        <f t="shared" si="0"/>
        <v>4</v>
      </c>
      <c r="AE60">
        <f t="shared" si="1"/>
        <v>4</v>
      </c>
      <c r="AF60">
        <f t="shared" si="2"/>
        <v>2</v>
      </c>
    </row>
    <row r="61" spans="1:32" x14ac:dyDescent="0.25">
      <c r="A61" t="s">
        <v>155</v>
      </c>
      <c r="B61" t="s">
        <v>156</v>
      </c>
      <c r="C61" t="s">
        <v>126</v>
      </c>
      <c r="D61" t="s">
        <v>28</v>
      </c>
      <c r="E61">
        <v>226.0497</v>
      </c>
      <c r="F61">
        <v>0</v>
      </c>
      <c r="G61">
        <v>2.73</v>
      </c>
      <c r="H61">
        <v>22.1</v>
      </c>
      <c r="I61">
        <v>0</v>
      </c>
      <c r="J61">
        <v>0</v>
      </c>
      <c r="K61">
        <v>1.2076999999999999E-2</v>
      </c>
      <c r="L61">
        <v>9.7766000000000006E-2</v>
      </c>
      <c r="M61">
        <v>0</v>
      </c>
      <c r="N61">
        <v>86</v>
      </c>
      <c r="O61">
        <v>501</v>
      </c>
      <c r="P61">
        <v>29</v>
      </c>
      <c r="Q61">
        <v>2.7250640000000002</v>
      </c>
      <c r="R61">
        <v>0.44599699999999998</v>
      </c>
      <c r="S61" t="s">
        <v>29</v>
      </c>
      <c r="T61">
        <v>169812</v>
      </c>
      <c r="U61" t="s">
        <v>541</v>
      </c>
      <c r="V61">
        <v>5</v>
      </c>
      <c r="W61">
        <v>3</v>
      </c>
      <c r="X61">
        <v>3</v>
      </c>
      <c r="Y61" s="2" t="s">
        <v>550</v>
      </c>
      <c r="Z61" t="s">
        <v>551</v>
      </c>
      <c r="AA61">
        <v>5</v>
      </c>
      <c r="AB61">
        <v>3</v>
      </c>
      <c r="AC61">
        <v>3</v>
      </c>
      <c r="AD61">
        <f t="shared" si="0"/>
        <v>5</v>
      </c>
      <c r="AE61">
        <f t="shared" si="1"/>
        <v>3</v>
      </c>
      <c r="AF61">
        <f t="shared" si="2"/>
        <v>3</v>
      </c>
    </row>
    <row r="62" spans="1:32" x14ac:dyDescent="0.25">
      <c r="A62" t="s">
        <v>157</v>
      </c>
      <c r="B62" t="s">
        <v>158</v>
      </c>
      <c r="C62" t="s">
        <v>126</v>
      </c>
      <c r="D62" t="s">
        <v>28</v>
      </c>
      <c r="E62">
        <v>231.6788</v>
      </c>
      <c r="F62">
        <v>1.81</v>
      </c>
      <c r="G62">
        <v>2.92</v>
      </c>
      <c r="H62">
        <v>20.5</v>
      </c>
      <c r="I62">
        <v>0</v>
      </c>
      <c r="J62">
        <v>7.8130000000000005E-3</v>
      </c>
      <c r="K62">
        <v>1.2604000000000001E-2</v>
      </c>
      <c r="L62">
        <v>8.8484999999999994E-2</v>
      </c>
      <c r="M62">
        <v>0</v>
      </c>
      <c r="N62">
        <v>79</v>
      </c>
      <c r="O62">
        <v>449</v>
      </c>
      <c r="P62">
        <v>26</v>
      </c>
      <c r="Q62">
        <v>2.3912420000000001</v>
      </c>
      <c r="R62">
        <v>0.390463</v>
      </c>
      <c r="S62" t="s">
        <v>29</v>
      </c>
      <c r="T62">
        <v>167638</v>
      </c>
      <c r="U62" t="s">
        <v>541</v>
      </c>
      <c r="V62">
        <v>5</v>
      </c>
      <c r="W62">
        <v>3</v>
      </c>
      <c r="X62">
        <v>3</v>
      </c>
      <c r="Y62" s="2" t="s">
        <v>550</v>
      </c>
      <c r="Z62" t="s">
        <v>551</v>
      </c>
      <c r="AA62">
        <v>5</v>
      </c>
      <c r="AB62">
        <v>3</v>
      </c>
      <c r="AC62">
        <v>3</v>
      </c>
      <c r="AD62">
        <f t="shared" si="0"/>
        <v>5</v>
      </c>
      <c r="AE62">
        <f t="shared" si="1"/>
        <v>3</v>
      </c>
      <c r="AF62">
        <f t="shared" si="2"/>
        <v>3</v>
      </c>
    </row>
    <row r="63" spans="1:32" x14ac:dyDescent="0.25">
      <c r="A63" t="s">
        <v>159</v>
      </c>
      <c r="B63" t="s">
        <v>160</v>
      </c>
      <c r="C63" t="s">
        <v>126</v>
      </c>
      <c r="D63" t="s">
        <v>33</v>
      </c>
      <c r="E63">
        <v>231.6788</v>
      </c>
      <c r="F63">
        <v>0</v>
      </c>
      <c r="G63">
        <v>3.67</v>
      </c>
      <c r="H63">
        <v>20.7</v>
      </c>
      <c r="I63">
        <v>0</v>
      </c>
      <c r="J63">
        <v>0</v>
      </c>
      <c r="K63">
        <v>1.5841000000000001E-2</v>
      </c>
      <c r="L63">
        <v>8.9347999999999997E-2</v>
      </c>
      <c r="M63">
        <v>0</v>
      </c>
      <c r="N63">
        <v>59</v>
      </c>
      <c r="O63">
        <v>370</v>
      </c>
      <c r="P63">
        <v>26</v>
      </c>
      <c r="Q63">
        <v>1.9639260000000001</v>
      </c>
      <c r="R63">
        <v>0.32982099999999998</v>
      </c>
      <c r="T63">
        <v>168046</v>
      </c>
      <c r="U63" t="s">
        <v>541</v>
      </c>
      <c r="V63">
        <v>5</v>
      </c>
      <c r="W63">
        <v>3</v>
      </c>
      <c r="X63">
        <v>3</v>
      </c>
      <c r="Y63" s="2" t="s">
        <v>550</v>
      </c>
      <c r="Z63" t="s">
        <v>551</v>
      </c>
      <c r="AA63">
        <v>5</v>
      </c>
      <c r="AB63">
        <v>3</v>
      </c>
      <c r="AC63">
        <v>3</v>
      </c>
      <c r="AD63">
        <f t="shared" si="0"/>
        <v>5</v>
      </c>
      <c r="AE63">
        <f t="shared" si="1"/>
        <v>3</v>
      </c>
      <c r="AF63">
        <f t="shared" si="2"/>
        <v>3</v>
      </c>
    </row>
    <row r="64" spans="1:32" x14ac:dyDescent="0.25">
      <c r="A64" t="s">
        <v>161</v>
      </c>
      <c r="B64" t="s">
        <v>162</v>
      </c>
      <c r="C64" t="s">
        <v>126</v>
      </c>
      <c r="D64" t="s">
        <v>33</v>
      </c>
      <c r="E64">
        <v>280.29640000000001</v>
      </c>
      <c r="F64">
        <v>0</v>
      </c>
      <c r="G64">
        <v>5.57</v>
      </c>
      <c r="H64">
        <v>22.6</v>
      </c>
      <c r="I64">
        <v>0</v>
      </c>
      <c r="J64">
        <v>0</v>
      </c>
      <c r="K64">
        <v>1.9872000000000001E-2</v>
      </c>
      <c r="L64">
        <v>8.0629000000000006E-2</v>
      </c>
      <c r="M64">
        <v>0</v>
      </c>
      <c r="N64">
        <v>58</v>
      </c>
      <c r="O64">
        <v>380</v>
      </c>
      <c r="P64">
        <v>28</v>
      </c>
      <c r="Q64">
        <v>1.6625259999999999</v>
      </c>
      <c r="R64">
        <v>0.28256700000000001</v>
      </c>
      <c r="T64">
        <v>167639</v>
      </c>
      <c r="U64" t="s">
        <v>541</v>
      </c>
      <c r="V64">
        <v>5</v>
      </c>
      <c r="W64">
        <v>3</v>
      </c>
      <c r="X64">
        <v>3</v>
      </c>
      <c r="Y64" s="2" t="s">
        <v>550</v>
      </c>
      <c r="Z64" t="s">
        <v>551</v>
      </c>
      <c r="AA64">
        <v>5</v>
      </c>
      <c r="AB64">
        <v>3</v>
      </c>
      <c r="AC64">
        <v>3</v>
      </c>
      <c r="AD64">
        <f t="shared" si="0"/>
        <v>5</v>
      </c>
      <c r="AE64">
        <f t="shared" si="1"/>
        <v>3</v>
      </c>
      <c r="AF64">
        <f t="shared" si="2"/>
        <v>3</v>
      </c>
    </row>
    <row r="65" spans="1:32" x14ac:dyDescent="0.25">
      <c r="A65" t="s">
        <v>163</v>
      </c>
      <c r="B65" t="s">
        <v>164</v>
      </c>
      <c r="C65" t="s">
        <v>126</v>
      </c>
      <c r="D65" t="s">
        <v>33</v>
      </c>
      <c r="E65">
        <v>373.6635</v>
      </c>
      <c r="F65">
        <v>0</v>
      </c>
      <c r="G65">
        <v>11.7</v>
      </c>
      <c r="H65">
        <v>20.2</v>
      </c>
      <c r="I65">
        <v>0</v>
      </c>
      <c r="J65">
        <v>0</v>
      </c>
      <c r="K65">
        <v>3.1312E-2</v>
      </c>
      <c r="L65">
        <v>5.4059000000000003E-2</v>
      </c>
      <c r="M65">
        <v>0</v>
      </c>
      <c r="N65">
        <v>48</v>
      </c>
      <c r="O65">
        <v>370</v>
      </c>
      <c r="P65">
        <v>24</v>
      </c>
      <c r="Q65">
        <v>1.182882</v>
      </c>
      <c r="R65">
        <v>0.204181</v>
      </c>
      <c r="T65">
        <v>168047</v>
      </c>
      <c r="U65" t="s">
        <v>541</v>
      </c>
      <c r="V65">
        <v>5</v>
      </c>
      <c r="W65">
        <v>3</v>
      </c>
      <c r="X65">
        <v>3</v>
      </c>
      <c r="Y65" s="2" t="s">
        <v>550</v>
      </c>
      <c r="Z65" t="s">
        <v>551</v>
      </c>
      <c r="AA65">
        <v>5</v>
      </c>
      <c r="AB65">
        <v>3</v>
      </c>
      <c r="AC65">
        <v>3</v>
      </c>
      <c r="AD65">
        <f t="shared" si="0"/>
        <v>5</v>
      </c>
      <c r="AE65">
        <f t="shared" si="1"/>
        <v>3</v>
      </c>
      <c r="AF65">
        <f t="shared" si="2"/>
        <v>3</v>
      </c>
    </row>
    <row r="66" spans="1:32" x14ac:dyDescent="0.25">
      <c r="A66" t="s">
        <v>165</v>
      </c>
      <c r="B66" t="s">
        <v>166</v>
      </c>
      <c r="C66" t="s">
        <v>126</v>
      </c>
      <c r="D66" t="s">
        <v>108</v>
      </c>
      <c r="E66">
        <v>531.29639999999995</v>
      </c>
      <c r="F66">
        <v>0</v>
      </c>
      <c r="G66">
        <v>15.9</v>
      </c>
      <c r="H66">
        <v>30.7</v>
      </c>
      <c r="J66">
        <v>0</v>
      </c>
      <c r="K66">
        <v>2.9926999999999999E-2</v>
      </c>
      <c r="L66">
        <v>5.7783000000000001E-2</v>
      </c>
      <c r="M66">
        <v>0</v>
      </c>
      <c r="Q66">
        <v>0</v>
      </c>
      <c r="R66">
        <v>2.7706000000000001E-2</v>
      </c>
      <c r="S66" t="s">
        <v>109</v>
      </c>
      <c r="T66">
        <v>168024</v>
      </c>
      <c r="U66" t="s">
        <v>541</v>
      </c>
      <c r="V66">
        <v>5</v>
      </c>
      <c r="W66">
        <v>2</v>
      </c>
      <c r="X66">
        <v>3</v>
      </c>
      <c r="Y66" s="3" t="s">
        <v>552</v>
      </c>
      <c r="Z66" t="s">
        <v>565</v>
      </c>
      <c r="AA66">
        <v>5</v>
      </c>
      <c r="AB66">
        <v>3</v>
      </c>
      <c r="AC66">
        <v>3</v>
      </c>
      <c r="AD66">
        <f t="shared" si="0"/>
        <v>5</v>
      </c>
      <c r="AE66">
        <f t="shared" si="1"/>
        <v>3</v>
      </c>
      <c r="AF66">
        <f t="shared" si="2"/>
        <v>3</v>
      </c>
    </row>
    <row r="67" spans="1:32" x14ac:dyDescent="0.25">
      <c r="A67" t="s">
        <v>167</v>
      </c>
      <c r="B67" t="s">
        <v>168</v>
      </c>
      <c r="C67" t="s">
        <v>126</v>
      </c>
      <c r="D67" t="s">
        <v>33</v>
      </c>
      <c r="E67">
        <v>299.85660000000001</v>
      </c>
      <c r="F67">
        <v>0</v>
      </c>
      <c r="G67">
        <v>5.9</v>
      </c>
      <c r="H67">
        <v>23.2</v>
      </c>
      <c r="J67">
        <v>0</v>
      </c>
      <c r="K67">
        <v>1.9675999999999999E-2</v>
      </c>
      <c r="L67">
        <v>7.7369999999999994E-2</v>
      </c>
      <c r="M67">
        <v>0</v>
      </c>
      <c r="Q67">
        <v>0</v>
      </c>
      <c r="R67">
        <v>3.1997999999999999E-2</v>
      </c>
      <c r="T67">
        <v>167614</v>
      </c>
      <c r="U67" t="s">
        <v>541</v>
      </c>
      <c r="V67">
        <v>5</v>
      </c>
      <c r="W67">
        <v>3</v>
      </c>
      <c r="X67">
        <v>2</v>
      </c>
      <c r="Y67" s="2" t="s">
        <v>550</v>
      </c>
      <c r="Z67" t="s">
        <v>551</v>
      </c>
      <c r="AA67">
        <v>5</v>
      </c>
      <c r="AB67">
        <v>3</v>
      </c>
      <c r="AC67">
        <v>2</v>
      </c>
      <c r="AD67">
        <f t="shared" ref="AD67:AD130" si="3">AA67</f>
        <v>5</v>
      </c>
      <c r="AE67">
        <f t="shared" ref="AE67:AE130" si="4">AB67</f>
        <v>3</v>
      </c>
      <c r="AF67">
        <f t="shared" ref="AF67:AF130" si="5">AC67</f>
        <v>2</v>
      </c>
    </row>
    <row r="68" spans="1:32" x14ac:dyDescent="0.25">
      <c r="A68" t="s">
        <v>169</v>
      </c>
      <c r="B68" t="s">
        <v>170</v>
      </c>
      <c r="C68" t="s">
        <v>126</v>
      </c>
      <c r="D68" t="s">
        <v>28</v>
      </c>
      <c r="E68">
        <v>418.36900000000003</v>
      </c>
      <c r="F68">
        <v>0</v>
      </c>
      <c r="G68">
        <v>13</v>
      </c>
      <c r="H68">
        <v>23.2</v>
      </c>
      <c r="I68">
        <v>0</v>
      </c>
      <c r="J68">
        <v>0</v>
      </c>
      <c r="K68">
        <v>3.1073E-2</v>
      </c>
      <c r="L68">
        <v>5.5453000000000002E-2</v>
      </c>
      <c r="M68">
        <v>0</v>
      </c>
      <c r="N68">
        <v>870</v>
      </c>
      <c r="O68">
        <v>390</v>
      </c>
      <c r="P68">
        <v>29</v>
      </c>
      <c r="Q68">
        <v>3.0810119999999999</v>
      </c>
      <c r="R68">
        <v>0.48932900000000001</v>
      </c>
      <c r="S68" t="s">
        <v>29</v>
      </c>
      <c r="T68">
        <v>167647</v>
      </c>
      <c r="U68" t="s">
        <v>541</v>
      </c>
      <c r="V68">
        <v>5</v>
      </c>
      <c r="W68">
        <v>3</v>
      </c>
      <c r="X68">
        <v>4</v>
      </c>
      <c r="Y68" s="2" t="s">
        <v>550</v>
      </c>
      <c r="Z68" t="s">
        <v>551</v>
      </c>
      <c r="AA68">
        <v>5</v>
      </c>
      <c r="AB68">
        <v>3</v>
      </c>
      <c r="AC68">
        <v>4</v>
      </c>
      <c r="AD68">
        <f t="shared" si="3"/>
        <v>5</v>
      </c>
      <c r="AE68">
        <f t="shared" si="4"/>
        <v>3</v>
      </c>
      <c r="AF68">
        <f t="shared" si="5"/>
        <v>4</v>
      </c>
    </row>
    <row r="69" spans="1:32" x14ac:dyDescent="0.25">
      <c r="A69" t="s">
        <v>171</v>
      </c>
      <c r="B69" t="s">
        <v>172</v>
      </c>
      <c r="C69" t="s">
        <v>126</v>
      </c>
      <c r="D69" t="s">
        <v>28</v>
      </c>
      <c r="E69">
        <v>412.02289999999999</v>
      </c>
      <c r="F69">
        <v>0</v>
      </c>
      <c r="G69">
        <v>7.26</v>
      </c>
      <c r="H69">
        <v>35.200000000000003</v>
      </c>
      <c r="I69">
        <v>0</v>
      </c>
      <c r="J69">
        <v>0</v>
      </c>
      <c r="K69">
        <v>1.762E-2</v>
      </c>
      <c r="L69">
        <v>8.5431999999999994E-2</v>
      </c>
      <c r="M69">
        <v>0</v>
      </c>
      <c r="N69">
        <v>600</v>
      </c>
      <c r="O69">
        <v>470</v>
      </c>
      <c r="P69">
        <v>39</v>
      </c>
      <c r="Q69">
        <v>2.6915979999999999</v>
      </c>
      <c r="R69">
        <v>0.43804599999999999</v>
      </c>
      <c r="S69" t="s">
        <v>29</v>
      </c>
      <c r="T69">
        <v>167645</v>
      </c>
      <c r="U69" t="s">
        <v>541</v>
      </c>
      <c r="V69">
        <v>5</v>
      </c>
      <c r="W69">
        <v>3</v>
      </c>
      <c r="X69">
        <v>3</v>
      </c>
      <c r="Y69" s="2" t="s">
        <v>550</v>
      </c>
      <c r="Z69" t="s">
        <v>551</v>
      </c>
      <c r="AA69">
        <v>5</v>
      </c>
      <c r="AB69">
        <v>3</v>
      </c>
      <c r="AC69">
        <v>3</v>
      </c>
      <c r="AD69">
        <f t="shared" si="3"/>
        <v>5</v>
      </c>
      <c r="AE69">
        <f t="shared" si="4"/>
        <v>3</v>
      </c>
      <c r="AF69">
        <f t="shared" si="5"/>
        <v>3</v>
      </c>
    </row>
    <row r="70" spans="1:32" x14ac:dyDescent="0.25">
      <c r="A70" t="s">
        <v>173</v>
      </c>
      <c r="B70" t="s">
        <v>174</v>
      </c>
      <c r="C70" t="s">
        <v>126</v>
      </c>
      <c r="D70" t="s">
        <v>28</v>
      </c>
      <c r="E70">
        <v>281.77440000000001</v>
      </c>
      <c r="F70">
        <v>0</v>
      </c>
      <c r="G70">
        <v>4.75</v>
      </c>
      <c r="H70">
        <v>24.5</v>
      </c>
      <c r="I70">
        <v>0</v>
      </c>
      <c r="J70">
        <v>0</v>
      </c>
      <c r="K70">
        <v>1.6857E-2</v>
      </c>
      <c r="L70">
        <v>8.6948999999999999E-2</v>
      </c>
      <c r="M70">
        <v>0</v>
      </c>
      <c r="N70">
        <v>460</v>
      </c>
      <c r="O70">
        <v>400</v>
      </c>
      <c r="P70">
        <v>31</v>
      </c>
      <c r="Q70">
        <v>3.1621039999999998</v>
      </c>
      <c r="R70">
        <v>0.50896200000000003</v>
      </c>
      <c r="S70" t="s">
        <v>29</v>
      </c>
      <c r="T70">
        <v>167646</v>
      </c>
      <c r="U70" t="s">
        <v>541</v>
      </c>
      <c r="V70">
        <v>5</v>
      </c>
      <c r="W70">
        <v>3</v>
      </c>
      <c r="X70">
        <v>3</v>
      </c>
      <c r="Y70" s="2" t="s">
        <v>550</v>
      </c>
      <c r="Z70" t="s">
        <v>551</v>
      </c>
      <c r="AA70">
        <v>5</v>
      </c>
      <c r="AB70">
        <v>3</v>
      </c>
      <c r="AC70">
        <v>3</v>
      </c>
      <c r="AD70">
        <f t="shared" si="3"/>
        <v>5</v>
      </c>
      <c r="AE70">
        <f t="shared" si="4"/>
        <v>3</v>
      </c>
      <c r="AF70">
        <f t="shared" si="5"/>
        <v>3</v>
      </c>
    </row>
    <row r="71" spans="1:32" x14ac:dyDescent="0.25">
      <c r="A71" t="s">
        <v>175</v>
      </c>
      <c r="B71" t="s">
        <v>176</v>
      </c>
      <c r="C71" t="s">
        <v>126</v>
      </c>
      <c r="D71" t="s">
        <v>28</v>
      </c>
      <c r="E71">
        <v>322.0899</v>
      </c>
      <c r="F71">
        <v>0</v>
      </c>
      <c r="G71">
        <v>5.76</v>
      </c>
      <c r="H71">
        <v>27.3</v>
      </c>
      <c r="I71">
        <v>0</v>
      </c>
      <c r="J71">
        <v>0</v>
      </c>
      <c r="K71">
        <v>1.7883E-2</v>
      </c>
      <c r="L71">
        <v>8.4759000000000001E-2</v>
      </c>
      <c r="M71">
        <v>0</v>
      </c>
      <c r="N71">
        <v>390</v>
      </c>
      <c r="O71">
        <v>370</v>
      </c>
      <c r="P71">
        <v>32</v>
      </c>
      <c r="Q71">
        <v>2.4589409999999998</v>
      </c>
      <c r="R71">
        <v>0.402978</v>
      </c>
      <c r="S71" t="s">
        <v>29</v>
      </c>
      <c r="T71">
        <v>167642</v>
      </c>
      <c r="U71" t="s">
        <v>541</v>
      </c>
      <c r="V71">
        <v>5</v>
      </c>
      <c r="W71">
        <v>3</v>
      </c>
      <c r="X71">
        <v>3</v>
      </c>
      <c r="Y71" s="2" t="s">
        <v>550</v>
      </c>
      <c r="Z71" t="s">
        <v>551</v>
      </c>
      <c r="AA71">
        <v>5</v>
      </c>
      <c r="AB71">
        <v>3</v>
      </c>
      <c r="AC71">
        <v>3</v>
      </c>
      <c r="AD71">
        <f t="shared" si="3"/>
        <v>5</v>
      </c>
      <c r="AE71">
        <f t="shared" si="4"/>
        <v>3</v>
      </c>
      <c r="AF71">
        <f t="shared" si="5"/>
        <v>3</v>
      </c>
    </row>
    <row r="72" spans="1:32" x14ac:dyDescent="0.25">
      <c r="A72" t="s">
        <v>177</v>
      </c>
      <c r="B72" t="s">
        <v>178</v>
      </c>
      <c r="C72" t="s">
        <v>126</v>
      </c>
      <c r="D72" t="s">
        <v>33</v>
      </c>
      <c r="E72">
        <v>306.20269999999999</v>
      </c>
      <c r="F72">
        <v>0</v>
      </c>
      <c r="G72">
        <v>7.28</v>
      </c>
      <c r="H72">
        <v>21.9</v>
      </c>
      <c r="I72">
        <v>0</v>
      </c>
      <c r="J72">
        <v>0</v>
      </c>
      <c r="K72">
        <v>2.3775000000000001E-2</v>
      </c>
      <c r="L72">
        <v>7.1521000000000001E-2</v>
      </c>
      <c r="M72">
        <v>0</v>
      </c>
      <c r="N72">
        <v>60</v>
      </c>
      <c r="O72">
        <v>360</v>
      </c>
      <c r="P72">
        <v>27</v>
      </c>
      <c r="Q72">
        <v>1.4598169999999999</v>
      </c>
      <c r="R72">
        <v>0.249949</v>
      </c>
      <c r="T72">
        <v>168045</v>
      </c>
      <c r="U72" t="s">
        <v>541</v>
      </c>
      <c r="V72">
        <v>5</v>
      </c>
      <c r="W72">
        <v>3</v>
      </c>
      <c r="X72">
        <v>3</v>
      </c>
      <c r="Y72" s="2" t="s">
        <v>550</v>
      </c>
      <c r="Z72" t="s">
        <v>551</v>
      </c>
      <c r="AA72">
        <v>5</v>
      </c>
      <c r="AB72">
        <v>3</v>
      </c>
      <c r="AC72">
        <v>3</v>
      </c>
      <c r="AD72">
        <f t="shared" si="3"/>
        <v>5</v>
      </c>
      <c r="AE72">
        <f t="shared" si="4"/>
        <v>3</v>
      </c>
      <c r="AF72">
        <f t="shared" si="5"/>
        <v>3</v>
      </c>
    </row>
    <row r="73" spans="1:32" x14ac:dyDescent="0.25">
      <c r="A73" t="s">
        <v>179</v>
      </c>
      <c r="B73" t="s">
        <v>180</v>
      </c>
      <c r="C73" t="s">
        <v>126</v>
      </c>
      <c r="D73" t="s">
        <v>33</v>
      </c>
      <c r="E73">
        <v>317.93880000000001</v>
      </c>
      <c r="F73">
        <v>0</v>
      </c>
      <c r="G73">
        <v>10.6</v>
      </c>
      <c r="H73">
        <v>15.9</v>
      </c>
      <c r="J73">
        <v>0</v>
      </c>
      <c r="K73">
        <v>3.3340000000000002E-2</v>
      </c>
      <c r="L73">
        <v>5.0009999999999999E-2</v>
      </c>
      <c r="M73">
        <v>0</v>
      </c>
      <c r="Q73">
        <v>0</v>
      </c>
      <c r="R73">
        <v>2.5839000000000001E-2</v>
      </c>
      <c r="T73">
        <v>168023</v>
      </c>
      <c r="U73" t="s">
        <v>541</v>
      </c>
      <c r="V73">
        <v>5</v>
      </c>
      <c r="W73">
        <v>2</v>
      </c>
      <c r="X73">
        <v>2</v>
      </c>
      <c r="Y73" s="3" t="s">
        <v>552</v>
      </c>
      <c r="Z73" t="s">
        <v>565</v>
      </c>
      <c r="AA73">
        <v>5</v>
      </c>
      <c r="AB73">
        <v>3</v>
      </c>
      <c r="AC73">
        <v>2</v>
      </c>
      <c r="AD73">
        <f t="shared" si="3"/>
        <v>5</v>
      </c>
      <c r="AE73">
        <f t="shared" si="4"/>
        <v>3</v>
      </c>
      <c r="AF73">
        <f t="shared" si="5"/>
        <v>2</v>
      </c>
    </row>
    <row r="74" spans="1:32" x14ac:dyDescent="0.25">
      <c r="A74" t="s">
        <v>181</v>
      </c>
      <c r="B74" t="s">
        <v>182</v>
      </c>
      <c r="C74" t="s">
        <v>126</v>
      </c>
      <c r="D74" t="s">
        <v>33</v>
      </c>
      <c r="E74">
        <v>1256.5851</v>
      </c>
      <c r="F74">
        <v>23</v>
      </c>
      <c r="G74">
        <v>53</v>
      </c>
      <c r="H74">
        <v>14.9</v>
      </c>
      <c r="I74">
        <v>9.8000000000000007</v>
      </c>
      <c r="J74">
        <v>1.8304000000000001E-2</v>
      </c>
      <c r="K74">
        <v>4.2178E-2</v>
      </c>
      <c r="L74">
        <v>1.1858E-2</v>
      </c>
      <c r="M74">
        <v>7.7990000000000004E-3</v>
      </c>
      <c r="N74">
        <v>2</v>
      </c>
      <c r="O74">
        <v>738</v>
      </c>
      <c r="P74">
        <v>235</v>
      </c>
      <c r="Q74">
        <v>0.77591200000000005</v>
      </c>
      <c r="R74">
        <v>0.12676000000000001</v>
      </c>
      <c r="T74">
        <v>169827</v>
      </c>
      <c r="U74" t="s">
        <v>541</v>
      </c>
      <c r="V74">
        <v>5</v>
      </c>
      <c r="W74">
        <v>2</v>
      </c>
      <c r="X74">
        <v>4</v>
      </c>
      <c r="Y74" s="2" t="s">
        <v>550</v>
      </c>
      <c r="Z74" t="s">
        <v>551</v>
      </c>
      <c r="AA74">
        <v>5</v>
      </c>
      <c r="AB74">
        <v>2</v>
      </c>
      <c r="AC74">
        <v>4</v>
      </c>
      <c r="AD74">
        <f t="shared" si="3"/>
        <v>5</v>
      </c>
      <c r="AE74">
        <f t="shared" si="4"/>
        <v>2</v>
      </c>
      <c r="AF74">
        <f t="shared" si="5"/>
        <v>4</v>
      </c>
    </row>
    <row r="75" spans="1:32" x14ac:dyDescent="0.25">
      <c r="A75" t="s">
        <v>183</v>
      </c>
      <c r="B75" t="s">
        <v>184</v>
      </c>
      <c r="C75" t="s">
        <v>126</v>
      </c>
      <c r="D75" t="s">
        <v>33</v>
      </c>
      <c r="E75">
        <v>74.284899999999993</v>
      </c>
      <c r="F75">
        <v>8.6999999999999993</v>
      </c>
      <c r="G75">
        <v>0.1</v>
      </c>
      <c r="H75">
        <v>0.4</v>
      </c>
      <c r="J75">
        <v>0.117117</v>
      </c>
      <c r="K75">
        <v>1.346E-3</v>
      </c>
      <c r="L75">
        <v>5.385E-3</v>
      </c>
      <c r="M75">
        <v>0</v>
      </c>
      <c r="N75">
        <v>10</v>
      </c>
      <c r="Q75">
        <v>0.13461699999999999</v>
      </c>
      <c r="R75">
        <v>-1.2721E-2</v>
      </c>
      <c r="T75">
        <v>169808</v>
      </c>
      <c r="U75" t="s">
        <v>542</v>
      </c>
      <c r="V75">
        <v>5</v>
      </c>
      <c r="W75">
        <v>1</v>
      </c>
      <c r="X75">
        <v>1</v>
      </c>
      <c r="Y75" s="3" t="s">
        <v>552</v>
      </c>
      <c r="Z75" t="s">
        <v>562</v>
      </c>
      <c r="AA75">
        <v>5</v>
      </c>
      <c r="AB75">
        <v>2</v>
      </c>
      <c r="AC75">
        <v>1</v>
      </c>
      <c r="AD75">
        <f t="shared" si="3"/>
        <v>5</v>
      </c>
      <c r="AE75">
        <f t="shared" si="4"/>
        <v>2</v>
      </c>
      <c r="AF75">
        <f t="shared" si="5"/>
        <v>1</v>
      </c>
    </row>
    <row r="76" spans="1:32" x14ac:dyDescent="0.25">
      <c r="A76" t="s">
        <v>185</v>
      </c>
      <c r="B76" t="s">
        <v>186</v>
      </c>
      <c r="C76" t="s">
        <v>126</v>
      </c>
      <c r="D76" t="s">
        <v>33</v>
      </c>
      <c r="E76">
        <v>205.77250000000001</v>
      </c>
      <c r="F76">
        <v>0</v>
      </c>
      <c r="G76">
        <v>1.5</v>
      </c>
      <c r="H76">
        <v>22.3</v>
      </c>
      <c r="I76">
        <v>0</v>
      </c>
      <c r="J76">
        <v>0</v>
      </c>
      <c r="K76">
        <v>7.2899999999999996E-3</v>
      </c>
      <c r="L76">
        <v>0.108372</v>
      </c>
      <c r="M76">
        <v>0</v>
      </c>
      <c r="N76">
        <v>65</v>
      </c>
      <c r="O76">
        <v>317</v>
      </c>
      <c r="P76">
        <v>23</v>
      </c>
      <c r="Q76">
        <v>1.9681930000000001</v>
      </c>
      <c r="R76">
        <v>0.334982</v>
      </c>
      <c r="T76">
        <v>167607</v>
      </c>
      <c r="U76" t="s">
        <v>541</v>
      </c>
      <c r="V76">
        <v>4</v>
      </c>
      <c r="W76">
        <v>3</v>
      </c>
      <c r="X76">
        <v>2</v>
      </c>
      <c r="Y76" s="2" t="s">
        <v>550</v>
      </c>
      <c r="Z76" t="s">
        <v>551</v>
      </c>
      <c r="AA76">
        <v>4</v>
      </c>
      <c r="AB76">
        <v>3</v>
      </c>
      <c r="AC76">
        <v>2</v>
      </c>
      <c r="AD76">
        <f t="shared" si="3"/>
        <v>4</v>
      </c>
      <c r="AE76">
        <f t="shared" si="4"/>
        <v>3</v>
      </c>
      <c r="AF76">
        <f t="shared" si="5"/>
        <v>2</v>
      </c>
    </row>
    <row r="77" spans="1:32" x14ac:dyDescent="0.25">
      <c r="A77" t="s">
        <v>187</v>
      </c>
      <c r="B77" t="s">
        <v>188</v>
      </c>
      <c r="C77" t="s">
        <v>126</v>
      </c>
      <c r="D77" t="s">
        <v>28</v>
      </c>
      <c r="E77">
        <v>467.74759999999998</v>
      </c>
      <c r="F77">
        <v>0.08</v>
      </c>
      <c r="G77">
        <v>11.1</v>
      </c>
      <c r="H77">
        <v>33.4</v>
      </c>
      <c r="J77">
        <v>1.7100000000000001E-4</v>
      </c>
      <c r="K77">
        <v>2.3730999999999999E-2</v>
      </c>
      <c r="L77">
        <v>7.1405999999999997E-2</v>
      </c>
      <c r="M77">
        <v>0</v>
      </c>
      <c r="N77">
        <v>135</v>
      </c>
      <c r="O77">
        <v>409</v>
      </c>
      <c r="P77">
        <v>31</v>
      </c>
      <c r="Q77">
        <v>1.229295</v>
      </c>
      <c r="R77">
        <v>0.21526799999999999</v>
      </c>
      <c r="S77" t="s">
        <v>29</v>
      </c>
      <c r="T77">
        <v>167634</v>
      </c>
      <c r="U77" t="s">
        <v>541</v>
      </c>
      <c r="V77">
        <v>4</v>
      </c>
      <c r="W77">
        <v>3</v>
      </c>
      <c r="X77">
        <v>3</v>
      </c>
      <c r="Y77" s="2" t="s">
        <v>550</v>
      </c>
      <c r="Z77" t="s">
        <v>551</v>
      </c>
      <c r="AA77">
        <v>4</v>
      </c>
      <c r="AB77">
        <v>3</v>
      </c>
      <c r="AC77">
        <v>3</v>
      </c>
      <c r="AD77">
        <f t="shared" si="3"/>
        <v>4</v>
      </c>
      <c r="AE77">
        <f t="shared" si="4"/>
        <v>3</v>
      </c>
      <c r="AF77">
        <f t="shared" si="5"/>
        <v>3</v>
      </c>
    </row>
    <row r="78" spans="1:32" x14ac:dyDescent="0.25">
      <c r="A78" t="s">
        <v>189</v>
      </c>
      <c r="B78" t="s">
        <v>190</v>
      </c>
      <c r="C78" t="s">
        <v>126</v>
      </c>
      <c r="D78" t="s">
        <v>23</v>
      </c>
      <c r="E78">
        <v>1081.153</v>
      </c>
      <c r="F78">
        <v>51.1</v>
      </c>
      <c r="G78">
        <v>34.1</v>
      </c>
      <c r="H78">
        <v>7.41</v>
      </c>
      <c r="I78">
        <v>43.4</v>
      </c>
      <c r="J78">
        <v>4.7264E-2</v>
      </c>
      <c r="K78">
        <v>3.1539999999999999E-2</v>
      </c>
      <c r="L78">
        <v>6.8539999999999998E-3</v>
      </c>
      <c r="M78">
        <v>4.0141999999999997E-2</v>
      </c>
      <c r="N78">
        <v>310</v>
      </c>
      <c r="O78">
        <v>458</v>
      </c>
      <c r="P78">
        <v>152</v>
      </c>
      <c r="Q78">
        <v>0.850943</v>
      </c>
      <c r="R78">
        <v>0.12976699999999999</v>
      </c>
      <c r="S78" t="s">
        <v>24</v>
      </c>
      <c r="T78">
        <v>169821</v>
      </c>
      <c r="U78" t="s">
        <v>541</v>
      </c>
      <c r="V78">
        <v>5</v>
      </c>
      <c r="W78">
        <v>3</v>
      </c>
      <c r="X78">
        <v>4</v>
      </c>
      <c r="Y78" s="2" t="s">
        <v>550</v>
      </c>
      <c r="Z78" t="s">
        <v>551</v>
      </c>
      <c r="AA78">
        <v>5</v>
      </c>
      <c r="AB78">
        <v>3</v>
      </c>
      <c r="AC78">
        <v>4</v>
      </c>
      <c r="AD78">
        <f t="shared" si="3"/>
        <v>5</v>
      </c>
      <c r="AE78">
        <f t="shared" si="4"/>
        <v>3</v>
      </c>
      <c r="AF78">
        <f t="shared" si="5"/>
        <v>4</v>
      </c>
    </row>
    <row r="79" spans="1:32" x14ac:dyDescent="0.25">
      <c r="A79" t="s">
        <v>191</v>
      </c>
      <c r="B79" t="s">
        <v>192</v>
      </c>
      <c r="C79" t="s">
        <v>126</v>
      </c>
      <c r="D79" t="s">
        <v>33</v>
      </c>
      <c r="E79">
        <v>182.06120000000001</v>
      </c>
      <c r="F79">
        <v>22</v>
      </c>
      <c r="G79">
        <v>0.17</v>
      </c>
      <c r="H79">
        <v>0.43</v>
      </c>
      <c r="I79">
        <v>6</v>
      </c>
      <c r="J79">
        <v>0.120838</v>
      </c>
      <c r="K79">
        <v>9.3400000000000004E-4</v>
      </c>
      <c r="L79">
        <v>2.362E-3</v>
      </c>
      <c r="M79">
        <v>3.2955999999999999E-2</v>
      </c>
      <c r="N79">
        <v>4</v>
      </c>
      <c r="O79">
        <v>364</v>
      </c>
      <c r="P79">
        <v>8</v>
      </c>
      <c r="Q79">
        <v>2.0652400000000002</v>
      </c>
      <c r="R79">
        <v>0.27953800000000001</v>
      </c>
      <c r="T79">
        <v>169820</v>
      </c>
      <c r="U79" t="s">
        <v>542</v>
      </c>
      <c r="V79">
        <v>3</v>
      </c>
      <c r="W79">
        <v>3</v>
      </c>
      <c r="X79">
        <v>1</v>
      </c>
      <c r="Y79" s="2" t="s">
        <v>550</v>
      </c>
      <c r="Z79" t="s">
        <v>551</v>
      </c>
      <c r="AA79">
        <v>3</v>
      </c>
      <c r="AB79">
        <v>3</v>
      </c>
      <c r="AC79">
        <v>1</v>
      </c>
      <c r="AD79">
        <f t="shared" si="3"/>
        <v>3</v>
      </c>
      <c r="AE79">
        <f t="shared" si="4"/>
        <v>3</v>
      </c>
      <c r="AF79">
        <f t="shared" si="5"/>
        <v>1</v>
      </c>
    </row>
    <row r="80" spans="1:32" x14ac:dyDescent="0.25">
      <c r="A80" t="s">
        <v>193</v>
      </c>
      <c r="B80" t="s">
        <v>194</v>
      </c>
      <c r="C80" t="s">
        <v>126</v>
      </c>
      <c r="D80" t="s">
        <v>33</v>
      </c>
      <c r="E80">
        <v>124.3805</v>
      </c>
      <c r="F80">
        <v>13.8</v>
      </c>
      <c r="G80">
        <v>0.28000000000000003</v>
      </c>
      <c r="H80">
        <v>1.1200000000000001</v>
      </c>
      <c r="I80">
        <v>7.5</v>
      </c>
      <c r="J80">
        <v>0.11094999999999999</v>
      </c>
      <c r="K80">
        <v>2.251E-3</v>
      </c>
      <c r="L80">
        <v>9.0050000000000009E-3</v>
      </c>
      <c r="M80">
        <v>6.0298999999999998E-2</v>
      </c>
      <c r="N80">
        <v>4</v>
      </c>
      <c r="O80">
        <v>175</v>
      </c>
      <c r="P80">
        <v>26</v>
      </c>
      <c r="Q80">
        <v>1.6481680000000001</v>
      </c>
      <c r="R80">
        <v>0.22670000000000001</v>
      </c>
      <c r="T80">
        <v>168997</v>
      </c>
      <c r="U80" t="s">
        <v>542</v>
      </c>
      <c r="V80">
        <v>5</v>
      </c>
      <c r="W80">
        <v>4</v>
      </c>
      <c r="X80">
        <v>1</v>
      </c>
      <c r="Y80" s="2" t="s">
        <v>550</v>
      </c>
      <c r="Z80" t="s">
        <v>551</v>
      </c>
      <c r="AA80">
        <v>5</v>
      </c>
      <c r="AB80">
        <v>4</v>
      </c>
      <c r="AC80">
        <v>1</v>
      </c>
      <c r="AD80">
        <f t="shared" si="3"/>
        <v>5</v>
      </c>
      <c r="AE80">
        <f t="shared" si="4"/>
        <v>4</v>
      </c>
      <c r="AF80">
        <f t="shared" si="5"/>
        <v>1</v>
      </c>
    </row>
    <row r="81" spans="1:32" x14ac:dyDescent="0.25">
      <c r="A81" t="s">
        <v>195</v>
      </c>
      <c r="B81" t="s">
        <v>196</v>
      </c>
      <c r="C81" t="s">
        <v>126</v>
      </c>
      <c r="D81" t="s">
        <v>28</v>
      </c>
      <c r="E81">
        <v>689.16830000000004</v>
      </c>
      <c r="F81">
        <v>0</v>
      </c>
      <c r="G81">
        <v>11.4</v>
      </c>
      <c r="H81">
        <v>60.6</v>
      </c>
      <c r="I81">
        <v>0</v>
      </c>
      <c r="J81">
        <v>0</v>
      </c>
      <c r="K81">
        <v>1.6542000000000001E-2</v>
      </c>
      <c r="L81">
        <v>8.7931999999999996E-2</v>
      </c>
      <c r="M81">
        <v>0</v>
      </c>
      <c r="N81">
        <v>51</v>
      </c>
      <c r="O81">
        <v>960</v>
      </c>
      <c r="P81">
        <v>58</v>
      </c>
      <c r="Q81">
        <v>1.551145</v>
      </c>
      <c r="R81">
        <v>0.26758300000000002</v>
      </c>
      <c r="S81" t="s">
        <v>29</v>
      </c>
      <c r="T81">
        <v>169813</v>
      </c>
      <c r="U81" t="s">
        <v>541</v>
      </c>
      <c r="V81">
        <v>5</v>
      </c>
      <c r="W81">
        <v>3</v>
      </c>
      <c r="X81">
        <v>4</v>
      </c>
      <c r="Y81" s="3" t="s">
        <v>552</v>
      </c>
      <c r="Z81" t="s">
        <v>610</v>
      </c>
      <c r="AA81">
        <v>5</v>
      </c>
      <c r="AB81">
        <v>3</v>
      </c>
      <c r="AC81">
        <v>3</v>
      </c>
      <c r="AD81">
        <f t="shared" si="3"/>
        <v>5</v>
      </c>
      <c r="AE81">
        <f t="shared" si="4"/>
        <v>3</v>
      </c>
      <c r="AF81">
        <f t="shared" si="5"/>
        <v>3</v>
      </c>
    </row>
    <row r="82" spans="1:32" x14ac:dyDescent="0.25">
      <c r="A82" t="s">
        <v>197</v>
      </c>
      <c r="B82" t="s">
        <v>198</v>
      </c>
      <c r="C82" t="s">
        <v>126</v>
      </c>
      <c r="D82" t="s">
        <v>33</v>
      </c>
      <c r="E82">
        <v>31.535399999999999</v>
      </c>
      <c r="F82">
        <v>3.22</v>
      </c>
      <c r="G82">
        <v>0.15</v>
      </c>
      <c r="H82">
        <v>0.31</v>
      </c>
      <c r="I82">
        <v>1.5</v>
      </c>
      <c r="J82">
        <v>0.102107</v>
      </c>
      <c r="K82">
        <v>4.7569999999999999E-3</v>
      </c>
      <c r="L82">
        <v>9.8300000000000002E-3</v>
      </c>
      <c r="M82">
        <v>4.7565999999999997E-2</v>
      </c>
      <c r="Q82">
        <v>0</v>
      </c>
      <c r="R82">
        <v>-1.8866999999999998E-2</v>
      </c>
      <c r="T82">
        <v>167632</v>
      </c>
      <c r="U82" t="s">
        <v>542</v>
      </c>
      <c r="V82">
        <v>4</v>
      </c>
      <c r="W82">
        <v>2</v>
      </c>
      <c r="X82">
        <v>1</v>
      </c>
      <c r="Y82" s="2" t="s">
        <v>550</v>
      </c>
      <c r="Z82" t="s">
        <v>551</v>
      </c>
      <c r="AA82">
        <v>4</v>
      </c>
      <c r="AB82">
        <v>2</v>
      </c>
      <c r="AC82">
        <v>1</v>
      </c>
      <c r="AD82">
        <f t="shared" si="3"/>
        <v>4</v>
      </c>
      <c r="AE82">
        <f t="shared" si="4"/>
        <v>2</v>
      </c>
      <c r="AF82">
        <f t="shared" si="5"/>
        <v>1</v>
      </c>
    </row>
    <row r="83" spans="1:32" x14ac:dyDescent="0.25">
      <c r="A83" t="s">
        <v>199</v>
      </c>
      <c r="B83" t="s">
        <v>200</v>
      </c>
      <c r="C83" t="s">
        <v>126</v>
      </c>
      <c r="D83" t="s">
        <v>33</v>
      </c>
      <c r="E83">
        <v>52.529600000000002</v>
      </c>
      <c r="F83">
        <v>5.64</v>
      </c>
      <c r="G83">
        <v>0.2</v>
      </c>
      <c r="H83">
        <v>0.52</v>
      </c>
      <c r="J83">
        <v>0.10736800000000001</v>
      </c>
      <c r="K83">
        <v>3.8070000000000001E-3</v>
      </c>
      <c r="L83">
        <v>9.8989999999999998E-3</v>
      </c>
      <c r="M83">
        <v>0</v>
      </c>
      <c r="N83">
        <v>20</v>
      </c>
      <c r="O83">
        <v>205</v>
      </c>
      <c r="P83">
        <v>10</v>
      </c>
      <c r="Q83">
        <v>4.473668</v>
      </c>
      <c r="R83">
        <v>0.64325600000000005</v>
      </c>
      <c r="T83">
        <v>168040</v>
      </c>
      <c r="U83" t="s">
        <v>542</v>
      </c>
      <c r="V83">
        <v>4</v>
      </c>
      <c r="W83">
        <v>3</v>
      </c>
      <c r="X83">
        <v>1</v>
      </c>
      <c r="Y83" s="2" t="s">
        <v>550</v>
      </c>
      <c r="Z83" t="s">
        <v>551</v>
      </c>
      <c r="AA83">
        <v>4</v>
      </c>
      <c r="AB83">
        <v>3</v>
      </c>
      <c r="AC83">
        <v>1</v>
      </c>
      <c r="AD83">
        <f t="shared" si="3"/>
        <v>4</v>
      </c>
      <c r="AE83">
        <f t="shared" si="4"/>
        <v>3</v>
      </c>
      <c r="AF83">
        <f t="shared" si="5"/>
        <v>1</v>
      </c>
    </row>
    <row r="84" spans="1:32" x14ac:dyDescent="0.25">
      <c r="A84" t="s">
        <v>201</v>
      </c>
      <c r="B84" t="s">
        <v>202</v>
      </c>
      <c r="C84" t="s">
        <v>126</v>
      </c>
      <c r="D84" t="s">
        <v>28</v>
      </c>
      <c r="E84">
        <v>764.40920000000006</v>
      </c>
      <c r="F84">
        <v>0</v>
      </c>
      <c r="G84">
        <v>8.06</v>
      </c>
      <c r="H84">
        <v>77.3</v>
      </c>
      <c r="I84">
        <v>0</v>
      </c>
      <c r="J84">
        <v>0</v>
      </c>
      <c r="K84">
        <v>1.0544E-2</v>
      </c>
      <c r="L84">
        <v>0.10112400000000001</v>
      </c>
      <c r="M84">
        <v>0</v>
      </c>
      <c r="N84">
        <v>2850</v>
      </c>
      <c r="O84">
        <v>1720</v>
      </c>
      <c r="P84">
        <v>84</v>
      </c>
      <c r="Q84">
        <v>6.0883620000000001</v>
      </c>
      <c r="R84">
        <v>0.95128400000000002</v>
      </c>
      <c r="S84" t="s">
        <v>29</v>
      </c>
      <c r="T84">
        <v>168059</v>
      </c>
      <c r="U84" t="s">
        <v>541</v>
      </c>
      <c r="V84">
        <v>5</v>
      </c>
      <c r="W84">
        <v>4</v>
      </c>
      <c r="X84">
        <v>4</v>
      </c>
      <c r="Y84" s="2" t="s">
        <v>550</v>
      </c>
      <c r="Z84" t="s">
        <v>551</v>
      </c>
      <c r="AA84">
        <v>5</v>
      </c>
      <c r="AB84">
        <v>4</v>
      </c>
      <c r="AC84">
        <v>4</v>
      </c>
      <c r="AD84">
        <f t="shared" si="3"/>
        <v>5</v>
      </c>
      <c r="AE84">
        <f t="shared" si="4"/>
        <v>4</v>
      </c>
      <c r="AF84">
        <f t="shared" si="5"/>
        <v>4</v>
      </c>
    </row>
    <row r="85" spans="1:32" x14ac:dyDescent="0.25">
      <c r="A85" t="s">
        <v>203</v>
      </c>
      <c r="B85" t="s">
        <v>204</v>
      </c>
      <c r="C85" t="s">
        <v>205</v>
      </c>
      <c r="D85" t="s">
        <v>33</v>
      </c>
      <c r="E85">
        <v>57</v>
      </c>
      <c r="F85">
        <v>12.1</v>
      </c>
      <c r="G85">
        <v>0.71</v>
      </c>
      <c r="H85">
        <v>0.71</v>
      </c>
      <c r="I85">
        <v>2.9</v>
      </c>
      <c r="J85">
        <v>0.212281</v>
      </c>
      <c r="K85">
        <v>1.2456E-2</v>
      </c>
      <c r="L85">
        <v>1.2456E-2</v>
      </c>
      <c r="M85">
        <v>5.0876999999999999E-2</v>
      </c>
      <c r="N85">
        <v>0</v>
      </c>
      <c r="Q85">
        <v>0</v>
      </c>
      <c r="R85">
        <v>-4.8578999999999997E-2</v>
      </c>
      <c r="T85">
        <v>2059165</v>
      </c>
      <c r="U85" t="s">
        <v>542</v>
      </c>
      <c r="V85">
        <v>5</v>
      </c>
      <c r="W85">
        <v>2</v>
      </c>
      <c r="X85">
        <v>1</v>
      </c>
      <c r="Y85" s="3" t="s">
        <v>552</v>
      </c>
      <c r="Z85" t="s">
        <v>566</v>
      </c>
      <c r="AA85">
        <v>5</v>
      </c>
      <c r="AB85">
        <v>3</v>
      </c>
      <c r="AC85">
        <v>1</v>
      </c>
      <c r="AD85">
        <f t="shared" si="3"/>
        <v>5</v>
      </c>
      <c r="AE85">
        <f t="shared" si="4"/>
        <v>3</v>
      </c>
      <c r="AF85">
        <f t="shared" si="5"/>
        <v>1</v>
      </c>
    </row>
    <row r="86" spans="1:32" x14ac:dyDescent="0.25">
      <c r="A86" t="s">
        <v>206</v>
      </c>
      <c r="B86" t="s">
        <v>207</v>
      </c>
      <c r="C86" t="s">
        <v>208</v>
      </c>
      <c r="D86" t="s">
        <v>33</v>
      </c>
      <c r="E86">
        <v>141</v>
      </c>
      <c r="F86">
        <v>2.35</v>
      </c>
      <c r="G86">
        <v>8.24</v>
      </c>
      <c r="H86">
        <v>16.5</v>
      </c>
      <c r="I86">
        <v>2.4</v>
      </c>
      <c r="J86">
        <v>1.6667000000000001E-2</v>
      </c>
      <c r="K86">
        <v>5.8439999999999999E-2</v>
      </c>
      <c r="L86">
        <v>0.117021</v>
      </c>
      <c r="M86">
        <v>1.7021000000000001E-2</v>
      </c>
      <c r="N86">
        <v>0</v>
      </c>
      <c r="O86">
        <v>165</v>
      </c>
      <c r="Q86">
        <v>1.1702129999999999</v>
      </c>
      <c r="R86">
        <v>0.22865199999999999</v>
      </c>
      <c r="T86">
        <v>1851491</v>
      </c>
      <c r="U86" t="s">
        <v>541</v>
      </c>
      <c r="V86">
        <v>5</v>
      </c>
      <c r="W86">
        <v>3</v>
      </c>
      <c r="X86">
        <v>2</v>
      </c>
      <c r="Y86" s="2" t="s">
        <v>550</v>
      </c>
      <c r="Z86" t="s">
        <v>551</v>
      </c>
      <c r="AA86">
        <v>5</v>
      </c>
      <c r="AB86">
        <v>3</v>
      </c>
      <c r="AC86">
        <v>2</v>
      </c>
      <c r="AD86">
        <f t="shared" si="3"/>
        <v>5</v>
      </c>
      <c r="AE86">
        <f t="shared" si="4"/>
        <v>3</v>
      </c>
      <c r="AF86">
        <f t="shared" si="5"/>
        <v>2</v>
      </c>
    </row>
    <row r="87" spans="1:32" x14ac:dyDescent="0.25">
      <c r="A87" t="s">
        <v>209</v>
      </c>
      <c r="B87" t="s">
        <v>210</v>
      </c>
      <c r="C87" t="s">
        <v>211</v>
      </c>
      <c r="D87" t="s">
        <v>33</v>
      </c>
      <c r="E87">
        <v>23</v>
      </c>
      <c r="F87">
        <v>4.6500000000000004</v>
      </c>
      <c r="G87">
        <v>0</v>
      </c>
      <c r="H87">
        <v>1.1599999999999999</v>
      </c>
      <c r="I87">
        <v>1.2</v>
      </c>
      <c r="J87">
        <v>0.20217399999999999</v>
      </c>
      <c r="K87">
        <v>0</v>
      </c>
      <c r="L87">
        <v>5.0435000000000001E-2</v>
      </c>
      <c r="M87">
        <v>5.2173999999999998E-2</v>
      </c>
      <c r="N87">
        <v>6</v>
      </c>
      <c r="Q87">
        <v>0.26086999999999999</v>
      </c>
      <c r="R87">
        <v>3.9569999999999996E-3</v>
      </c>
      <c r="T87">
        <v>2017109</v>
      </c>
      <c r="U87" t="s">
        <v>542</v>
      </c>
      <c r="V87">
        <v>4</v>
      </c>
      <c r="W87">
        <v>3</v>
      </c>
      <c r="X87">
        <v>1</v>
      </c>
      <c r="Y87" s="4" t="s">
        <v>555</v>
      </c>
      <c r="Z87" t="s">
        <v>567</v>
      </c>
      <c r="AA87">
        <v>5</v>
      </c>
      <c r="AB87">
        <v>4</v>
      </c>
      <c r="AC87">
        <v>1</v>
      </c>
      <c r="AD87">
        <f t="shared" si="3"/>
        <v>5</v>
      </c>
      <c r="AE87">
        <f t="shared" si="4"/>
        <v>4</v>
      </c>
      <c r="AF87">
        <f t="shared" si="5"/>
        <v>1</v>
      </c>
    </row>
    <row r="88" spans="1:32" x14ac:dyDescent="0.25">
      <c r="A88" t="s">
        <v>212</v>
      </c>
      <c r="B88" t="s">
        <v>213</v>
      </c>
      <c r="C88" t="s">
        <v>214</v>
      </c>
      <c r="D88" t="s">
        <v>28</v>
      </c>
      <c r="E88">
        <v>286</v>
      </c>
      <c r="F88">
        <v>7.14</v>
      </c>
      <c r="G88">
        <v>21.4</v>
      </c>
      <c r="H88">
        <v>14.3</v>
      </c>
      <c r="I88">
        <v>0</v>
      </c>
      <c r="J88">
        <v>2.4965000000000001E-2</v>
      </c>
      <c r="K88">
        <v>7.4825000000000003E-2</v>
      </c>
      <c r="L88">
        <v>0.05</v>
      </c>
      <c r="M88">
        <v>0</v>
      </c>
      <c r="N88">
        <v>1710</v>
      </c>
      <c r="Q88">
        <v>5.9790210000000004</v>
      </c>
      <c r="R88">
        <v>0.92557</v>
      </c>
      <c r="S88" t="s">
        <v>29</v>
      </c>
      <c r="T88">
        <v>398390</v>
      </c>
      <c r="U88" t="s">
        <v>541</v>
      </c>
      <c r="V88">
        <v>2</v>
      </c>
      <c r="W88">
        <v>3</v>
      </c>
      <c r="X88">
        <v>3</v>
      </c>
      <c r="Y88" s="2" t="s">
        <v>550</v>
      </c>
      <c r="Z88" t="s">
        <v>551</v>
      </c>
      <c r="AA88">
        <v>2</v>
      </c>
      <c r="AB88">
        <v>3</v>
      </c>
      <c r="AC88">
        <v>3</v>
      </c>
      <c r="AD88">
        <f t="shared" si="3"/>
        <v>2</v>
      </c>
      <c r="AE88">
        <f t="shared" si="4"/>
        <v>3</v>
      </c>
      <c r="AF88">
        <f t="shared" si="5"/>
        <v>3</v>
      </c>
    </row>
    <row r="89" spans="1:32" x14ac:dyDescent="0.25">
      <c r="A89" t="s">
        <v>215</v>
      </c>
      <c r="B89" t="s">
        <v>216</v>
      </c>
      <c r="C89" t="s">
        <v>217</v>
      </c>
      <c r="D89" t="s">
        <v>23</v>
      </c>
      <c r="E89">
        <v>533</v>
      </c>
      <c r="F89">
        <v>30</v>
      </c>
      <c r="G89">
        <v>43.3</v>
      </c>
      <c r="H89">
        <v>16.7</v>
      </c>
      <c r="I89">
        <v>26.7</v>
      </c>
      <c r="J89">
        <v>5.6285000000000002E-2</v>
      </c>
      <c r="K89">
        <v>8.1238000000000005E-2</v>
      </c>
      <c r="L89">
        <v>3.1331999999999999E-2</v>
      </c>
      <c r="M89">
        <v>5.0094E-2</v>
      </c>
      <c r="N89">
        <v>33</v>
      </c>
      <c r="Q89">
        <v>6.1913999999999997E-2</v>
      </c>
      <c r="R89">
        <v>3.1191E-2</v>
      </c>
      <c r="S89" t="s">
        <v>24</v>
      </c>
      <c r="T89">
        <v>1866089</v>
      </c>
      <c r="U89" t="s">
        <v>541</v>
      </c>
      <c r="V89">
        <v>5</v>
      </c>
      <c r="W89">
        <v>3</v>
      </c>
      <c r="X89">
        <v>4</v>
      </c>
      <c r="Y89" s="2" t="s">
        <v>550</v>
      </c>
      <c r="Z89" t="s">
        <v>551</v>
      </c>
      <c r="AA89">
        <v>5</v>
      </c>
      <c r="AB89">
        <v>3</v>
      </c>
      <c r="AC89">
        <v>4</v>
      </c>
      <c r="AD89">
        <f t="shared" si="3"/>
        <v>5</v>
      </c>
      <c r="AE89">
        <f t="shared" si="4"/>
        <v>3</v>
      </c>
      <c r="AF89">
        <f t="shared" si="5"/>
        <v>4</v>
      </c>
    </row>
    <row r="90" spans="1:32" x14ac:dyDescent="0.25">
      <c r="A90" t="s">
        <v>218</v>
      </c>
      <c r="B90" t="s">
        <v>219</v>
      </c>
      <c r="C90" t="s">
        <v>211</v>
      </c>
      <c r="D90" t="s">
        <v>33</v>
      </c>
      <c r="E90">
        <v>29</v>
      </c>
      <c r="F90">
        <v>6.98</v>
      </c>
      <c r="G90">
        <v>0</v>
      </c>
      <c r="H90">
        <v>1.1599999999999999</v>
      </c>
      <c r="I90">
        <v>2.2999999999999998</v>
      </c>
      <c r="J90">
        <v>0.24068999999999999</v>
      </c>
      <c r="K90">
        <v>0</v>
      </c>
      <c r="L90">
        <v>0.04</v>
      </c>
      <c r="M90">
        <v>7.9310000000000005E-2</v>
      </c>
      <c r="N90">
        <v>0</v>
      </c>
      <c r="O90">
        <v>209</v>
      </c>
      <c r="Q90">
        <v>7.2068969999999997</v>
      </c>
      <c r="R90">
        <v>1.034724</v>
      </c>
      <c r="T90">
        <v>2426688</v>
      </c>
      <c r="U90" t="s">
        <v>542</v>
      </c>
      <c r="V90">
        <v>4</v>
      </c>
      <c r="W90">
        <v>3</v>
      </c>
      <c r="X90">
        <v>1</v>
      </c>
      <c r="Y90" s="2" t="s">
        <v>550</v>
      </c>
      <c r="Z90" t="s">
        <v>551</v>
      </c>
      <c r="AA90">
        <v>4</v>
      </c>
      <c r="AB90">
        <v>3</v>
      </c>
      <c r="AC90">
        <v>1</v>
      </c>
      <c r="AD90">
        <f t="shared" si="3"/>
        <v>4</v>
      </c>
      <c r="AE90">
        <f t="shared" si="4"/>
        <v>3</v>
      </c>
      <c r="AF90">
        <f t="shared" si="5"/>
        <v>1</v>
      </c>
    </row>
    <row r="91" spans="1:32" x14ac:dyDescent="0.25">
      <c r="A91" t="s">
        <v>220</v>
      </c>
      <c r="B91" t="s">
        <v>221</v>
      </c>
      <c r="C91" t="s">
        <v>211</v>
      </c>
      <c r="D91" t="s">
        <v>33</v>
      </c>
      <c r="E91">
        <v>34</v>
      </c>
      <c r="F91">
        <v>4.5999999999999996</v>
      </c>
      <c r="G91">
        <v>0</v>
      </c>
      <c r="H91">
        <v>1.1499999999999999</v>
      </c>
      <c r="I91">
        <v>2.2999999999999998</v>
      </c>
      <c r="J91">
        <v>0.135294</v>
      </c>
      <c r="K91">
        <v>0</v>
      </c>
      <c r="L91">
        <v>3.3824E-2</v>
      </c>
      <c r="M91">
        <v>6.7646999999999999E-2</v>
      </c>
      <c r="N91">
        <v>23</v>
      </c>
      <c r="Q91">
        <v>0.67647100000000004</v>
      </c>
      <c r="R91">
        <v>8.2867999999999997E-2</v>
      </c>
      <c r="T91">
        <v>2059116</v>
      </c>
      <c r="U91" t="s">
        <v>542</v>
      </c>
      <c r="V91">
        <v>5</v>
      </c>
      <c r="W91">
        <v>3</v>
      </c>
      <c r="X91">
        <v>1</v>
      </c>
      <c r="Y91" s="3" t="s">
        <v>552</v>
      </c>
      <c r="Z91" t="s">
        <v>568</v>
      </c>
      <c r="AA91">
        <v>5</v>
      </c>
      <c r="AB91">
        <v>4</v>
      </c>
      <c r="AC91">
        <v>1</v>
      </c>
      <c r="AD91">
        <f t="shared" si="3"/>
        <v>5</v>
      </c>
      <c r="AE91">
        <f t="shared" si="4"/>
        <v>4</v>
      </c>
      <c r="AF91">
        <f t="shared" si="5"/>
        <v>1</v>
      </c>
    </row>
    <row r="92" spans="1:32" x14ac:dyDescent="0.25">
      <c r="A92" t="s">
        <v>222</v>
      </c>
      <c r="B92" t="s">
        <v>223</v>
      </c>
      <c r="C92" t="s">
        <v>211</v>
      </c>
      <c r="D92" t="s">
        <v>33</v>
      </c>
      <c r="E92">
        <v>53</v>
      </c>
      <c r="F92">
        <v>9.41</v>
      </c>
      <c r="G92">
        <v>0</v>
      </c>
      <c r="H92">
        <v>3.53</v>
      </c>
      <c r="I92">
        <v>3.5</v>
      </c>
      <c r="J92">
        <v>0.17754700000000001</v>
      </c>
      <c r="K92">
        <v>0</v>
      </c>
      <c r="L92">
        <v>6.6603999999999997E-2</v>
      </c>
      <c r="M92">
        <v>6.6037999999999999E-2</v>
      </c>
      <c r="N92">
        <v>18</v>
      </c>
      <c r="Q92">
        <v>0.33962300000000001</v>
      </c>
      <c r="R92">
        <v>3.0896E-2</v>
      </c>
      <c r="T92">
        <v>2059114</v>
      </c>
      <c r="U92" t="s">
        <v>542</v>
      </c>
      <c r="V92">
        <v>5</v>
      </c>
      <c r="W92">
        <v>4</v>
      </c>
      <c r="X92">
        <v>1</v>
      </c>
      <c r="Y92" s="2" t="s">
        <v>550</v>
      </c>
      <c r="Z92" t="s">
        <v>551</v>
      </c>
      <c r="AA92">
        <v>5</v>
      </c>
      <c r="AB92">
        <v>4</v>
      </c>
      <c r="AC92">
        <v>1</v>
      </c>
      <c r="AD92">
        <f t="shared" si="3"/>
        <v>5</v>
      </c>
      <c r="AE92">
        <f t="shared" si="4"/>
        <v>4</v>
      </c>
      <c r="AF92">
        <f t="shared" si="5"/>
        <v>1</v>
      </c>
    </row>
    <row r="93" spans="1:32" x14ac:dyDescent="0.25">
      <c r="A93" t="s">
        <v>224</v>
      </c>
      <c r="B93" t="s">
        <v>225</v>
      </c>
      <c r="C93" t="s">
        <v>226</v>
      </c>
      <c r="D93" t="s">
        <v>28</v>
      </c>
      <c r="E93">
        <v>80</v>
      </c>
      <c r="F93">
        <v>0</v>
      </c>
      <c r="G93">
        <v>1.79</v>
      </c>
      <c r="H93">
        <v>16.100000000000001</v>
      </c>
      <c r="I93">
        <v>0</v>
      </c>
      <c r="J93">
        <v>0</v>
      </c>
      <c r="K93">
        <v>2.2374999999999999E-2</v>
      </c>
      <c r="L93">
        <v>0.20125000000000001</v>
      </c>
      <c r="M93">
        <v>0</v>
      </c>
      <c r="N93">
        <v>464</v>
      </c>
      <c r="Q93">
        <v>5.8</v>
      </c>
      <c r="R93">
        <v>0.94603099999999996</v>
      </c>
      <c r="S93" t="s">
        <v>29</v>
      </c>
      <c r="T93">
        <v>2022532</v>
      </c>
      <c r="U93" t="s">
        <v>541</v>
      </c>
      <c r="V93">
        <v>3</v>
      </c>
      <c r="W93">
        <v>4</v>
      </c>
      <c r="X93">
        <v>2</v>
      </c>
      <c r="Y93" s="2" t="s">
        <v>550</v>
      </c>
      <c r="Z93" t="s">
        <v>551</v>
      </c>
      <c r="AA93">
        <v>3</v>
      </c>
      <c r="AB93">
        <v>4</v>
      </c>
      <c r="AC93">
        <v>2</v>
      </c>
      <c r="AD93">
        <f t="shared" si="3"/>
        <v>3</v>
      </c>
      <c r="AE93">
        <f t="shared" si="4"/>
        <v>4</v>
      </c>
      <c r="AF93">
        <f t="shared" si="5"/>
        <v>2</v>
      </c>
    </row>
    <row r="94" spans="1:32" x14ac:dyDescent="0.25">
      <c r="A94" t="s">
        <v>227</v>
      </c>
      <c r="B94" t="s">
        <v>228</v>
      </c>
      <c r="C94" t="s">
        <v>208</v>
      </c>
      <c r="D94" t="s">
        <v>108</v>
      </c>
      <c r="E94">
        <v>301</v>
      </c>
      <c r="F94">
        <v>0</v>
      </c>
      <c r="G94">
        <v>26.6</v>
      </c>
      <c r="H94">
        <v>16.8</v>
      </c>
      <c r="I94">
        <v>0</v>
      </c>
      <c r="J94">
        <v>0</v>
      </c>
      <c r="K94">
        <v>8.8372000000000006E-2</v>
      </c>
      <c r="L94">
        <v>5.5814000000000002E-2</v>
      </c>
      <c r="M94">
        <v>0</v>
      </c>
      <c r="N94">
        <v>66</v>
      </c>
      <c r="Q94">
        <v>0.21926899999999999</v>
      </c>
      <c r="R94">
        <v>7.4518000000000001E-2</v>
      </c>
      <c r="S94" t="s">
        <v>109</v>
      </c>
      <c r="T94">
        <v>2059148</v>
      </c>
      <c r="U94" t="s">
        <v>541</v>
      </c>
      <c r="V94">
        <v>2</v>
      </c>
      <c r="W94">
        <v>2</v>
      </c>
      <c r="X94">
        <v>2</v>
      </c>
      <c r="Y94" s="2" t="s">
        <v>550</v>
      </c>
      <c r="Z94" t="s">
        <v>551</v>
      </c>
      <c r="AA94">
        <v>2</v>
      </c>
      <c r="AB94">
        <v>2</v>
      </c>
      <c r="AC94">
        <v>2</v>
      </c>
      <c r="AD94">
        <f t="shared" si="3"/>
        <v>2</v>
      </c>
      <c r="AE94">
        <f t="shared" si="4"/>
        <v>2</v>
      </c>
      <c r="AF94">
        <f t="shared" si="5"/>
        <v>2</v>
      </c>
    </row>
    <row r="95" spans="1:32" x14ac:dyDescent="0.25">
      <c r="A95" t="s">
        <v>229</v>
      </c>
      <c r="B95" t="s">
        <v>230</v>
      </c>
      <c r="C95" t="s">
        <v>214</v>
      </c>
      <c r="D95" t="s">
        <v>28</v>
      </c>
      <c r="E95">
        <v>321</v>
      </c>
      <c r="F95">
        <v>3.57</v>
      </c>
      <c r="G95">
        <v>21.4</v>
      </c>
      <c r="H95">
        <v>25</v>
      </c>
      <c r="I95">
        <v>0</v>
      </c>
      <c r="J95">
        <v>1.1121000000000001E-2</v>
      </c>
      <c r="K95">
        <v>6.6667000000000004E-2</v>
      </c>
      <c r="L95">
        <v>7.7882000000000007E-2</v>
      </c>
      <c r="M95">
        <v>0</v>
      </c>
      <c r="N95">
        <v>536</v>
      </c>
      <c r="Q95">
        <v>1.6697820000000001</v>
      </c>
      <c r="R95">
        <v>0.29105599999999998</v>
      </c>
      <c r="S95" t="s">
        <v>29</v>
      </c>
      <c r="T95">
        <v>2055200</v>
      </c>
      <c r="U95" t="s">
        <v>541</v>
      </c>
      <c r="V95">
        <v>2</v>
      </c>
      <c r="W95">
        <v>3</v>
      </c>
      <c r="X95">
        <v>3</v>
      </c>
      <c r="Y95" s="2" t="s">
        <v>550</v>
      </c>
      <c r="Z95" t="s">
        <v>551</v>
      </c>
      <c r="AA95">
        <v>2</v>
      </c>
      <c r="AB95">
        <v>3</v>
      </c>
      <c r="AC95">
        <v>3</v>
      </c>
      <c r="AD95">
        <f t="shared" si="3"/>
        <v>2</v>
      </c>
      <c r="AE95">
        <f t="shared" si="4"/>
        <v>3</v>
      </c>
      <c r="AF95">
        <f t="shared" si="5"/>
        <v>3</v>
      </c>
    </row>
    <row r="96" spans="1:32" x14ac:dyDescent="0.25">
      <c r="A96" t="s">
        <v>231</v>
      </c>
      <c r="B96" t="s">
        <v>232</v>
      </c>
      <c r="C96" t="s">
        <v>214</v>
      </c>
      <c r="D96" t="s">
        <v>33</v>
      </c>
      <c r="I96">
        <v>0</v>
      </c>
      <c r="J96">
        <v>0</v>
      </c>
      <c r="K96">
        <v>0</v>
      </c>
      <c r="L96">
        <v>0</v>
      </c>
      <c r="M96">
        <v>0</v>
      </c>
      <c r="Q96">
        <v>0</v>
      </c>
      <c r="R96">
        <v>0</v>
      </c>
      <c r="T96">
        <v>2290243</v>
      </c>
      <c r="U96" t="s">
        <v>541</v>
      </c>
      <c r="V96">
        <v>2</v>
      </c>
      <c r="W96">
        <v>1</v>
      </c>
      <c r="X96">
        <v>1</v>
      </c>
      <c r="Y96" s="2" t="s">
        <v>550</v>
      </c>
      <c r="Z96" t="s">
        <v>551</v>
      </c>
      <c r="AA96">
        <v>2</v>
      </c>
      <c r="AB96">
        <v>1</v>
      </c>
      <c r="AC96">
        <v>1</v>
      </c>
      <c r="AD96">
        <f t="shared" si="3"/>
        <v>2</v>
      </c>
      <c r="AE96">
        <f t="shared" si="4"/>
        <v>1</v>
      </c>
      <c r="AF96">
        <f t="shared" si="5"/>
        <v>1</v>
      </c>
    </row>
    <row r="97" spans="1:32" x14ac:dyDescent="0.25">
      <c r="A97" t="s">
        <v>233</v>
      </c>
      <c r="B97" t="s">
        <v>234</v>
      </c>
      <c r="C97" t="s">
        <v>235</v>
      </c>
      <c r="D97" t="s">
        <v>33</v>
      </c>
      <c r="E97">
        <v>48</v>
      </c>
      <c r="F97">
        <v>8</v>
      </c>
      <c r="G97">
        <v>0.4</v>
      </c>
      <c r="H97">
        <v>3.2</v>
      </c>
      <c r="I97">
        <v>2.4</v>
      </c>
      <c r="J97">
        <v>0.16666700000000001</v>
      </c>
      <c r="K97">
        <v>8.3330000000000001E-3</v>
      </c>
      <c r="L97">
        <v>6.6667000000000004E-2</v>
      </c>
      <c r="M97">
        <v>0.05</v>
      </c>
      <c r="N97">
        <v>12</v>
      </c>
      <c r="O97">
        <v>84</v>
      </c>
      <c r="Q97">
        <v>2</v>
      </c>
      <c r="R97">
        <v>0.28291699999999997</v>
      </c>
      <c r="T97">
        <v>2064991</v>
      </c>
      <c r="U97" t="s">
        <v>542</v>
      </c>
      <c r="V97">
        <v>4</v>
      </c>
      <c r="W97">
        <v>3</v>
      </c>
      <c r="X97">
        <v>1</v>
      </c>
      <c r="Y97" s="2" t="s">
        <v>550</v>
      </c>
      <c r="Z97" t="s">
        <v>551</v>
      </c>
      <c r="AA97">
        <v>4</v>
      </c>
      <c r="AB97">
        <v>3</v>
      </c>
      <c r="AC97">
        <v>1</v>
      </c>
      <c r="AD97">
        <f t="shared" si="3"/>
        <v>4</v>
      </c>
      <c r="AE97">
        <f t="shared" si="4"/>
        <v>3</v>
      </c>
      <c r="AF97">
        <f t="shared" si="5"/>
        <v>1</v>
      </c>
    </row>
    <row r="98" spans="1:32" x14ac:dyDescent="0.25">
      <c r="A98" t="s">
        <v>236</v>
      </c>
      <c r="B98" t="s">
        <v>237</v>
      </c>
      <c r="C98" t="s">
        <v>214</v>
      </c>
      <c r="D98" t="s">
        <v>28</v>
      </c>
      <c r="E98">
        <v>333</v>
      </c>
      <c r="F98">
        <v>9.52</v>
      </c>
      <c r="G98">
        <v>23.8</v>
      </c>
      <c r="H98">
        <v>14.3</v>
      </c>
      <c r="I98">
        <v>0</v>
      </c>
      <c r="J98">
        <v>2.8589E-2</v>
      </c>
      <c r="K98">
        <v>7.1471000000000007E-2</v>
      </c>
      <c r="L98">
        <v>4.2943000000000002E-2</v>
      </c>
      <c r="M98">
        <v>0</v>
      </c>
      <c r="N98">
        <v>1240</v>
      </c>
      <c r="Q98">
        <v>3.7237239999999998</v>
      </c>
      <c r="R98">
        <v>0.58287999999999995</v>
      </c>
      <c r="S98" t="s">
        <v>29</v>
      </c>
      <c r="T98">
        <v>2017097</v>
      </c>
      <c r="U98" t="s">
        <v>541</v>
      </c>
      <c r="V98">
        <v>2</v>
      </c>
      <c r="W98">
        <v>3</v>
      </c>
      <c r="X98">
        <v>3</v>
      </c>
      <c r="Y98" s="2" t="s">
        <v>550</v>
      </c>
      <c r="Z98" t="s">
        <v>551</v>
      </c>
      <c r="AA98">
        <v>2</v>
      </c>
      <c r="AB98">
        <v>3</v>
      </c>
      <c r="AC98">
        <v>3</v>
      </c>
      <c r="AD98">
        <f t="shared" si="3"/>
        <v>2</v>
      </c>
      <c r="AE98">
        <f t="shared" si="4"/>
        <v>3</v>
      </c>
      <c r="AF98">
        <f t="shared" si="5"/>
        <v>3</v>
      </c>
    </row>
    <row r="99" spans="1:32" x14ac:dyDescent="0.25">
      <c r="A99" t="s">
        <v>238</v>
      </c>
      <c r="B99" t="s">
        <v>239</v>
      </c>
      <c r="C99" t="s">
        <v>240</v>
      </c>
      <c r="D99" t="s">
        <v>108</v>
      </c>
      <c r="E99">
        <v>196</v>
      </c>
      <c r="F99">
        <v>0</v>
      </c>
      <c r="G99">
        <v>15.2</v>
      </c>
      <c r="H99">
        <v>17</v>
      </c>
      <c r="I99">
        <v>0</v>
      </c>
      <c r="J99">
        <v>0</v>
      </c>
      <c r="K99">
        <v>7.7550999999999995E-2</v>
      </c>
      <c r="L99">
        <v>8.6735000000000007E-2</v>
      </c>
      <c r="M99">
        <v>0</v>
      </c>
      <c r="N99">
        <v>80</v>
      </c>
      <c r="Q99">
        <v>0.408163</v>
      </c>
      <c r="R99">
        <v>0.110969</v>
      </c>
      <c r="S99" t="s">
        <v>109</v>
      </c>
      <c r="T99">
        <v>2040284</v>
      </c>
      <c r="U99" t="s">
        <v>541</v>
      </c>
      <c r="V99">
        <v>3</v>
      </c>
      <c r="W99">
        <v>3</v>
      </c>
      <c r="X99">
        <v>2</v>
      </c>
      <c r="Y99" s="2" t="s">
        <v>550</v>
      </c>
      <c r="Z99" t="s">
        <v>551</v>
      </c>
      <c r="AA99">
        <v>3</v>
      </c>
      <c r="AB99">
        <v>3</v>
      </c>
      <c r="AC99">
        <v>2</v>
      </c>
      <c r="AD99">
        <f t="shared" si="3"/>
        <v>3</v>
      </c>
      <c r="AE99">
        <f t="shared" si="4"/>
        <v>3</v>
      </c>
      <c r="AF99">
        <f t="shared" si="5"/>
        <v>2</v>
      </c>
    </row>
    <row r="100" spans="1:32" x14ac:dyDescent="0.25">
      <c r="A100" t="s">
        <v>241</v>
      </c>
      <c r="B100" t="s">
        <v>242</v>
      </c>
      <c r="C100" t="s">
        <v>208</v>
      </c>
      <c r="D100" t="s">
        <v>33</v>
      </c>
      <c r="E100">
        <v>71</v>
      </c>
      <c r="F100">
        <v>2.35</v>
      </c>
      <c r="G100">
        <v>3.53</v>
      </c>
      <c r="H100">
        <v>7.06</v>
      </c>
      <c r="I100">
        <v>1.2</v>
      </c>
      <c r="J100">
        <v>3.3099000000000003E-2</v>
      </c>
      <c r="K100">
        <v>4.9717999999999998E-2</v>
      </c>
      <c r="L100">
        <v>9.9436999999999998E-2</v>
      </c>
      <c r="M100">
        <v>1.6900999999999999E-2</v>
      </c>
      <c r="N100">
        <v>12</v>
      </c>
      <c r="O100">
        <v>176</v>
      </c>
      <c r="Q100">
        <v>2.6478869999999999</v>
      </c>
      <c r="R100">
        <v>0.43702099999999999</v>
      </c>
      <c r="T100">
        <v>1856132</v>
      </c>
      <c r="U100" t="s">
        <v>541</v>
      </c>
      <c r="V100">
        <v>5</v>
      </c>
      <c r="W100">
        <v>3</v>
      </c>
      <c r="X100">
        <v>2</v>
      </c>
      <c r="Y100" s="2" t="s">
        <v>550</v>
      </c>
      <c r="Z100" t="s">
        <v>551</v>
      </c>
      <c r="AA100">
        <v>5</v>
      </c>
      <c r="AB100">
        <v>3</v>
      </c>
      <c r="AC100">
        <v>2</v>
      </c>
      <c r="AD100">
        <f t="shared" si="3"/>
        <v>5</v>
      </c>
      <c r="AE100">
        <f t="shared" si="4"/>
        <v>3</v>
      </c>
      <c r="AF100">
        <f t="shared" si="5"/>
        <v>2</v>
      </c>
    </row>
    <row r="101" spans="1:32" x14ac:dyDescent="0.25">
      <c r="A101" t="s">
        <v>243</v>
      </c>
      <c r="B101" t="s">
        <v>244</v>
      </c>
      <c r="C101" t="s">
        <v>205</v>
      </c>
      <c r="D101" t="s">
        <v>33</v>
      </c>
      <c r="E101">
        <v>50</v>
      </c>
      <c r="F101">
        <v>12.1</v>
      </c>
      <c r="G101">
        <v>0.36</v>
      </c>
      <c r="H101">
        <v>0.71</v>
      </c>
      <c r="I101">
        <v>4.3</v>
      </c>
      <c r="J101">
        <v>0.24199999999999999</v>
      </c>
      <c r="K101">
        <v>7.1999999999999998E-3</v>
      </c>
      <c r="L101">
        <v>1.4200000000000001E-2</v>
      </c>
      <c r="M101">
        <v>8.5999999999999993E-2</v>
      </c>
      <c r="N101">
        <v>0</v>
      </c>
      <c r="Q101">
        <v>0</v>
      </c>
      <c r="R101">
        <v>-5.2929999999999998E-2</v>
      </c>
      <c r="T101">
        <v>2015905</v>
      </c>
      <c r="U101" t="s">
        <v>542</v>
      </c>
      <c r="V101">
        <v>5</v>
      </c>
      <c r="W101">
        <v>2</v>
      </c>
      <c r="X101">
        <v>1</v>
      </c>
      <c r="Y101" s="3" t="s">
        <v>552</v>
      </c>
      <c r="Z101" t="s">
        <v>566</v>
      </c>
      <c r="AA101">
        <v>5</v>
      </c>
      <c r="AB101">
        <v>3</v>
      </c>
      <c r="AC101">
        <v>1</v>
      </c>
      <c r="AD101">
        <f t="shared" si="3"/>
        <v>5</v>
      </c>
      <c r="AE101">
        <f t="shared" si="4"/>
        <v>3</v>
      </c>
      <c r="AF101">
        <f t="shared" si="5"/>
        <v>1</v>
      </c>
    </row>
    <row r="102" spans="1:32" x14ac:dyDescent="0.25">
      <c r="A102" t="s">
        <v>245</v>
      </c>
      <c r="B102" t="s">
        <v>246</v>
      </c>
      <c r="C102" t="s">
        <v>247</v>
      </c>
      <c r="D102" t="s">
        <v>33</v>
      </c>
      <c r="E102">
        <v>92</v>
      </c>
      <c r="F102">
        <v>16.2</v>
      </c>
      <c r="G102">
        <v>0</v>
      </c>
      <c r="H102">
        <v>6.15</v>
      </c>
      <c r="I102">
        <v>4.5999999999999996</v>
      </c>
      <c r="J102">
        <v>0.17608699999999999</v>
      </c>
      <c r="K102">
        <v>0</v>
      </c>
      <c r="L102">
        <v>6.6848000000000005E-2</v>
      </c>
      <c r="M102">
        <v>0.05</v>
      </c>
      <c r="N102">
        <v>331</v>
      </c>
      <c r="Q102">
        <v>3.597826</v>
      </c>
      <c r="R102">
        <v>0.51774500000000001</v>
      </c>
      <c r="T102">
        <v>2015580</v>
      </c>
      <c r="U102" t="s">
        <v>541</v>
      </c>
      <c r="V102">
        <v>5</v>
      </c>
      <c r="W102">
        <v>4</v>
      </c>
      <c r="X102">
        <v>3</v>
      </c>
      <c r="Y102" s="2" t="s">
        <v>550</v>
      </c>
      <c r="Z102" t="s">
        <v>551</v>
      </c>
      <c r="AA102">
        <v>5</v>
      </c>
      <c r="AB102">
        <v>4</v>
      </c>
      <c r="AC102">
        <v>3</v>
      </c>
      <c r="AD102">
        <f t="shared" si="3"/>
        <v>5</v>
      </c>
      <c r="AE102">
        <f t="shared" si="4"/>
        <v>4</v>
      </c>
      <c r="AF102">
        <f t="shared" si="5"/>
        <v>3</v>
      </c>
    </row>
    <row r="103" spans="1:32" x14ac:dyDescent="0.25">
      <c r="A103" t="s">
        <v>248</v>
      </c>
      <c r="B103" t="s">
        <v>249</v>
      </c>
      <c r="C103" t="s">
        <v>214</v>
      </c>
      <c r="D103" t="s">
        <v>28</v>
      </c>
      <c r="E103">
        <v>357</v>
      </c>
      <c r="F103">
        <v>0</v>
      </c>
      <c r="G103">
        <v>28.6</v>
      </c>
      <c r="H103">
        <v>28.6</v>
      </c>
      <c r="I103">
        <v>0</v>
      </c>
      <c r="J103">
        <v>0</v>
      </c>
      <c r="K103">
        <v>8.0112000000000003E-2</v>
      </c>
      <c r="L103">
        <v>8.0112000000000003E-2</v>
      </c>
      <c r="M103">
        <v>0</v>
      </c>
      <c r="N103">
        <v>1360</v>
      </c>
      <c r="Q103">
        <v>3.8095240000000001</v>
      </c>
      <c r="R103">
        <v>0.61949600000000005</v>
      </c>
      <c r="S103" t="s">
        <v>29</v>
      </c>
      <c r="T103">
        <v>382111</v>
      </c>
      <c r="U103" t="s">
        <v>541</v>
      </c>
      <c r="V103">
        <v>5</v>
      </c>
      <c r="W103">
        <v>4</v>
      </c>
      <c r="X103">
        <v>3</v>
      </c>
      <c r="Y103" s="4" t="s">
        <v>555</v>
      </c>
      <c r="Z103" t="s">
        <v>569</v>
      </c>
      <c r="AA103">
        <v>3</v>
      </c>
      <c r="AB103">
        <v>4</v>
      </c>
      <c r="AC103">
        <v>3</v>
      </c>
      <c r="AD103">
        <f t="shared" si="3"/>
        <v>3</v>
      </c>
      <c r="AE103">
        <f t="shared" si="4"/>
        <v>4</v>
      </c>
      <c r="AF103">
        <f t="shared" si="5"/>
        <v>3</v>
      </c>
    </row>
    <row r="104" spans="1:32" x14ac:dyDescent="0.25">
      <c r="A104" t="s">
        <v>250</v>
      </c>
      <c r="B104" t="s">
        <v>251</v>
      </c>
      <c r="C104" t="s">
        <v>214</v>
      </c>
      <c r="D104" t="s">
        <v>28</v>
      </c>
      <c r="E104">
        <v>106</v>
      </c>
      <c r="F104">
        <v>3.54</v>
      </c>
      <c r="G104">
        <v>4.42</v>
      </c>
      <c r="H104">
        <v>12.4</v>
      </c>
      <c r="I104">
        <v>0</v>
      </c>
      <c r="J104">
        <v>3.3396000000000002E-2</v>
      </c>
      <c r="K104">
        <v>4.1697999999999999E-2</v>
      </c>
      <c r="L104">
        <v>0.116981</v>
      </c>
      <c r="M104">
        <v>0</v>
      </c>
      <c r="N104">
        <v>336</v>
      </c>
      <c r="Q104">
        <v>3.1698110000000002</v>
      </c>
      <c r="R104">
        <v>0.51682099999999997</v>
      </c>
      <c r="S104" t="s">
        <v>29</v>
      </c>
      <c r="T104">
        <v>2016736</v>
      </c>
      <c r="U104" t="s">
        <v>541</v>
      </c>
      <c r="V104">
        <v>4</v>
      </c>
      <c r="W104">
        <v>4</v>
      </c>
      <c r="X104">
        <v>2</v>
      </c>
      <c r="Y104" s="2" t="s">
        <v>550</v>
      </c>
      <c r="Z104" t="s">
        <v>551</v>
      </c>
      <c r="AA104">
        <v>4</v>
      </c>
      <c r="AB104">
        <v>4</v>
      </c>
      <c r="AC104">
        <v>2</v>
      </c>
      <c r="AD104">
        <f t="shared" si="3"/>
        <v>4</v>
      </c>
      <c r="AE104">
        <f t="shared" si="4"/>
        <v>4</v>
      </c>
      <c r="AF104">
        <f t="shared" si="5"/>
        <v>2</v>
      </c>
    </row>
    <row r="105" spans="1:32" x14ac:dyDescent="0.25">
      <c r="A105" t="s">
        <v>252</v>
      </c>
      <c r="B105" t="s">
        <v>253</v>
      </c>
      <c r="C105" t="s">
        <v>211</v>
      </c>
      <c r="D105" t="s">
        <v>33</v>
      </c>
      <c r="E105">
        <v>30</v>
      </c>
      <c r="F105">
        <v>5.95</v>
      </c>
      <c r="G105">
        <v>0</v>
      </c>
      <c r="H105">
        <v>1.19</v>
      </c>
      <c r="I105">
        <v>3.6</v>
      </c>
      <c r="J105">
        <v>0.19833300000000001</v>
      </c>
      <c r="K105">
        <v>0</v>
      </c>
      <c r="L105">
        <v>3.9667000000000001E-2</v>
      </c>
      <c r="M105">
        <v>0.12</v>
      </c>
      <c r="N105">
        <v>42</v>
      </c>
      <c r="Q105">
        <v>1.4</v>
      </c>
      <c r="R105">
        <v>0.18238399999999999</v>
      </c>
      <c r="T105">
        <v>2017105</v>
      </c>
      <c r="U105" t="s">
        <v>542</v>
      </c>
      <c r="V105">
        <v>4</v>
      </c>
      <c r="W105">
        <v>3</v>
      </c>
      <c r="X105">
        <v>1</v>
      </c>
      <c r="Y105" s="2" t="s">
        <v>550</v>
      </c>
      <c r="Z105" t="s">
        <v>551</v>
      </c>
      <c r="AA105">
        <v>4</v>
      </c>
      <c r="AB105">
        <v>3</v>
      </c>
      <c r="AC105">
        <v>1</v>
      </c>
      <c r="AD105">
        <f t="shared" si="3"/>
        <v>4</v>
      </c>
      <c r="AE105">
        <f t="shared" si="4"/>
        <v>3</v>
      </c>
      <c r="AF105">
        <f t="shared" si="5"/>
        <v>1</v>
      </c>
    </row>
    <row r="106" spans="1:32" x14ac:dyDescent="0.25">
      <c r="A106" t="s">
        <v>254</v>
      </c>
      <c r="B106" t="s">
        <v>255</v>
      </c>
      <c r="C106" t="s">
        <v>214</v>
      </c>
      <c r="D106" t="s">
        <v>28</v>
      </c>
      <c r="E106">
        <v>357</v>
      </c>
      <c r="F106">
        <v>3.57</v>
      </c>
      <c r="G106">
        <v>25</v>
      </c>
      <c r="H106">
        <v>28.6</v>
      </c>
      <c r="I106">
        <v>0</v>
      </c>
      <c r="J106">
        <v>0.01</v>
      </c>
      <c r="K106">
        <v>7.0028000000000007E-2</v>
      </c>
      <c r="L106">
        <v>8.0112000000000003E-2</v>
      </c>
      <c r="M106">
        <v>0</v>
      </c>
      <c r="N106">
        <v>1000</v>
      </c>
      <c r="O106">
        <v>1000</v>
      </c>
      <c r="Q106">
        <v>5.6022410000000002</v>
      </c>
      <c r="R106">
        <v>0.88288199999999994</v>
      </c>
      <c r="S106" t="s">
        <v>29</v>
      </c>
      <c r="T106">
        <v>382109</v>
      </c>
      <c r="U106" t="s">
        <v>541</v>
      </c>
      <c r="V106">
        <v>5</v>
      </c>
      <c r="W106">
        <v>4</v>
      </c>
      <c r="X106">
        <v>3</v>
      </c>
      <c r="Y106" s="4" t="s">
        <v>555</v>
      </c>
      <c r="Z106" t="s">
        <v>569</v>
      </c>
      <c r="AA106">
        <v>3</v>
      </c>
      <c r="AB106">
        <v>4</v>
      </c>
      <c r="AC106">
        <v>3</v>
      </c>
      <c r="AD106">
        <f t="shared" si="3"/>
        <v>3</v>
      </c>
      <c r="AE106">
        <f t="shared" si="4"/>
        <v>4</v>
      </c>
      <c r="AF106">
        <f t="shared" si="5"/>
        <v>3</v>
      </c>
    </row>
    <row r="107" spans="1:32" x14ac:dyDescent="0.25">
      <c r="A107" t="s">
        <v>256</v>
      </c>
      <c r="B107" t="s">
        <v>257</v>
      </c>
      <c r="C107" t="s">
        <v>214</v>
      </c>
      <c r="D107" t="s">
        <v>28</v>
      </c>
      <c r="E107">
        <v>429</v>
      </c>
      <c r="F107">
        <v>3.57</v>
      </c>
      <c r="G107">
        <v>32.1</v>
      </c>
      <c r="H107">
        <v>28.6</v>
      </c>
      <c r="I107">
        <v>0</v>
      </c>
      <c r="J107">
        <v>8.3219999999999995E-3</v>
      </c>
      <c r="K107">
        <v>7.4825000000000003E-2</v>
      </c>
      <c r="L107">
        <v>6.6667000000000004E-2</v>
      </c>
      <c r="M107">
        <v>0</v>
      </c>
      <c r="N107">
        <v>429</v>
      </c>
      <c r="Q107">
        <v>1</v>
      </c>
      <c r="R107">
        <v>0.18954299999999999</v>
      </c>
      <c r="S107" t="s">
        <v>29</v>
      </c>
      <c r="T107">
        <v>382110</v>
      </c>
      <c r="U107" t="s">
        <v>541</v>
      </c>
      <c r="V107">
        <v>5</v>
      </c>
      <c r="W107">
        <v>3</v>
      </c>
      <c r="X107">
        <v>3</v>
      </c>
      <c r="Y107" s="4" t="s">
        <v>555</v>
      </c>
      <c r="Z107" t="s">
        <v>569</v>
      </c>
      <c r="AA107">
        <v>3</v>
      </c>
      <c r="AB107">
        <v>3</v>
      </c>
      <c r="AC107">
        <v>3</v>
      </c>
      <c r="AD107">
        <f t="shared" si="3"/>
        <v>3</v>
      </c>
      <c r="AE107">
        <f t="shared" si="4"/>
        <v>3</v>
      </c>
      <c r="AF107">
        <f t="shared" si="5"/>
        <v>3</v>
      </c>
    </row>
    <row r="108" spans="1:32" x14ac:dyDescent="0.25">
      <c r="A108" t="s">
        <v>258</v>
      </c>
      <c r="B108" t="s">
        <v>259</v>
      </c>
      <c r="C108" t="s">
        <v>211</v>
      </c>
      <c r="D108" t="s">
        <v>33</v>
      </c>
      <c r="E108">
        <v>71</v>
      </c>
      <c r="F108">
        <v>12.9</v>
      </c>
      <c r="G108">
        <v>0</v>
      </c>
      <c r="H108">
        <v>5.88</v>
      </c>
      <c r="I108">
        <v>4.7</v>
      </c>
      <c r="J108">
        <v>0.18168999999999999</v>
      </c>
      <c r="K108">
        <v>0</v>
      </c>
      <c r="L108">
        <v>8.2817000000000002E-2</v>
      </c>
      <c r="M108">
        <v>6.6197000000000006E-2</v>
      </c>
      <c r="N108">
        <v>12</v>
      </c>
      <c r="Q108">
        <v>0.169014</v>
      </c>
      <c r="R108">
        <v>9.7610000000000006E-3</v>
      </c>
      <c r="T108">
        <v>2016064</v>
      </c>
      <c r="U108" t="s">
        <v>542</v>
      </c>
      <c r="V108">
        <v>4</v>
      </c>
      <c r="W108">
        <v>3</v>
      </c>
      <c r="X108">
        <v>1</v>
      </c>
      <c r="Y108" s="2" t="s">
        <v>550</v>
      </c>
      <c r="Z108" t="s">
        <v>551</v>
      </c>
      <c r="AA108">
        <v>4</v>
      </c>
      <c r="AB108">
        <v>3</v>
      </c>
      <c r="AC108">
        <v>1</v>
      </c>
      <c r="AD108">
        <f t="shared" si="3"/>
        <v>4</v>
      </c>
      <c r="AE108">
        <f t="shared" si="4"/>
        <v>3</v>
      </c>
      <c r="AF108">
        <f t="shared" si="5"/>
        <v>1</v>
      </c>
    </row>
    <row r="109" spans="1:32" x14ac:dyDescent="0.25">
      <c r="A109" t="s">
        <v>260</v>
      </c>
      <c r="B109" t="s">
        <v>261</v>
      </c>
      <c r="C109" t="s">
        <v>214</v>
      </c>
      <c r="D109" t="s">
        <v>28</v>
      </c>
      <c r="E109">
        <v>393</v>
      </c>
      <c r="F109">
        <v>3.57</v>
      </c>
      <c r="G109">
        <v>32.1</v>
      </c>
      <c r="H109">
        <v>25</v>
      </c>
      <c r="I109">
        <v>0</v>
      </c>
      <c r="J109">
        <v>9.0840000000000001E-3</v>
      </c>
      <c r="K109">
        <v>8.1679000000000002E-2</v>
      </c>
      <c r="L109">
        <v>6.3613000000000003E-2</v>
      </c>
      <c r="M109">
        <v>0</v>
      </c>
      <c r="N109">
        <v>964</v>
      </c>
      <c r="Q109">
        <v>2.4529260000000002</v>
      </c>
      <c r="R109">
        <v>0.40789799999999998</v>
      </c>
      <c r="S109" t="s">
        <v>29</v>
      </c>
      <c r="T109">
        <v>361146</v>
      </c>
      <c r="U109" t="s">
        <v>541</v>
      </c>
      <c r="V109">
        <v>5</v>
      </c>
      <c r="W109">
        <v>3</v>
      </c>
      <c r="X109">
        <v>3</v>
      </c>
      <c r="Y109" s="4" t="s">
        <v>555</v>
      </c>
      <c r="Z109" t="s">
        <v>569</v>
      </c>
      <c r="AA109">
        <v>3</v>
      </c>
      <c r="AB109">
        <v>3</v>
      </c>
      <c r="AC109">
        <v>3</v>
      </c>
      <c r="AD109">
        <f t="shared" si="3"/>
        <v>3</v>
      </c>
      <c r="AE109">
        <f t="shared" si="4"/>
        <v>3</v>
      </c>
      <c r="AF109">
        <f t="shared" si="5"/>
        <v>3</v>
      </c>
    </row>
    <row r="110" spans="1:32" x14ac:dyDescent="0.25">
      <c r="A110" t="s">
        <v>262</v>
      </c>
      <c r="B110" t="s">
        <v>263</v>
      </c>
      <c r="C110" t="s">
        <v>264</v>
      </c>
      <c r="D110" t="s">
        <v>33</v>
      </c>
      <c r="E110">
        <v>64</v>
      </c>
      <c r="F110">
        <v>15.7</v>
      </c>
      <c r="G110">
        <v>0</v>
      </c>
      <c r="H110">
        <v>0.71</v>
      </c>
      <c r="I110">
        <v>0.7</v>
      </c>
      <c r="J110">
        <v>0.245312</v>
      </c>
      <c r="K110">
        <v>0</v>
      </c>
      <c r="L110">
        <v>1.1094E-2</v>
      </c>
      <c r="M110">
        <v>1.0937000000000001E-2</v>
      </c>
      <c r="N110">
        <v>7</v>
      </c>
      <c r="Q110">
        <v>0.109375</v>
      </c>
      <c r="R110">
        <v>-5.1664000000000002E-2</v>
      </c>
      <c r="T110">
        <v>2015789</v>
      </c>
      <c r="U110" t="s">
        <v>542</v>
      </c>
      <c r="V110">
        <v>3</v>
      </c>
      <c r="W110">
        <v>1</v>
      </c>
      <c r="X110">
        <v>1</v>
      </c>
      <c r="Y110" s="2" t="s">
        <v>550</v>
      </c>
      <c r="Z110" t="s">
        <v>551</v>
      </c>
      <c r="AA110">
        <v>3</v>
      </c>
      <c r="AB110">
        <v>1</v>
      </c>
      <c r="AC110">
        <v>1</v>
      </c>
      <c r="AD110">
        <f t="shared" si="3"/>
        <v>3</v>
      </c>
      <c r="AE110">
        <f t="shared" si="4"/>
        <v>1</v>
      </c>
      <c r="AF110">
        <f t="shared" si="5"/>
        <v>1</v>
      </c>
    </row>
    <row r="111" spans="1:32" x14ac:dyDescent="0.25">
      <c r="A111" t="s">
        <v>265</v>
      </c>
      <c r="B111" t="s">
        <v>266</v>
      </c>
      <c r="C111" t="s">
        <v>264</v>
      </c>
      <c r="D111" t="s">
        <v>33</v>
      </c>
      <c r="E111">
        <v>62</v>
      </c>
      <c r="F111">
        <v>15.9</v>
      </c>
      <c r="G111">
        <v>0</v>
      </c>
      <c r="H111">
        <v>0</v>
      </c>
      <c r="I111">
        <v>0.9</v>
      </c>
      <c r="J111">
        <v>0.25645200000000001</v>
      </c>
      <c r="K111">
        <v>0</v>
      </c>
      <c r="L111">
        <v>0</v>
      </c>
      <c r="M111">
        <v>1.4515999999999999E-2</v>
      </c>
      <c r="N111">
        <v>9</v>
      </c>
      <c r="O111">
        <v>49</v>
      </c>
      <c r="Q111">
        <v>0.93548399999999998</v>
      </c>
      <c r="R111">
        <v>6.5563999999999997E-2</v>
      </c>
      <c r="T111">
        <v>2015776</v>
      </c>
      <c r="U111" t="s">
        <v>542</v>
      </c>
      <c r="V111">
        <v>3</v>
      </c>
      <c r="W111">
        <v>1</v>
      </c>
      <c r="X111">
        <v>1</v>
      </c>
      <c r="Y111" s="2" t="s">
        <v>550</v>
      </c>
      <c r="Z111" t="s">
        <v>551</v>
      </c>
      <c r="AA111">
        <v>3</v>
      </c>
      <c r="AB111">
        <v>1</v>
      </c>
      <c r="AC111">
        <v>1</v>
      </c>
      <c r="AD111">
        <f t="shared" si="3"/>
        <v>3</v>
      </c>
      <c r="AE111">
        <f t="shared" si="4"/>
        <v>1</v>
      </c>
      <c r="AF111">
        <f t="shared" si="5"/>
        <v>1</v>
      </c>
    </row>
    <row r="112" spans="1:32" x14ac:dyDescent="0.25">
      <c r="A112" t="s">
        <v>267</v>
      </c>
      <c r="B112" t="s">
        <v>268</v>
      </c>
      <c r="C112" t="s">
        <v>247</v>
      </c>
      <c r="D112" t="s">
        <v>33</v>
      </c>
      <c r="E112">
        <v>92</v>
      </c>
      <c r="F112">
        <v>15.4</v>
      </c>
      <c r="G112">
        <v>0.38</v>
      </c>
      <c r="H112">
        <v>5.38</v>
      </c>
      <c r="I112">
        <v>5.4</v>
      </c>
      <c r="J112">
        <v>0.16739100000000001</v>
      </c>
      <c r="K112">
        <v>4.13E-3</v>
      </c>
      <c r="L112">
        <v>5.8478000000000002E-2</v>
      </c>
      <c r="M112">
        <v>5.8695999999999998E-2</v>
      </c>
      <c r="N112">
        <v>292</v>
      </c>
      <c r="Q112">
        <v>3.1739130000000002</v>
      </c>
      <c r="R112">
        <v>0.45617400000000002</v>
      </c>
      <c r="T112">
        <v>2015557</v>
      </c>
      <c r="U112" t="s">
        <v>541</v>
      </c>
      <c r="V112">
        <v>5</v>
      </c>
      <c r="W112">
        <v>4</v>
      </c>
      <c r="X112">
        <v>3</v>
      </c>
      <c r="Y112" s="2" t="s">
        <v>550</v>
      </c>
      <c r="Z112" t="s">
        <v>551</v>
      </c>
      <c r="AA112">
        <v>5</v>
      </c>
      <c r="AB112">
        <v>4</v>
      </c>
      <c r="AC112">
        <v>3</v>
      </c>
      <c r="AD112">
        <f t="shared" si="3"/>
        <v>5</v>
      </c>
      <c r="AE112">
        <f t="shared" si="4"/>
        <v>4</v>
      </c>
      <c r="AF112">
        <f t="shared" si="5"/>
        <v>3</v>
      </c>
    </row>
    <row r="113" spans="1:32" x14ac:dyDescent="0.25">
      <c r="A113" t="s">
        <v>269</v>
      </c>
      <c r="B113" t="s">
        <v>270</v>
      </c>
      <c r="C113" t="s">
        <v>247</v>
      </c>
      <c r="D113" t="s">
        <v>33</v>
      </c>
      <c r="E113">
        <v>85</v>
      </c>
      <c r="F113">
        <v>15.4</v>
      </c>
      <c r="G113">
        <v>0</v>
      </c>
      <c r="H113">
        <v>4.62</v>
      </c>
      <c r="I113">
        <v>3.8</v>
      </c>
      <c r="J113">
        <v>0.181176</v>
      </c>
      <c r="K113">
        <v>0</v>
      </c>
      <c r="L113">
        <v>5.4352999999999999E-2</v>
      </c>
      <c r="M113">
        <v>4.4706000000000003E-2</v>
      </c>
      <c r="N113">
        <v>269</v>
      </c>
      <c r="Q113">
        <v>3.1647059999999998</v>
      </c>
      <c r="R113">
        <v>0.44608300000000001</v>
      </c>
      <c r="T113">
        <v>2015578</v>
      </c>
      <c r="U113" t="s">
        <v>541</v>
      </c>
      <c r="V113">
        <v>5</v>
      </c>
      <c r="W113">
        <v>4</v>
      </c>
      <c r="X113">
        <v>3</v>
      </c>
      <c r="Y113" s="2" t="s">
        <v>550</v>
      </c>
      <c r="Z113" t="s">
        <v>551</v>
      </c>
      <c r="AA113">
        <v>5</v>
      </c>
      <c r="AB113">
        <v>4</v>
      </c>
      <c r="AC113">
        <v>3</v>
      </c>
      <c r="AD113">
        <f t="shared" si="3"/>
        <v>5</v>
      </c>
      <c r="AE113">
        <f t="shared" si="4"/>
        <v>4</v>
      </c>
      <c r="AF113">
        <f t="shared" si="5"/>
        <v>3</v>
      </c>
    </row>
    <row r="114" spans="1:32" x14ac:dyDescent="0.25">
      <c r="A114" t="s">
        <v>271</v>
      </c>
      <c r="B114" t="s">
        <v>272</v>
      </c>
      <c r="C114" t="s">
        <v>235</v>
      </c>
      <c r="D114" t="s">
        <v>33</v>
      </c>
      <c r="E114">
        <v>33</v>
      </c>
      <c r="F114">
        <v>6.67</v>
      </c>
      <c r="G114">
        <v>0</v>
      </c>
      <c r="H114">
        <v>0.83</v>
      </c>
      <c r="I114">
        <v>0.8</v>
      </c>
      <c r="J114">
        <v>0.202121</v>
      </c>
      <c r="K114">
        <v>0</v>
      </c>
      <c r="L114">
        <v>2.5152000000000001E-2</v>
      </c>
      <c r="M114">
        <v>2.4242E-2</v>
      </c>
      <c r="N114">
        <v>208</v>
      </c>
      <c r="Q114">
        <v>6.3030299999999997</v>
      </c>
      <c r="R114">
        <v>0.897258</v>
      </c>
      <c r="T114">
        <v>2015565</v>
      </c>
      <c r="U114" t="s">
        <v>542</v>
      </c>
      <c r="V114">
        <v>4</v>
      </c>
      <c r="W114">
        <v>3</v>
      </c>
      <c r="X114">
        <v>1</v>
      </c>
      <c r="Y114" s="2" t="s">
        <v>550</v>
      </c>
      <c r="Z114" t="s">
        <v>551</v>
      </c>
      <c r="AA114">
        <v>4</v>
      </c>
      <c r="AB114">
        <v>3</v>
      </c>
      <c r="AC114">
        <v>1</v>
      </c>
      <c r="AD114">
        <f t="shared" si="3"/>
        <v>4</v>
      </c>
      <c r="AE114">
        <f t="shared" si="4"/>
        <v>3</v>
      </c>
      <c r="AF114">
        <f t="shared" si="5"/>
        <v>1</v>
      </c>
    </row>
    <row r="115" spans="1:32" x14ac:dyDescent="0.25">
      <c r="A115" t="s">
        <v>273</v>
      </c>
      <c r="B115" t="s">
        <v>274</v>
      </c>
      <c r="C115" t="s">
        <v>235</v>
      </c>
      <c r="D115" t="s">
        <v>28</v>
      </c>
      <c r="E115">
        <v>25</v>
      </c>
      <c r="F115">
        <v>5</v>
      </c>
      <c r="G115">
        <v>0</v>
      </c>
      <c r="H115">
        <v>0.83</v>
      </c>
      <c r="I115">
        <v>1.7</v>
      </c>
      <c r="J115">
        <v>0.2</v>
      </c>
      <c r="K115">
        <v>0</v>
      </c>
      <c r="L115">
        <v>3.32E-2</v>
      </c>
      <c r="M115">
        <v>6.8000000000000005E-2</v>
      </c>
      <c r="N115">
        <v>308</v>
      </c>
      <c r="Q115">
        <v>12.32</v>
      </c>
      <c r="R115">
        <v>1.80982</v>
      </c>
      <c r="S115" t="s">
        <v>29</v>
      </c>
      <c r="T115">
        <v>2015547</v>
      </c>
      <c r="U115" t="s">
        <v>542</v>
      </c>
      <c r="V115">
        <v>4</v>
      </c>
      <c r="W115">
        <v>3</v>
      </c>
      <c r="X115">
        <v>1</v>
      </c>
      <c r="Y115" s="2" t="s">
        <v>550</v>
      </c>
      <c r="Z115" t="s">
        <v>551</v>
      </c>
      <c r="AA115">
        <v>4</v>
      </c>
      <c r="AB115">
        <v>3</v>
      </c>
      <c r="AC115">
        <v>1</v>
      </c>
      <c r="AD115">
        <f t="shared" si="3"/>
        <v>4</v>
      </c>
      <c r="AE115">
        <f t="shared" si="4"/>
        <v>3</v>
      </c>
      <c r="AF115">
        <f t="shared" si="5"/>
        <v>1</v>
      </c>
    </row>
    <row r="116" spans="1:32" x14ac:dyDescent="0.25">
      <c r="A116" t="s">
        <v>275</v>
      </c>
      <c r="B116" t="s">
        <v>276</v>
      </c>
      <c r="C116" t="s">
        <v>205</v>
      </c>
      <c r="D116" t="s">
        <v>33</v>
      </c>
      <c r="E116">
        <v>36</v>
      </c>
      <c r="F116">
        <v>9.2899999999999991</v>
      </c>
      <c r="G116">
        <v>0</v>
      </c>
      <c r="H116">
        <v>0.71</v>
      </c>
      <c r="I116">
        <v>1.4</v>
      </c>
      <c r="J116">
        <v>0.25805600000000001</v>
      </c>
      <c r="K116">
        <v>0</v>
      </c>
      <c r="L116">
        <v>1.9722E-2</v>
      </c>
      <c r="M116">
        <v>3.8889E-2</v>
      </c>
      <c r="N116">
        <v>0</v>
      </c>
      <c r="Q116">
        <v>0</v>
      </c>
      <c r="R116">
        <v>-6.4681000000000002E-2</v>
      </c>
      <c r="T116">
        <v>2016948</v>
      </c>
      <c r="U116" t="s">
        <v>542</v>
      </c>
      <c r="V116">
        <v>3</v>
      </c>
      <c r="W116">
        <v>2</v>
      </c>
      <c r="X116">
        <v>1</v>
      </c>
      <c r="Y116" s="3" t="s">
        <v>552</v>
      </c>
      <c r="Z116" t="s">
        <v>554</v>
      </c>
      <c r="AA116">
        <v>4</v>
      </c>
      <c r="AB116">
        <v>2</v>
      </c>
      <c r="AC116">
        <v>1</v>
      </c>
      <c r="AD116">
        <f t="shared" si="3"/>
        <v>4</v>
      </c>
      <c r="AE116">
        <f t="shared" si="4"/>
        <v>2</v>
      </c>
      <c r="AF116">
        <f t="shared" si="5"/>
        <v>1</v>
      </c>
    </row>
    <row r="117" spans="1:32" x14ac:dyDescent="0.25">
      <c r="A117" t="s">
        <v>277</v>
      </c>
      <c r="B117" t="s">
        <v>278</v>
      </c>
      <c r="C117" t="s">
        <v>279</v>
      </c>
      <c r="D117" t="s">
        <v>108</v>
      </c>
      <c r="E117">
        <v>200</v>
      </c>
      <c r="F117">
        <v>6.67</v>
      </c>
      <c r="G117">
        <v>16.7</v>
      </c>
      <c r="H117">
        <v>3.33</v>
      </c>
      <c r="I117">
        <v>0</v>
      </c>
      <c r="J117">
        <v>3.3349999999999998E-2</v>
      </c>
      <c r="K117">
        <v>8.3500000000000005E-2</v>
      </c>
      <c r="L117">
        <v>1.6650000000000002E-2</v>
      </c>
      <c r="M117">
        <v>0</v>
      </c>
      <c r="N117">
        <v>50</v>
      </c>
      <c r="Q117">
        <v>0.25</v>
      </c>
      <c r="R117">
        <v>5.4197000000000002E-2</v>
      </c>
      <c r="S117" t="s">
        <v>109</v>
      </c>
      <c r="T117">
        <v>2289839</v>
      </c>
      <c r="U117" t="s">
        <v>542</v>
      </c>
      <c r="V117">
        <v>1</v>
      </c>
      <c r="W117">
        <v>2</v>
      </c>
      <c r="X117">
        <v>1</v>
      </c>
      <c r="Y117" s="2" t="s">
        <v>550</v>
      </c>
      <c r="Z117" t="s">
        <v>551</v>
      </c>
      <c r="AA117">
        <v>1</v>
      </c>
      <c r="AB117">
        <v>2</v>
      </c>
      <c r="AC117">
        <v>1</v>
      </c>
      <c r="AD117">
        <f t="shared" si="3"/>
        <v>1</v>
      </c>
      <c r="AE117">
        <f t="shared" si="4"/>
        <v>2</v>
      </c>
      <c r="AF117">
        <f t="shared" si="5"/>
        <v>1</v>
      </c>
    </row>
    <row r="118" spans="1:32" x14ac:dyDescent="0.25">
      <c r="A118" t="s">
        <v>280</v>
      </c>
      <c r="B118" t="s">
        <v>281</v>
      </c>
      <c r="C118" t="s">
        <v>247</v>
      </c>
      <c r="D118" t="s">
        <v>33</v>
      </c>
      <c r="E118">
        <v>69</v>
      </c>
      <c r="F118">
        <v>13.1</v>
      </c>
      <c r="G118">
        <v>0</v>
      </c>
      <c r="H118">
        <v>4.62</v>
      </c>
      <c r="I118">
        <v>2.2999999999999998</v>
      </c>
      <c r="J118">
        <v>0.189855</v>
      </c>
      <c r="K118">
        <v>0</v>
      </c>
      <c r="L118">
        <v>6.6957000000000003E-2</v>
      </c>
      <c r="M118">
        <v>3.3333000000000002E-2</v>
      </c>
      <c r="N118">
        <v>292</v>
      </c>
      <c r="Q118">
        <v>4.231884</v>
      </c>
      <c r="R118">
        <v>0.60626100000000005</v>
      </c>
      <c r="T118">
        <v>2016815</v>
      </c>
      <c r="U118" t="s">
        <v>541</v>
      </c>
      <c r="V118">
        <v>5</v>
      </c>
      <c r="W118">
        <v>4</v>
      </c>
      <c r="X118">
        <v>3</v>
      </c>
      <c r="Y118" s="2" t="s">
        <v>550</v>
      </c>
      <c r="Z118" t="s">
        <v>551</v>
      </c>
      <c r="AA118">
        <v>5</v>
      </c>
      <c r="AB118">
        <v>4</v>
      </c>
      <c r="AC118">
        <v>3</v>
      </c>
      <c r="AD118">
        <f t="shared" si="3"/>
        <v>5</v>
      </c>
      <c r="AE118">
        <f t="shared" si="4"/>
        <v>4</v>
      </c>
      <c r="AF118">
        <f t="shared" si="5"/>
        <v>3</v>
      </c>
    </row>
    <row r="119" spans="1:32" x14ac:dyDescent="0.25">
      <c r="A119" t="s">
        <v>282</v>
      </c>
      <c r="B119" t="s">
        <v>283</v>
      </c>
      <c r="C119" t="s">
        <v>247</v>
      </c>
      <c r="D119" t="s">
        <v>33</v>
      </c>
      <c r="E119">
        <v>77</v>
      </c>
      <c r="F119">
        <v>13.8</v>
      </c>
      <c r="G119">
        <v>0</v>
      </c>
      <c r="H119">
        <v>5.38</v>
      </c>
      <c r="I119">
        <v>3.1</v>
      </c>
      <c r="J119">
        <v>0.17922099999999999</v>
      </c>
      <c r="K119">
        <v>0</v>
      </c>
      <c r="L119">
        <v>6.9870000000000002E-2</v>
      </c>
      <c r="M119">
        <v>4.0259999999999997E-2</v>
      </c>
      <c r="N119">
        <v>277</v>
      </c>
      <c r="Q119">
        <v>3.5974029999999999</v>
      </c>
      <c r="R119">
        <v>0.51633799999999996</v>
      </c>
      <c r="T119">
        <v>2016864</v>
      </c>
      <c r="U119" t="s">
        <v>541</v>
      </c>
      <c r="V119">
        <v>5</v>
      </c>
      <c r="W119">
        <v>4</v>
      </c>
      <c r="X119">
        <v>3</v>
      </c>
      <c r="Y119" s="2" t="s">
        <v>550</v>
      </c>
      <c r="Z119" t="s">
        <v>551</v>
      </c>
      <c r="AA119">
        <v>5</v>
      </c>
      <c r="AB119">
        <v>4</v>
      </c>
      <c r="AC119">
        <v>3</v>
      </c>
      <c r="AD119">
        <f t="shared" si="3"/>
        <v>5</v>
      </c>
      <c r="AE119">
        <f t="shared" si="4"/>
        <v>4</v>
      </c>
      <c r="AF119">
        <f t="shared" si="5"/>
        <v>3</v>
      </c>
    </row>
    <row r="120" spans="1:32" x14ac:dyDescent="0.25">
      <c r="A120" t="s">
        <v>284</v>
      </c>
      <c r="B120" t="s">
        <v>285</v>
      </c>
      <c r="C120" t="s">
        <v>211</v>
      </c>
      <c r="D120" t="s">
        <v>33</v>
      </c>
      <c r="E120">
        <v>37</v>
      </c>
      <c r="F120">
        <v>3.7</v>
      </c>
      <c r="G120">
        <v>0</v>
      </c>
      <c r="H120">
        <v>2.4700000000000002</v>
      </c>
      <c r="I120">
        <v>1.2</v>
      </c>
      <c r="J120">
        <v>0.1</v>
      </c>
      <c r="K120">
        <v>0</v>
      </c>
      <c r="L120">
        <v>6.6756999999999997E-2</v>
      </c>
      <c r="M120">
        <v>3.2432000000000002E-2</v>
      </c>
      <c r="N120">
        <v>148</v>
      </c>
      <c r="Q120">
        <v>4</v>
      </c>
      <c r="R120">
        <v>0.59823000000000004</v>
      </c>
      <c r="T120">
        <v>2022206</v>
      </c>
      <c r="U120" t="s">
        <v>542</v>
      </c>
      <c r="V120">
        <v>5</v>
      </c>
      <c r="W120">
        <v>4</v>
      </c>
      <c r="X120">
        <v>1</v>
      </c>
      <c r="Y120" s="2" t="s">
        <v>550</v>
      </c>
      <c r="Z120" t="s">
        <v>551</v>
      </c>
      <c r="AA120">
        <v>5</v>
      </c>
      <c r="AB120">
        <v>4</v>
      </c>
      <c r="AC120">
        <v>1</v>
      </c>
      <c r="AD120">
        <f t="shared" si="3"/>
        <v>5</v>
      </c>
      <c r="AE120">
        <f t="shared" si="4"/>
        <v>4</v>
      </c>
      <c r="AF120">
        <f t="shared" si="5"/>
        <v>1</v>
      </c>
    </row>
    <row r="121" spans="1:32" x14ac:dyDescent="0.25">
      <c r="A121" t="s">
        <v>286</v>
      </c>
      <c r="B121" t="s">
        <v>287</v>
      </c>
      <c r="C121" t="s">
        <v>264</v>
      </c>
      <c r="D121" t="s">
        <v>33</v>
      </c>
      <c r="E121">
        <v>62</v>
      </c>
      <c r="F121">
        <v>15</v>
      </c>
      <c r="G121">
        <v>0</v>
      </c>
      <c r="H121">
        <v>0</v>
      </c>
      <c r="I121">
        <v>0.9</v>
      </c>
      <c r="J121">
        <v>0.24193500000000001</v>
      </c>
      <c r="K121">
        <v>0</v>
      </c>
      <c r="L121">
        <v>0</v>
      </c>
      <c r="M121">
        <v>1.4515999999999999E-2</v>
      </c>
      <c r="N121">
        <v>9</v>
      </c>
      <c r="O121">
        <v>80</v>
      </c>
      <c r="Q121">
        <v>1.435484</v>
      </c>
      <c r="R121">
        <v>0.14491899999999999</v>
      </c>
      <c r="T121">
        <v>2068224</v>
      </c>
      <c r="U121" t="s">
        <v>542</v>
      </c>
      <c r="V121">
        <v>3</v>
      </c>
      <c r="W121">
        <v>2</v>
      </c>
      <c r="X121">
        <v>1</v>
      </c>
      <c r="Y121" s="3" t="s">
        <v>552</v>
      </c>
      <c r="Z121" t="s">
        <v>554</v>
      </c>
      <c r="AA121">
        <v>4</v>
      </c>
      <c r="AB121">
        <v>2</v>
      </c>
      <c r="AC121">
        <v>1</v>
      </c>
      <c r="AD121">
        <f t="shared" si="3"/>
        <v>4</v>
      </c>
      <c r="AE121">
        <f t="shared" si="4"/>
        <v>2</v>
      </c>
      <c r="AF121">
        <f t="shared" si="5"/>
        <v>1</v>
      </c>
    </row>
    <row r="122" spans="1:32" x14ac:dyDescent="0.25">
      <c r="A122" t="s">
        <v>288</v>
      </c>
      <c r="B122" t="s">
        <v>289</v>
      </c>
      <c r="C122" t="s">
        <v>290</v>
      </c>
      <c r="D122" t="s">
        <v>33</v>
      </c>
      <c r="E122">
        <v>21</v>
      </c>
      <c r="F122">
        <v>4.13</v>
      </c>
      <c r="G122">
        <v>0</v>
      </c>
      <c r="H122">
        <v>0.83</v>
      </c>
      <c r="I122">
        <v>0.8</v>
      </c>
      <c r="J122">
        <v>0.19666700000000001</v>
      </c>
      <c r="K122">
        <v>0</v>
      </c>
      <c r="L122">
        <v>3.9523999999999997E-2</v>
      </c>
      <c r="M122">
        <v>3.8094999999999997E-2</v>
      </c>
      <c r="N122">
        <v>17</v>
      </c>
      <c r="Q122">
        <v>0.80952400000000002</v>
      </c>
      <c r="R122">
        <v>8.1975999999999993E-2</v>
      </c>
      <c r="T122">
        <v>2016816</v>
      </c>
      <c r="U122" t="s">
        <v>542</v>
      </c>
      <c r="V122">
        <v>4</v>
      </c>
      <c r="W122">
        <v>3</v>
      </c>
      <c r="X122">
        <v>1</v>
      </c>
      <c r="Y122" s="2" t="s">
        <v>550</v>
      </c>
      <c r="Z122" t="s">
        <v>551</v>
      </c>
      <c r="AA122">
        <v>4</v>
      </c>
      <c r="AB122">
        <v>3</v>
      </c>
      <c r="AC122">
        <v>1</v>
      </c>
      <c r="AD122">
        <f t="shared" si="3"/>
        <v>4</v>
      </c>
      <c r="AE122">
        <f t="shared" si="4"/>
        <v>3</v>
      </c>
      <c r="AF122">
        <f t="shared" si="5"/>
        <v>1</v>
      </c>
    </row>
    <row r="123" spans="1:32" x14ac:dyDescent="0.25">
      <c r="A123" t="s">
        <v>291</v>
      </c>
      <c r="B123" t="s">
        <v>289</v>
      </c>
      <c r="C123" t="s">
        <v>290</v>
      </c>
      <c r="D123" t="s">
        <v>33</v>
      </c>
      <c r="E123">
        <v>21</v>
      </c>
      <c r="F123">
        <v>4.13</v>
      </c>
      <c r="G123">
        <v>0</v>
      </c>
      <c r="H123">
        <v>0.83</v>
      </c>
      <c r="I123">
        <v>0.8</v>
      </c>
      <c r="J123">
        <v>0.19666700000000001</v>
      </c>
      <c r="K123">
        <v>0</v>
      </c>
      <c r="L123">
        <v>3.9523999999999997E-2</v>
      </c>
      <c r="M123">
        <v>3.8094999999999997E-2</v>
      </c>
      <c r="N123">
        <v>165</v>
      </c>
      <c r="Q123">
        <v>7.8571429999999998</v>
      </c>
      <c r="R123">
        <v>1.139119</v>
      </c>
      <c r="T123">
        <v>2016857</v>
      </c>
      <c r="U123" t="s">
        <v>542</v>
      </c>
      <c r="V123">
        <v>4</v>
      </c>
      <c r="W123">
        <v>3</v>
      </c>
      <c r="X123">
        <v>1</v>
      </c>
      <c r="Y123" s="2" t="s">
        <v>550</v>
      </c>
      <c r="Z123" t="s">
        <v>551</v>
      </c>
      <c r="AA123">
        <v>4</v>
      </c>
      <c r="AB123">
        <v>3</v>
      </c>
      <c r="AC123">
        <v>1</v>
      </c>
      <c r="AD123">
        <f t="shared" si="3"/>
        <v>4</v>
      </c>
      <c r="AE123">
        <f t="shared" si="4"/>
        <v>3</v>
      </c>
      <c r="AF123">
        <f t="shared" si="5"/>
        <v>1</v>
      </c>
    </row>
    <row r="124" spans="1:32" x14ac:dyDescent="0.25">
      <c r="A124" t="s">
        <v>292</v>
      </c>
      <c r="B124" t="s">
        <v>293</v>
      </c>
      <c r="C124" t="s">
        <v>247</v>
      </c>
      <c r="D124" t="s">
        <v>33</v>
      </c>
      <c r="E124">
        <v>85</v>
      </c>
      <c r="F124">
        <v>15.4</v>
      </c>
      <c r="G124">
        <v>0</v>
      </c>
      <c r="H124">
        <v>4.62</v>
      </c>
      <c r="I124">
        <v>3.8</v>
      </c>
      <c r="J124">
        <v>0.181176</v>
      </c>
      <c r="K124">
        <v>0</v>
      </c>
      <c r="L124">
        <v>5.4352999999999999E-2</v>
      </c>
      <c r="M124">
        <v>4.4706000000000003E-2</v>
      </c>
      <c r="N124">
        <v>269</v>
      </c>
      <c r="Q124">
        <v>3.1647059999999998</v>
      </c>
      <c r="R124">
        <v>0.44608300000000001</v>
      </c>
      <c r="T124">
        <v>2016827</v>
      </c>
      <c r="U124" t="s">
        <v>541</v>
      </c>
      <c r="V124">
        <v>5</v>
      </c>
      <c r="W124">
        <v>4</v>
      </c>
      <c r="X124">
        <v>3</v>
      </c>
      <c r="Y124" s="2" t="s">
        <v>550</v>
      </c>
      <c r="Z124" t="s">
        <v>551</v>
      </c>
      <c r="AA124">
        <v>5</v>
      </c>
      <c r="AB124">
        <v>4</v>
      </c>
      <c r="AC124">
        <v>3</v>
      </c>
      <c r="AD124">
        <f t="shared" si="3"/>
        <v>5</v>
      </c>
      <c r="AE124">
        <f t="shared" si="4"/>
        <v>4</v>
      </c>
      <c r="AF124">
        <f t="shared" si="5"/>
        <v>3</v>
      </c>
    </row>
    <row r="125" spans="1:32" x14ac:dyDescent="0.25">
      <c r="A125" t="s">
        <v>294</v>
      </c>
      <c r="B125" t="s">
        <v>295</v>
      </c>
      <c r="C125" t="s">
        <v>235</v>
      </c>
      <c r="D125" t="s">
        <v>33</v>
      </c>
      <c r="E125">
        <v>33</v>
      </c>
      <c r="F125">
        <v>6.67</v>
      </c>
      <c r="G125">
        <v>0</v>
      </c>
      <c r="H125">
        <v>0.83</v>
      </c>
      <c r="I125">
        <v>0.8</v>
      </c>
      <c r="J125">
        <v>0.202121</v>
      </c>
      <c r="K125">
        <v>0</v>
      </c>
      <c r="L125">
        <v>2.5152000000000001E-2</v>
      </c>
      <c r="M125">
        <v>2.4242E-2</v>
      </c>
      <c r="N125">
        <v>208</v>
      </c>
      <c r="Q125">
        <v>6.3030299999999997</v>
      </c>
      <c r="R125">
        <v>0.897258</v>
      </c>
      <c r="T125">
        <v>2289815</v>
      </c>
      <c r="U125" t="s">
        <v>542</v>
      </c>
      <c r="V125">
        <v>4</v>
      </c>
      <c r="W125">
        <v>3</v>
      </c>
      <c r="X125">
        <v>1</v>
      </c>
      <c r="Y125" s="2" t="s">
        <v>550</v>
      </c>
      <c r="Z125" t="s">
        <v>551</v>
      </c>
      <c r="AA125">
        <v>4</v>
      </c>
      <c r="AB125">
        <v>3</v>
      </c>
      <c r="AC125">
        <v>1</v>
      </c>
      <c r="AD125">
        <f t="shared" si="3"/>
        <v>4</v>
      </c>
      <c r="AE125">
        <f t="shared" si="4"/>
        <v>3</v>
      </c>
      <c r="AF125">
        <f t="shared" si="5"/>
        <v>1</v>
      </c>
    </row>
    <row r="126" spans="1:32" x14ac:dyDescent="0.25">
      <c r="A126" t="s">
        <v>296</v>
      </c>
      <c r="B126" t="s">
        <v>297</v>
      </c>
      <c r="C126" t="s">
        <v>217</v>
      </c>
      <c r="D126" t="s">
        <v>28</v>
      </c>
      <c r="E126">
        <v>333</v>
      </c>
      <c r="F126">
        <v>0.67</v>
      </c>
      <c r="G126">
        <v>32.700000000000003</v>
      </c>
      <c r="H126">
        <v>20.7</v>
      </c>
      <c r="I126">
        <v>40.700000000000003</v>
      </c>
      <c r="J126">
        <v>2.0119999999999999E-3</v>
      </c>
      <c r="K126">
        <v>9.8197999999999994E-2</v>
      </c>
      <c r="L126">
        <v>6.2162000000000002E-2</v>
      </c>
      <c r="M126">
        <v>0.122222</v>
      </c>
      <c r="N126">
        <v>0</v>
      </c>
      <c r="O126">
        <v>700</v>
      </c>
      <c r="P126">
        <v>393</v>
      </c>
      <c r="Q126">
        <v>3.2822819999999999</v>
      </c>
      <c r="R126">
        <v>0.55637800000000004</v>
      </c>
      <c r="S126" t="s">
        <v>29</v>
      </c>
      <c r="T126">
        <v>2287895</v>
      </c>
      <c r="U126" t="s">
        <v>541</v>
      </c>
      <c r="V126">
        <v>5</v>
      </c>
      <c r="W126">
        <v>4</v>
      </c>
      <c r="X126">
        <v>4</v>
      </c>
      <c r="Y126" s="2" t="s">
        <v>550</v>
      </c>
      <c r="Z126" t="s">
        <v>551</v>
      </c>
      <c r="AA126">
        <v>5</v>
      </c>
      <c r="AB126">
        <v>4</v>
      </c>
      <c r="AC126">
        <v>4</v>
      </c>
      <c r="AD126">
        <f t="shared" si="3"/>
        <v>5</v>
      </c>
      <c r="AE126">
        <f t="shared" si="4"/>
        <v>4</v>
      </c>
      <c r="AF126">
        <f t="shared" si="5"/>
        <v>4</v>
      </c>
    </row>
    <row r="127" spans="1:32" x14ac:dyDescent="0.25">
      <c r="A127" t="s">
        <v>298</v>
      </c>
      <c r="B127" t="s">
        <v>299</v>
      </c>
      <c r="C127" t="s">
        <v>217</v>
      </c>
      <c r="D127" t="s">
        <v>23</v>
      </c>
      <c r="E127">
        <v>536</v>
      </c>
      <c r="F127">
        <v>28.6</v>
      </c>
      <c r="G127">
        <v>28.6</v>
      </c>
      <c r="H127">
        <v>17.899999999999999</v>
      </c>
      <c r="I127">
        <v>28.6</v>
      </c>
      <c r="J127">
        <v>5.3358000000000003E-2</v>
      </c>
      <c r="K127">
        <v>5.3358000000000003E-2</v>
      </c>
      <c r="L127">
        <v>3.3396000000000002E-2</v>
      </c>
      <c r="M127">
        <v>5.3358000000000003E-2</v>
      </c>
      <c r="N127">
        <v>32</v>
      </c>
      <c r="Q127">
        <v>5.9700999999999997E-2</v>
      </c>
      <c r="R127">
        <v>2.598E-2</v>
      </c>
      <c r="S127" t="s">
        <v>24</v>
      </c>
      <c r="T127">
        <v>1522400</v>
      </c>
      <c r="U127" t="s">
        <v>541</v>
      </c>
      <c r="V127">
        <v>5</v>
      </c>
      <c r="W127">
        <v>3</v>
      </c>
      <c r="X127">
        <v>4</v>
      </c>
      <c r="Y127" s="2" t="s">
        <v>550</v>
      </c>
      <c r="Z127" t="s">
        <v>551</v>
      </c>
      <c r="AA127">
        <v>5</v>
      </c>
      <c r="AB127">
        <v>3</v>
      </c>
      <c r="AC127">
        <v>4</v>
      </c>
      <c r="AD127">
        <f t="shared" si="3"/>
        <v>5</v>
      </c>
      <c r="AE127">
        <f t="shared" si="4"/>
        <v>3</v>
      </c>
      <c r="AF127">
        <f t="shared" si="5"/>
        <v>4</v>
      </c>
    </row>
    <row r="128" spans="1:32" x14ac:dyDescent="0.25">
      <c r="A128" t="s">
        <v>300</v>
      </c>
      <c r="B128" t="s">
        <v>301</v>
      </c>
      <c r="C128" t="s">
        <v>302</v>
      </c>
      <c r="D128" t="s">
        <v>23</v>
      </c>
      <c r="E128">
        <v>594</v>
      </c>
      <c r="F128">
        <v>25</v>
      </c>
      <c r="G128">
        <v>50</v>
      </c>
      <c r="H128">
        <v>21.9</v>
      </c>
      <c r="I128">
        <v>12.5</v>
      </c>
      <c r="J128">
        <v>4.2088E-2</v>
      </c>
      <c r="K128">
        <v>8.4175E-2</v>
      </c>
      <c r="L128">
        <v>3.6868999999999999E-2</v>
      </c>
      <c r="M128">
        <v>2.1044E-2</v>
      </c>
      <c r="N128">
        <v>0</v>
      </c>
      <c r="Q128">
        <v>0</v>
      </c>
      <c r="R128">
        <v>2.4478E-2</v>
      </c>
      <c r="S128" t="s">
        <v>24</v>
      </c>
      <c r="T128">
        <v>2285416</v>
      </c>
      <c r="U128" t="s">
        <v>541</v>
      </c>
      <c r="V128">
        <v>5</v>
      </c>
      <c r="W128">
        <v>2</v>
      </c>
      <c r="X128">
        <v>4</v>
      </c>
      <c r="Y128" s="2" t="s">
        <v>550</v>
      </c>
      <c r="Z128" t="s">
        <v>551</v>
      </c>
      <c r="AA128">
        <v>5</v>
      </c>
      <c r="AB128">
        <v>2</v>
      </c>
      <c r="AC128">
        <v>4</v>
      </c>
      <c r="AD128">
        <f t="shared" si="3"/>
        <v>5</v>
      </c>
      <c r="AE128">
        <f t="shared" si="4"/>
        <v>2</v>
      </c>
      <c r="AF128">
        <f t="shared" si="5"/>
        <v>4</v>
      </c>
    </row>
    <row r="129" spans="1:32" x14ac:dyDescent="0.25">
      <c r="A129" t="s">
        <v>303</v>
      </c>
      <c r="B129" t="s">
        <v>304</v>
      </c>
      <c r="C129" t="s">
        <v>247</v>
      </c>
      <c r="D129" t="s">
        <v>33</v>
      </c>
      <c r="E129">
        <v>97</v>
      </c>
      <c r="F129">
        <v>17.7</v>
      </c>
      <c r="G129">
        <v>0.44</v>
      </c>
      <c r="H129">
        <v>6.19</v>
      </c>
      <c r="I129">
        <v>5.3</v>
      </c>
      <c r="J129">
        <v>0.182474</v>
      </c>
      <c r="K129">
        <v>4.5360000000000001E-3</v>
      </c>
      <c r="L129">
        <v>6.3813999999999996E-2</v>
      </c>
      <c r="M129">
        <v>5.4639E-2</v>
      </c>
      <c r="N129">
        <v>336</v>
      </c>
      <c r="Q129">
        <v>3.4639180000000001</v>
      </c>
      <c r="R129">
        <v>0.49651000000000001</v>
      </c>
      <c r="T129">
        <v>2031508</v>
      </c>
      <c r="U129" t="s">
        <v>541</v>
      </c>
      <c r="V129">
        <v>5</v>
      </c>
      <c r="W129">
        <v>4</v>
      </c>
      <c r="X129">
        <v>3</v>
      </c>
      <c r="Y129" s="2" t="s">
        <v>550</v>
      </c>
      <c r="Z129" t="s">
        <v>551</v>
      </c>
      <c r="AA129">
        <v>5</v>
      </c>
      <c r="AB129">
        <v>4</v>
      </c>
      <c r="AC129">
        <v>3</v>
      </c>
      <c r="AD129">
        <f t="shared" si="3"/>
        <v>5</v>
      </c>
      <c r="AE129">
        <f t="shared" si="4"/>
        <v>4</v>
      </c>
      <c r="AF129">
        <f t="shared" si="5"/>
        <v>3</v>
      </c>
    </row>
    <row r="130" spans="1:32" x14ac:dyDescent="0.25">
      <c r="A130" t="s">
        <v>305</v>
      </c>
      <c r="B130" t="s">
        <v>306</v>
      </c>
      <c r="C130" t="s">
        <v>214</v>
      </c>
      <c r="D130" t="s">
        <v>28</v>
      </c>
      <c r="E130">
        <v>357</v>
      </c>
      <c r="F130">
        <v>3.57</v>
      </c>
      <c r="G130">
        <v>28.6</v>
      </c>
      <c r="H130">
        <v>25</v>
      </c>
      <c r="I130">
        <v>0</v>
      </c>
      <c r="J130">
        <v>0.01</v>
      </c>
      <c r="K130">
        <v>8.0112000000000003E-2</v>
      </c>
      <c r="L130">
        <v>7.0028000000000007E-2</v>
      </c>
      <c r="M130">
        <v>0</v>
      </c>
      <c r="N130">
        <v>1360</v>
      </c>
      <c r="Q130">
        <v>3.8095240000000001</v>
      </c>
      <c r="R130">
        <v>0.61296600000000001</v>
      </c>
      <c r="S130" t="s">
        <v>29</v>
      </c>
      <c r="T130">
        <v>2015648</v>
      </c>
      <c r="U130" t="s">
        <v>541</v>
      </c>
      <c r="V130">
        <v>2</v>
      </c>
      <c r="W130">
        <v>3</v>
      </c>
      <c r="X130">
        <v>3</v>
      </c>
      <c r="Y130" s="2" t="s">
        <v>550</v>
      </c>
      <c r="Z130" t="s">
        <v>551</v>
      </c>
      <c r="AA130">
        <v>2</v>
      </c>
      <c r="AB130">
        <v>3</v>
      </c>
      <c r="AC130">
        <v>3</v>
      </c>
      <c r="AD130">
        <f t="shared" si="3"/>
        <v>2</v>
      </c>
      <c r="AE130">
        <f t="shared" si="4"/>
        <v>3</v>
      </c>
      <c r="AF130">
        <f t="shared" si="5"/>
        <v>3</v>
      </c>
    </row>
    <row r="131" spans="1:32" x14ac:dyDescent="0.25">
      <c r="A131" t="s">
        <v>307</v>
      </c>
      <c r="B131" t="s">
        <v>308</v>
      </c>
      <c r="C131" t="s">
        <v>211</v>
      </c>
      <c r="D131" t="s">
        <v>33</v>
      </c>
      <c r="E131">
        <v>34</v>
      </c>
      <c r="F131">
        <v>3.45</v>
      </c>
      <c r="G131">
        <v>0</v>
      </c>
      <c r="H131">
        <v>2.2999999999999998</v>
      </c>
      <c r="I131">
        <v>2.2999999999999998</v>
      </c>
      <c r="J131">
        <v>0.10147100000000001</v>
      </c>
      <c r="K131">
        <v>0</v>
      </c>
      <c r="L131">
        <v>6.7646999999999999E-2</v>
      </c>
      <c r="M131">
        <v>6.7646999999999999E-2</v>
      </c>
      <c r="N131">
        <v>34</v>
      </c>
      <c r="Q131">
        <v>1</v>
      </c>
      <c r="R131">
        <v>0.15338199999999999</v>
      </c>
      <c r="T131">
        <v>2059124</v>
      </c>
      <c r="U131" t="s">
        <v>542</v>
      </c>
      <c r="V131">
        <v>4</v>
      </c>
      <c r="W131">
        <v>3</v>
      </c>
      <c r="X131">
        <v>1</v>
      </c>
      <c r="Y131" s="4" t="s">
        <v>555</v>
      </c>
      <c r="Z131" t="s">
        <v>570</v>
      </c>
      <c r="AA131">
        <v>5</v>
      </c>
      <c r="AB131">
        <v>4</v>
      </c>
      <c r="AC131">
        <v>1</v>
      </c>
      <c r="AD131">
        <f t="shared" ref="AD131:AD194" si="6">AA131</f>
        <v>5</v>
      </c>
      <c r="AE131">
        <f t="shared" ref="AE131:AE194" si="7">AB131</f>
        <v>4</v>
      </c>
      <c r="AF131">
        <f t="shared" ref="AF131:AF194" si="8">AC131</f>
        <v>1</v>
      </c>
    </row>
    <row r="132" spans="1:32" x14ac:dyDescent="0.25">
      <c r="A132" t="s">
        <v>309</v>
      </c>
      <c r="B132" t="s">
        <v>310</v>
      </c>
      <c r="C132" t="s">
        <v>214</v>
      </c>
      <c r="D132" t="s">
        <v>28</v>
      </c>
      <c r="E132">
        <v>286</v>
      </c>
      <c r="F132">
        <v>3.57</v>
      </c>
      <c r="G132">
        <v>21.4</v>
      </c>
      <c r="H132">
        <v>17.899999999999999</v>
      </c>
      <c r="I132">
        <v>0</v>
      </c>
      <c r="J132">
        <v>1.2482999999999999E-2</v>
      </c>
      <c r="K132">
        <v>7.4825000000000003E-2</v>
      </c>
      <c r="L132">
        <v>6.2587000000000004E-2</v>
      </c>
      <c r="M132">
        <v>0</v>
      </c>
      <c r="N132">
        <v>1140</v>
      </c>
      <c r="Q132">
        <v>3.9860139999999999</v>
      </c>
      <c r="R132">
        <v>0.63476900000000003</v>
      </c>
      <c r="S132" t="s">
        <v>29</v>
      </c>
      <c r="T132">
        <v>2055190</v>
      </c>
      <c r="U132" t="s">
        <v>541</v>
      </c>
      <c r="V132">
        <v>2</v>
      </c>
      <c r="W132">
        <v>3</v>
      </c>
      <c r="X132">
        <v>3</v>
      </c>
      <c r="Y132" s="2" t="s">
        <v>550</v>
      </c>
      <c r="Z132" t="s">
        <v>551</v>
      </c>
      <c r="AA132">
        <v>2</v>
      </c>
      <c r="AB132">
        <v>3</v>
      </c>
      <c r="AC132">
        <v>3</v>
      </c>
      <c r="AD132">
        <f t="shared" si="6"/>
        <v>2</v>
      </c>
      <c r="AE132">
        <f t="shared" si="7"/>
        <v>3</v>
      </c>
      <c r="AF132">
        <f t="shared" si="8"/>
        <v>3</v>
      </c>
    </row>
    <row r="133" spans="1:32" x14ac:dyDescent="0.25">
      <c r="A133" t="s">
        <v>311</v>
      </c>
      <c r="B133" t="s">
        <v>312</v>
      </c>
      <c r="C133" t="s">
        <v>313</v>
      </c>
      <c r="D133" t="s">
        <v>33</v>
      </c>
      <c r="E133">
        <v>238</v>
      </c>
      <c r="F133">
        <v>23.8</v>
      </c>
      <c r="G133">
        <v>11.9</v>
      </c>
      <c r="H133">
        <v>10.7</v>
      </c>
      <c r="I133">
        <v>1.2</v>
      </c>
      <c r="J133">
        <v>0.1</v>
      </c>
      <c r="K133">
        <v>0.05</v>
      </c>
      <c r="L133">
        <v>4.4957999999999998E-2</v>
      </c>
      <c r="M133">
        <v>5.0419999999999996E-3</v>
      </c>
      <c r="N133">
        <v>929</v>
      </c>
      <c r="Q133">
        <v>3.9033609999999999</v>
      </c>
      <c r="R133">
        <v>0.58449600000000002</v>
      </c>
      <c r="T133">
        <v>2082145</v>
      </c>
      <c r="U133" t="s">
        <v>541</v>
      </c>
      <c r="V133">
        <v>4</v>
      </c>
      <c r="W133">
        <v>3</v>
      </c>
      <c r="X133">
        <v>3</v>
      </c>
      <c r="Y133" s="2" t="s">
        <v>550</v>
      </c>
      <c r="Z133" t="s">
        <v>551</v>
      </c>
      <c r="AA133">
        <v>4</v>
      </c>
      <c r="AB133">
        <v>3</v>
      </c>
      <c r="AC133">
        <v>3</v>
      </c>
      <c r="AD133">
        <f t="shared" si="6"/>
        <v>4</v>
      </c>
      <c r="AE133">
        <f t="shared" si="7"/>
        <v>3</v>
      </c>
      <c r="AF133">
        <f t="shared" si="8"/>
        <v>3</v>
      </c>
    </row>
    <row r="134" spans="1:32" x14ac:dyDescent="0.25">
      <c r="A134" t="s">
        <v>314</v>
      </c>
      <c r="B134" t="s">
        <v>315</v>
      </c>
      <c r="C134" t="s">
        <v>214</v>
      </c>
      <c r="D134" t="s">
        <v>28</v>
      </c>
      <c r="E134">
        <v>78</v>
      </c>
      <c r="F134">
        <v>5.22</v>
      </c>
      <c r="G134">
        <v>1.3</v>
      </c>
      <c r="H134">
        <v>12.2</v>
      </c>
      <c r="I134">
        <v>0</v>
      </c>
      <c r="J134">
        <v>6.6922999999999996E-2</v>
      </c>
      <c r="K134">
        <v>1.6667000000000001E-2</v>
      </c>
      <c r="L134">
        <v>0.15640999999999999</v>
      </c>
      <c r="M134">
        <v>0</v>
      </c>
      <c r="N134">
        <v>417</v>
      </c>
      <c r="Q134">
        <v>5.3461540000000003</v>
      </c>
      <c r="R134">
        <v>0.84075599999999995</v>
      </c>
      <c r="S134" t="s">
        <v>29</v>
      </c>
      <c r="T134">
        <v>2121378</v>
      </c>
      <c r="U134" t="s">
        <v>541</v>
      </c>
      <c r="V134">
        <v>4</v>
      </c>
      <c r="W134">
        <v>4</v>
      </c>
      <c r="X134">
        <v>3</v>
      </c>
      <c r="Y134" s="2" t="s">
        <v>550</v>
      </c>
      <c r="Z134" t="s">
        <v>551</v>
      </c>
      <c r="AA134">
        <v>4</v>
      </c>
      <c r="AB134">
        <v>4</v>
      </c>
      <c r="AC134">
        <v>3</v>
      </c>
      <c r="AD134">
        <f t="shared" si="6"/>
        <v>4</v>
      </c>
      <c r="AE134">
        <f t="shared" si="7"/>
        <v>4</v>
      </c>
      <c r="AF134">
        <f t="shared" si="8"/>
        <v>3</v>
      </c>
    </row>
    <row r="135" spans="1:32" x14ac:dyDescent="0.25">
      <c r="A135" t="s">
        <v>316</v>
      </c>
      <c r="B135" t="s">
        <v>317</v>
      </c>
      <c r="C135" t="s">
        <v>318</v>
      </c>
      <c r="D135" t="s">
        <v>33</v>
      </c>
      <c r="E135">
        <v>136</v>
      </c>
      <c r="F135">
        <v>0</v>
      </c>
      <c r="G135">
        <v>9.09</v>
      </c>
      <c r="H135">
        <v>13.6</v>
      </c>
      <c r="J135">
        <v>0</v>
      </c>
      <c r="K135">
        <v>6.6837999999999995E-2</v>
      </c>
      <c r="L135">
        <v>0.1</v>
      </c>
      <c r="M135">
        <v>0</v>
      </c>
      <c r="N135">
        <v>136</v>
      </c>
      <c r="O135">
        <v>136</v>
      </c>
      <c r="Q135">
        <v>2</v>
      </c>
      <c r="R135">
        <v>0.35171000000000002</v>
      </c>
      <c r="T135">
        <v>1662591</v>
      </c>
      <c r="U135" t="s">
        <v>541</v>
      </c>
      <c r="V135">
        <v>3</v>
      </c>
      <c r="W135">
        <v>3</v>
      </c>
      <c r="X135">
        <v>2</v>
      </c>
      <c r="Y135" s="3" t="s">
        <v>552</v>
      </c>
      <c r="Z135" t="s">
        <v>609</v>
      </c>
      <c r="AA135">
        <v>4</v>
      </c>
      <c r="AB135">
        <v>3</v>
      </c>
      <c r="AC135">
        <v>2</v>
      </c>
      <c r="AD135">
        <f t="shared" si="6"/>
        <v>4</v>
      </c>
      <c r="AE135">
        <f t="shared" si="7"/>
        <v>3</v>
      </c>
      <c r="AF135">
        <f t="shared" si="8"/>
        <v>2</v>
      </c>
    </row>
    <row r="136" spans="1:32" x14ac:dyDescent="0.25">
      <c r="A136" t="s">
        <v>319</v>
      </c>
      <c r="B136" t="s">
        <v>320</v>
      </c>
      <c r="C136" t="s">
        <v>214</v>
      </c>
      <c r="D136" t="s">
        <v>28</v>
      </c>
      <c r="E136">
        <v>250</v>
      </c>
      <c r="F136">
        <v>3.57</v>
      </c>
      <c r="G136">
        <v>14.3</v>
      </c>
      <c r="H136">
        <v>28.6</v>
      </c>
      <c r="I136">
        <v>0</v>
      </c>
      <c r="J136">
        <v>1.4279999999999999E-2</v>
      </c>
      <c r="K136">
        <v>5.7200000000000001E-2</v>
      </c>
      <c r="L136">
        <v>0.1144</v>
      </c>
      <c r="M136">
        <v>0</v>
      </c>
      <c r="N136">
        <v>714</v>
      </c>
      <c r="Q136">
        <v>2.8559999999999999</v>
      </c>
      <c r="R136">
        <v>0.47845599999999999</v>
      </c>
      <c r="S136" t="s">
        <v>29</v>
      </c>
      <c r="T136">
        <v>2055211</v>
      </c>
      <c r="U136" t="s">
        <v>541</v>
      </c>
      <c r="V136">
        <v>2</v>
      </c>
      <c r="W136">
        <v>3</v>
      </c>
      <c r="X136">
        <v>3</v>
      </c>
      <c r="Y136" s="2" t="s">
        <v>550</v>
      </c>
      <c r="Z136" t="s">
        <v>551</v>
      </c>
      <c r="AA136">
        <v>2</v>
      </c>
      <c r="AB136">
        <v>3</v>
      </c>
      <c r="AC136">
        <v>3</v>
      </c>
      <c r="AD136">
        <f t="shared" si="6"/>
        <v>2</v>
      </c>
      <c r="AE136">
        <f t="shared" si="7"/>
        <v>3</v>
      </c>
      <c r="AF136">
        <f t="shared" si="8"/>
        <v>3</v>
      </c>
    </row>
    <row r="137" spans="1:32" x14ac:dyDescent="0.25">
      <c r="A137" t="s">
        <v>321</v>
      </c>
      <c r="B137" t="s">
        <v>322</v>
      </c>
      <c r="C137" t="s">
        <v>214</v>
      </c>
      <c r="D137" t="s">
        <v>28</v>
      </c>
      <c r="E137">
        <v>381</v>
      </c>
      <c r="F137">
        <v>4.76</v>
      </c>
      <c r="G137">
        <v>28.6</v>
      </c>
      <c r="H137">
        <v>23.8</v>
      </c>
      <c r="I137">
        <v>0</v>
      </c>
      <c r="J137">
        <v>1.2493000000000001E-2</v>
      </c>
      <c r="K137">
        <v>7.5065999999999994E-2</v>
      </c>
      <c r="L137">
        <v>6.2467000000000002E-2</v>
      </c>
      <c r="M137">
        <v>0</v>
      </c>
      <c r="N137">
        <v>857</v>
      </c>
      <c r="Q137">
        <v>2.2493439999999998</v>
      </c>
      <c r="R137">
        <v>0.37428400000000001</v>
      </c>
      <c r="S137" t="s">
        <v>29</v>
      </c>
      <c r="T137">
        <v>2055163</v>
      </c>
      <c r="U137" t="s">
        <v>541</v>
      </c>
      <c r="V137">
        <v>2</v>
      </c>
      <c r="W137">
        <v>3</v>
      </c>
      <c r="X137">
        <v>3</v>
      </c>
      <c r="Y137" s="2" t="s">
        <v>550</v>
      </c>
      <c r="Z137" t="s">
        <v>551</v>
      </c>
      <c r="AA137">
        <v>2</v>
      </c>
      <c r="AB137">
        <v>3</v>
      </c>
      <c r="AC137">
        <v>3</v>
      </c>
      <c r="AD137">
        <f t="shared" si="6"/>
        <v>2</v>
      </c>
      <c r="AE137">
        <f t="shared" si="7"/>
        <v>3</v>
      </c>
      <c r="AF137">
        <f t="shared" si="8"/>
        <v>3</v>
      </c>
    </row>
    <row r="138" spans="1:32" x14ac:dyDescent="0.25">
      <c r="A138" t="s">
        <v>323</v>
      </c>
      <c r="B138" t="s">
        <v>324</v>
      </c>
      <c r="C138" t="s">
        <v>214</v>
      </c>
      <c r="D138" t="s">
        <v>108</v>
      </c>
      <c r="E138">
        <v>381</v>
      </c>
      <c r="F138">
        <v>4.76</v>
      </c>
      <c r="G138">
        <v>28.6</v>
      </c>
      <c r="H138">
        <v>28.6</v>
      </c>
      <c r="I138">
        <v>0</v>
      </c>
      <c r="J138">
        <v>1.2493000000000001E-2</v>
      </c>
      <c r="K138">
        <v>7.5065999999999994E-2</v>
      </c>
      <c r="L138">
        <v>7.5065999999999994E-2</v>
      </c>
      <c r="M138">
        <v>0</v>
      </c>
      <c r="N138">
        <v>238</v>
      </c>
      <c r="Q138">
        <v>0.62467200000000001</v>
      </c>
      <c r="R138">
        <v>0.134992</v>
      </c>
      <c r="S138" t="s">
        <v>109</v>
      </c>
      <c r="T138">
        <v>2055161</v>
      </c>
      <c r="U138" t="s">
        <v>541</v>
      </c>
      <c r="V138">
        <v>2</v>
      </c>
      <c r="W138">
        <v>2</v>
      </c>
      <c r="X138">
        <v>3</v>
      </c>
      <c r="Y138" s="2" t="s">
        <v>550</v>
      </c>
      <c r="Z138" t="s">
        <v>551</v>
      </c>
      <c r="AA138">
        <v>2</v>
      </c>
      <c r="AB138">
        <v>2</v>
      </c>
      <c r="AC138">
        <v>3</v>
      </c>
      <c r="AD138">
        <f t="shared" si="6"/>
        <v>2</v>
      </c>
      <c r="AE138">
        <f t="shared" si="7"/>
        <v>2</v>
      </c>
      <c r="AF138">
        <f t="shared" si="8"/>
        <v>3</v>
      </c>
    </row>
    <row r="139" spans="1:32" x14ac:dyDescent="0.25">
      <c r="A139" t="s">
        <v>325</v>
      </c>
      <c r="B139" t="s">
        <v>326</v>
      </c>
      <c r="C139" t="s">
        <v>264</v>
      </c>
      <c r="D139" t="s">
        <v>33</v>
      </c>
      <c r="E139">
        <v>57</v>
      </c>
      <c r="F139">
        <v>13.9</v>
      </c>
      <c r="G139">
        <v>0</v>
      </c>
      <c r="H139">
        <v>0</v>
      </c>
      <c r="I139">
        <v>0.8</v>
      </c>
      <c r="J139">
        <v>0.24385999999999999</v>
      </c>
      <c r="K139">
        <v>0</v>
      </c>
      <c r="L139">
        <v>0</v>
      </c>
      <c r="M139">
        <v>1.4035000000000001E-2</v>
      </c>
      <c r="N139">
        <v>0</v>
      </c>
      <c r="Q139">
        <v>0</v>
      </c>
      <c r="R139">
        <v>-7.1053000000000005E-2</v>
      </c>
      <c r="T139">
        <v>2026572</v>
      </c>
      <c r="U139" t="s">
        <v>542</v>
      </c>
      <c r="V139">
        <v>3</v>
      </c>
      <c r="W139">
        <v>2</v>
      </c>
      <c r="X139">
        <v>1</v>
      </c>
      <c r="Y139" s="2" t="s">
        <v>550</v>
      </c>
      <c r="Z139" t="s">
        <v>551</v>
      </c>
      <c r="AA139">
        <v>3</v>
      </c>
      <c r="AB139">
        <v>2</v>
      </c>
      <c r="AC139">
        <v>1</v>
      </c>
      <c r="AD139">
        <f t="shared" si="6"/>
        <v>3</v>
      </c>
      <c r="AE139">
        <f t="shared" si="7"/>
        <v>2</v>
      </c>
      <c r="AF139">
        <f t="shared" si="8"/>
        <v>1</v>
      </c>
    </row>
    <row r="140" spans="1:32" x14ac:dyDescent="0.25">
      <c r="A140" t="s">
        <v>327</v>
      </c>
      <c r="B140" t="s">
        <v>328</v>
      </c>
      <c r="C140" t="s">
        <v>329</v>
      </c>
      <c r="D140" t="s">
        <v>23</v>
      </c>
      <c r="E140">
        <v>357</v>
      </c>
      <c r="F140">
        <v>73.2</v>
      </c>
      <c r="G140">
        <v>2.68</v>
      </c>
      <c r="H140">
        <v>12.5</v>
      </c>
      <c r="I140">
        <v>10.7</v>
      </c>
      <c r="J140">
        <v>0.205042</v>
      </c>
      <c r="K140">
        <v>7.5069999999999998E-3</v>
      </c>
      <c r="L140">
        <v>3.5014000000000003E-2</v>
      </c>
      <c r="M140">
        <v>2.9971999999999999E-2</v>
      </c>
      <c r="N140">
        <v>9</v>
      </c>
      <c r="Q140">
        <v>2.521E-2</v>
      </c>
      <c r="R140">
        <v>-3.9104E-2</v>
      </c>
      <c r="S140" t="s">
        <v>24</v>
      </c>
      <c r="T140">
        <v>372928</v>
      </c>
      <c r="U140" t="s">
        <v>541</v>
      </c>
      <c r="V140">
        <v>4</v>
      </c>
      <c r="W140">
        <v>3</v>
      </c>
      <c r="X140">
        <v>4</v>
      </c>
      <c r="Y140" s="2" t="s">
        <v>550</v>
      </c>
      <c r="Z140" t="s">
        <v>551</v>
      </c>
      <c r="AA140">
        <v>4</v>
      </c>
      <c r="AB140">
        <v>3</v>
      </c>
      <c r="AC140">
        <v>4</v>
      </c>
      <c r="AD140">
        <f t="shared" si="6"/>
        <v>4</v>
      </c>
      <c r="AE140">
        <f t="shared" si="7"/>
        <v>3</v>
      </c>
      <c r="AF140">
        <f t="shared" si="8"/>
        <v>4</v>
      </c>
    </row>
    <row r="141" spans="1:32" x14ac:dyDescent="0.25">
      <c r="A141" t="s">
        <v>330</v>
      </c>
      <c r="B141" t="s">
        <v>331</v>
      </c>
      <c r="C141" t="s">
        <v>208</v>
      </c>
      <c r="D141" t="s">
        <v>108</v>
      </c>
      <c r="E141">
        <v>250</v>
      </c>
      <c r="F141">
        <v>0</v>
      </c>
      <c r="G141">
        <v>19.600000000000001</v>
      </c>
      <c r="H141">
        <v>17</v>
      </c>
      <c r="I141">
        <v>0</v>
      </c>
      <c r="J141">
        <v>0</v>
      </c>
      <c r="K141">
        <v>7.8399999999999997E-2</v>
      </c>
      <c r="L141">
        <v>6.8000000000000005E-2</v>
      </c>
      <c r="M141">
        <v>0</v>
      </c>
      <c r="N141">
        <v>67</v>
      </c>
      <c r="Q141">
        <v>0.26800000000000002</v>
      </c>
      <c r="R141">
        <v>8.3599999999999994E-2</v>
      </c>
      <c r="S141" t="s">
        <v>109</v>
      </c>
      <c r="T141">
        <v>1662349</v>
      </c>
      <c r="U141" t="s">
        <v>541</v>
      </c>
      <c r="V141">
        <v>2</v>
      </c>
      <c r="W141">
        <v>2</v>
      </c>
      <c r="X141">
        <v>3</v>
      </c>
      <c r="Y141" s="2" t="s">
        <v>550</v>
      </c>
      <c r="Z141" t="s">
        <v>551</v>
      </c>
      <c r="AA141">
        <v>2</v>
      </c>
      <c r="AB141">
        <v>2</v>
      </c>
      <c r="AC141">
        <v>3</v>
      </c>
      <c r="AD141">
        <f t="shared" si="6"/>
        <v>2</v>
      </c>
      <c r="AE141">
        <f t="shared" si="7"/>
        <v>2</v>
      </c>
      <c r="AF141">
        <f t="shared" si="8"/>
        <v>3</v>
      </c>
    </row>
    <row r="142" spans="1:32" x14ac:dyDescent="0.25">
      <c r="A142" t="s">
        <v>332</v>
      </c>
      <c r="B142" t="s">
        <v>333</v>
      </c>
      <c r="C142" t="s">
        <v>334</v>
      </c>
      <c r="D142" t="s">
        <v>33</v>
      </c>
      <c r="E142">
        <v>42</v>
      </c>
      <c r="F142">
        <v>5.08</v>
      </c>
      <c r="G142">
        <v>1.06</v>
      </c>
      <c r="H142">
        <v>3.39</v>
      </c>
      <c r="I142">
        <v>0</v>
      </c>
      <c r="J142">
        <v>0.120952</v>
      </c>
      <c r="K142">
        <v>2.5238E-2</v>
      </c>
      <c r="L142">
        <v>8.0713999999999994E-2</v>
      </c>
      <c r="M142">
        <v>0</v>
      </c>
      <c r="N142">
        <v>44</v>
      </c>
      <c r="O142">
        <v>157</v>
      </c>
      <c r="Q142">
        <v>4.7857139999999996</v>
      </c>
      <c r="R142">
        <v>0.71613099999999996</v>
      </c>
      <c r="T142">
        <v>2083609</v>
      </c>
      <c r="U142" t="s">
        <v>541</v>
      </c>
      <c r="V142">
        <v>3</v>
      </c>
      <c r="W142">
        <v>3</v>
      </c>
      <c r="X142">
        <v>1</v>
      </c>
      <c r="Y142" s="2" t="s">
        <v>550</v>
      </c>
      <c r="Z142" t="s">
        <v>551</v>
      </c>
      <c r="AA142">
        <v>3</v>
      </c>
      <c r="AB142">
        <v>3</v>
      </c>
      <c r="AC142">
        <v>1</v>
      </c>
      <c r="AD142">
        <f t="shared" si="6"/>
        <v>3</v>
      </c>
      <c r="AE142">
        <f t="shared" si="7"/>
        <v>3</v>
      </c>
      <c r="AF142">
        <f t="shared" si="8"/>
        <v>1</v>
      </c>
    </row>
    <row r="143" spans="1:32" x14ac:dyDescent="0.25">
      <c r="A143" t="s">
        <v>335</v>
      </c>
      <c r="B143" t="s">
        <v>336</v>
      </c>
      <c r="C143" t="s">
        <v>217</v>
      </c>
      <c r="D143" t="s">
        <v>28</v>
      </c>
      <c r="E143">
        <v>600</v>
      </c>
      <c r="F143">
        <v>6.67</v>
      </c>
      <c r="G143">
        <v>46.7</v>
      </c>
      <c r="H143">
        <v>33.299999999999997</v>
      </c>
      <c r="I143">
        <v>6.7</v>
      </c>
      <c r="J143">
        <v>1.1117E-2</v>
      </c>
      <c r="K143">
        <v>7.7832999999999999E-2</v>
      </c>
      <c r="L143">
        <v>5.5500000000000001E-2</v>
      </c>
      <c r="M143">
        <v>1.1167E-2</v>
      </c>
      <c r="N143">
        <v>0</v>
      </c>
      <c r="O143">
        <v>1100</v>
      </c>
      <c r="P143">
        <v>533</v>
      </c>
      <c r="Q143">
        <v>2.7216670000000001</v>
      </c>
      <c r="R143">
        <v>0.44547300000000001</v>
      </c>
      <c r="S143" t="s">
        <v>29</v>
      </c>
      <c r="T143">
        <v>1045813</v>
      </c>
      <c r="U143" t="s">
        <v>541</v>
      </c>
      <c r="V143">
        <v>5</v>
      </c>
      <c r="W143">
        <v>3</v>
      </c>
      <c r="X143">
        <v>4</v>
      </c>
      <c r="Y143" s="2" t="s">
        <v>550</v>
      </c>
      <c r="Z143" t="s">
        <v>551</v>
      </c>
      <c r="AA143">
        <v>5</v>
      </c>
      <c r="AB143">
        <v>3</v>
      </c>
      <c r="AC143">
        <v>4</v>
      </c>
      <c r="AD143">
        <f t="shared" si="6"/>
        <v>5</v>
      </c>
      <c r="AE143">
        <f t="shared" si="7"/>
        <v>3</v>
      </c>
      <c r="AF143">
        <f t="shared" si="8"/>
        <v>4</v>
      </c>
    </row>
    <row r="144" spans="1:32" x14ac:dyDescent="0.25">
      <c r="A144" t="s">
        <v>337</v>
      </c>
      <c r="B144" t="s">
        <v>338</v>
      </c>
      <c r="C144" t="s">
        <v>208</v>
      </c>
      <c r="D144" t="s">
        <v>33</v>
      </c>
      <c r="E144">
        <v>94</v>
      </c>
      <c r="F144">
        <v>3.53</v>
      </c>
      <c r="G144">
        <v>4.12</v>
      </c>
      <c r="H144">
        <v>10.6</v>
      </c>
      <c r="I144">
        <v>2.4</v>
      </c>
      <c r="J144">
        <v>3.7553000000000003E-2</v>
      </c>
      <c r="K144">
        <v>4.3830000000000001E-2</v>
      </c>
      <c r="L144">
        <v>0.11276600000000001</v>
      </c>
      <c r="M144">
        <v>2.5531999999999999E-2</v>
      </c>
      <c r="N144">
        <v>12</v>
      </c>
      <c r="O144">
        <v>118</v>
      </c>
      <c r="Q144">
        <v>1.382979</v>
      </c>
      <c r="R144">
        <v>0.25043599999999999</v>
      </c>
      <c r="T144">
        <v>2676970</v>
      </c>
      <c r="U144" t="s">
        <v>541</v>
      </c>
      <c r="V144">
        <v>5</v>
      </c>
      <c r="W144">
        <v>3</v>
      </c>
      <c r="X144">
        <v>2</v>
      </c>
      <c r="Y144" s="2" t="s">
        <v>550</v>
      </c>
      <c r="Z144" t="s">
        <v>551</v>
      </c>
      <c r="AA144">
        <v>5</v>
      </c>
      <c r="AB144">
        <v>3</v>
      </c>
      <c r="AC144">
        <v>2</v>
      </c>
      <c r="AD144">
        <f t="shared" si="6"/>
        <v>5</v>
      </c>
      <c r="AE144">
        <f t="shared" si="7"/>
        <v>3</v>
      </c>
      <c r="AF144">
        <f t="shared" si="8"/>
        <v>2</v>
      </c>
    </row>
    <row r="145" spans="1:32" x14ac:dyDescent="0.25">
      <c r="A145" t="s">
        <v>339</v>
      </c>
      <c r="B145" t="s">
        <v>340</v>
      </c>
      <c r="C145" t="s">
        <v>247</v>
      </c>
      <c r="D145" t="s">
        <v>33</v>
      </c>
      <c r="E145">
        <v>85</v>
      </c>
      <c r="F145">
        <v>15.4</v>
      </c>
      <c r="G145">
        <v>0.77</v>
      </c>
      <c r="H145">
        <v>5.38</v>
      </c>
      <c r="I145">
        <v>5.4</v>
      </c>
      <c r="J145">
        <v>0.181176</v>
      </c>
      <c r="K145">
        <v>9.0589999999999993E-3</v>
      </c>
      <c r="L145">
        <v>6.3294000000000003E-2</v>
      </c>
      <c r="M145">
        <v>6.3529000000000002E-2</v>
      </c>
      <c r="N145">
        <v>269</v>
      </c>
      <c r="Q145">
        <v>3.1647059999999998</v>
      </c>
      <c r="R145">
        <v>0.45429999999999998</v>
      </c>
      <c r="T145">
        <v>2015573</v>
      </c>
      <c r="U145" t="s">
        <v>541</v>
      </c>
      <c r="V145">
        <v>5</v>
      </c>
      <c r="W145">
        <v>4</v>
      </c>
      <c r="X145">
        <v>3</v>
      </c>
      <c r="Y145" s="2" t="s">
        <v>550</v>
      </c>
      <c r="Z145" t="s">
        <v>551</v>
      </c>
      <c r="AA145">
        <v>5</v>
      </c>
      <c r="AB145">
        <v>4</v>
      </c>
      <c r="AC145">
        <v>3</v>
      </c>
      <c r="AD145">
        <f t="shared" si="6"/>
        <v>5</v>
      </c>
      <c r="AE145">
        <f t="shared" si="7"/>
        <v>4</v>
      </c>
      <c r="AF145">
        <f t="shared" si="8"/>
        <v>3</v>
      </c>
    </row>
    <row r="146" spans="1:32" x14ac:dyDescent="0.25">
      <c r="A146" t="s">
        <v>341</v>
      </c>
      <c r="B146" t="s">
        <v>342</v>
      </c>
      <c r="C146" t="s">
        <v>302</v>
      </c>
      <c r="D146" t="s">
        <v>33</v>
      </c>
      <c r="E146">
        <v>594</v>
      </c>
      <c r="F146">
        <v>21.9</v>
      </c>
      <c r="G146">
        <v>50</v>
      </c>
      <c r="H146">
        <v>21.9</v>
      </c>
      <c r="I146">
        <v>6.2</v>
      </c>
      <c r="J146">
        <v>3.6868999999999999E-2</v>
      </c>
      <c r="K146">
        <v>8.4175E-2</v>
      </c>
      <c r="L146">
        <v>3.6868999999999999E-2</v>
      </c>
      <c r="M146">
        <v>1.0437999999999999E-2</v>
      </c>
      <c r="N146">
        <v>469</v>
      </c>
      <c r="Q146">
        <v>0.78956199999999999</v>
      </c>
      <c r="R146">
        <v>0.14288699999999999</v>
      </c>
      <c r="T146">
        <v>2016331</v>
      </c>
      <c r="U146" t="s">
        <v>541</v>
      </c>
      <c r="V146">
        <v>5</v>
      </c>
      <c r="W146">
        <v>3</v>
      </c>
      <c r="X146">
        <v>4</v>
      </c>
      <c r="Y146" s="3" t="s">
        <v>552</v>
      </c>
      <c r="Z146" t="s">
        <v>553</v>
      </c>
      <c r="AA146">
        <v>4</v>
      </c>
      <c r="AB146">
        <v>3</v>
      </c>
      <c r="AC146">
        <v>4</v>
      </c>
      <c r="AD146">
        <f t="shared" si="6"/>
        <v>4</v>
      </c>
      <c r="AE146">
        <f t="shared" si="7"/>
        <v>3</v>
      </c>
      <c r="AF146">
        <f t="shared" si="8"/>
        <v>4</v>
      </c>
    </row>
    <row r="147" spans="1:32" x14ac:dyDescent="0.25">
      <c r="A147" t="s">
        <v>343</v>
      </c>
      <c r="B147" t="s">
        <v>344</v>
      </c>
      <c r="C147" t="s">
        <v>211</v>
      </c>
      <c r="D147" t="s">
        <v>33</v>
      </c>
      <c r="E147">
        <v>41</v>
      </c>
      <c r="F147">
        <v>9.41</v>
      </c>
      <c r="G147">
        <v>0</v>
      </c>
      <c r="H147">
        <v>1.18</v>
      </c>
      <c r="I147">
        <v>2.4</v>
      </c>
      <c r="J147">
        <v>0.22951199999999999</v>
      </c>
      <c r="K147">
        <v>0</v>
      </c>
      <c r="L147">
        <v>2.878E-2</v>
      </c>
      <c r="M147">
        <v>5.8536999999999999E-2</v>
      </c>
      <c r="N147">
        <v>35</v>
      </c>
      <c r="Q147">
        <v>0.85365899999999995</v>
      </c>
      <c r="R147">
        <v>7.8048999999999993E-2</v>
      </c>
      <c r="T147">
        <v>2016070</v>
      </c>
      <c r="U147" t="s">
        <v>542</v>
      </c>
      <c r="V147">
        <v>5</v>
      </c>
      <c r="W147">
        <v>2</v>
      </c>
      <c r="X147">
        <v>3</v>
      </c>
      <c r="Y147" s="4" t="s">
        <v>555</v>
      </c>
      <c r="Z147" t="s">
        <v>571</v>
      </c>
      <c r="AA147">
        <v>5</v>
      </c>
      <c r="AB147">
        <v>3</v>
      </c>
      <c r="AC147">
        <v>1</v>
      </c>
      <c r="AD147">
        <f t="shared" si="6"/>
        <v>5</v>
      </c>
      <c r="AE147">
        <f t="shared" si="7"/>
        <v>3</v>
      </c>
      <c r="AF147">
        <f t="shared" si="8"/>
        <v>1</v>
      </c>
    </row>
    <row r="148" spans="1:32" x14ac:dyDescent="0.25">
      <c r="A148" t="s">
        <v>345</v>
      </c>
      <c r="B148" t="s">
        <v>346</v>
      </c>
      <c r="C148" t="s">
        <v>302</v>
      </c>
      <c r="D148" t="s">
        <v>33</v>
      </c>
      <c r="E148">
        <v>594</v>
      </c>
      <c r="F148">
        <v>21.9</v>
      </c>
      <c r="G148">
        <v>50</v>
      </c>
      <c r="H148">
        <v>21.9</v>
      </c>
      <c r="I148">
        <v>6.2</v>
      </c>
      <c r="J148">
        <v>3.6868999999999999E-2</v>
      </c>
      <c r="K148">
        <v>8.4175E-2</v>
      </c>
      <c r="L148">
        <v>3.6868999999999999E-2</v>
      </c>
      <c r="M148">
        <v>1.0437999999999999E-2</v>
      </c>
      <c r="N148">
        <v>375</v>
      </c>
      <c r="Q148">
        <v>0.63131300000000001</v>
      </c>
      <c r="R148">
        <v>0.11915000000000001</v>
      </c>
      <c r="T148">
        <v>2016327</v>
      </c>
      <c r="U148" t="s">
        <v>541</v>
      </c>
      <c r="V148">
        <v>5</v>
      </c>
      <c r="W148">
        <v>2</v>
      </c>
      <c r="X148">
        <v>3</v>
      </c>
      <c r="Y148" s="3" t="s">
        <v>552</v>
      </c>
      <c r="Z148" t="s">
        <v>553</v>
      </c>
      <c r="AA148">
        <v>4</v>
      </c>
      <c r="AB148">
        <v>2</v>
      </c>
      <c r="AC148">
        <v>3</v>
      </c>
      <c r="AD148">
        <f t="shared" si="6"/>
        <v>4</v>
      </c>
      <c r="AE148">
        <f t="shared" si="7"/>
        <v>2</v>
      </c>
      <c r="AF148">
        <f t="shared" si="8"/>
        <v>3</v>
      </c>
    </row>
    <row r="149" spans="1:32" x14ac:dyDescent="0.25">
      <c r="A149" t="s">
        <v>347</v>
      </c>
      <c r="B149" t="s">
        <v>348</v>
      </c>
      <c r="C149" t="s">
        <v>235</v>
      </c>
      <c r="D149" t="s">
        <v>33</v>
      </c>
      <c r="E149">
        <v>17</v>
      </c>
      <c r="F149">
        <v>3.33</v>
      </c>
      <c r="G149">
        <v>0</v>
      </c>
      <c r="H149">
        <v>0.83</v>
      </c>
      <c r="I149">
        <v>1.7</v>
      </c>
      <c r="J149">
        <v>0.195882</v>
      </c>
      <c r="K149">
        <v>0</v>
      </c>
      <c r="L149">
        <v>4.8823999999999999E-2</v>
      </c>
      <c r="M149">
        <v>0.1</v>
      </c>
      <c r="N149">
        <v>12</v>
      </c>
      <c r="Q149">
        <v>0.70588200000000001</v>
      </c>
      <c r="R149">
        <v>7.9205999999999999E-2</v>
      </c>
      <c r="T149">
        <v>2015633</v>
      </c>
      <c r="U149" t="s">
        <v>542</v>
      </c>
      <c r="V149">
        <v>5</v>
      </c>
      <c r="W149">
        <v>4</v>
      </c>
      <c r="X149">
        <v>3</v>
      </c>
      <c r="Y149" s="4" t="s">
        <v>555</v>
      </c>
      <c r="Z149" t="s">
        <v>572</v>
      </c>
      <c r="AA149">
        <v>5</v>
      </c>
      <c r="AB149">
        <v>3</v>
      </c>
      <c r="AC149">
        <v>1</v>
      </c>
      <c r="AD149">
        <f t="shared" si="6"/>
        <v>5</v>
      </c>
      <c r="AE149">
        <f t="shared" si="7"/>
        <v>3</v>
      </c>
      <c r="AF149">
        <f t="shared" si="8"/>
        <v>1</v>
      </c>
    </row>
    <row r="150" spans="1:32" x14ac:dyDescent="0.25">
      <c r="A150" t="s">
        <v>349</v>
      </c>
      <c r="B150" t="s">
        <v>348</v>
      </c>
      <c r="C150" t="s">
        <v>211</v>
      </c>
      <c r="D150" t="s">
        <v>33</v>
      </c>
      <c r="E150">
        <v>37</v>
      </c>
      <c r="F150">
        <v>7.41</v>
      </c>
      <c r="G150">
        <v>0</v>
      </c>
      <c r="H150">
        <v>1.23</v>
      </c>
      <c r="I150">
        <v>2.5</v>
      </c>
      <c r="J150">
        <v>0.20027</v>
      </c>
      <c r="K150">
        <v>0</v>
      </c>
      <c r="L150">
        <v>3.3243000000000002E-2</v>
      </c>
      <c r="M150">
        <v>6.7568000000000003E-2</v>
      </c>
      <c r="N150">
        <v>0</v>
      </c>
      <c r="Q150">
        <v>0</v>
      </c>
      <c r="R150">
        <v>-3.8310999999999998E-2</v>
      </c>
      <c r="T150">
        <v>2016056</v>
      </c>
      <c r="U150" t="s">
        <v>542</v>
      </c>
      <c r="V150">
        <v>2</v>
      </c>
      <c r="W150">
        <v>3</v>
      </c>
      <c r="X150">
        <v>3</v>
      </c>
      <c r="Y150" s="4" t="s">
        <v>555</v>
      </c>
      <c r="Z150" t="s">
        <v>573</v>
      </c>
      <c r="AA150">
        <v>2</v>
      </c>
      <c r="AB150">
        <v>3</v>
      </c>
      <c r="AC150">
        <v>1</v>
      </c>
      <c r="AD150">
        <f t="shared" si="6"/>
        <v>2</v>
      </c>
      <c r="AE150">
        <f t="shared" si="7"/>
        <v>3</v>
      </c>
      <c r="AF150">
        <f t="shared" si="8"/>
        <v>1</v>
      </c>
    </row>
    <row r="151" spans="1:32" x14ac:dyDescent="0.25">
      <c r="A151" t="s">
        <v>350</v>
      </c>
      <c r="B151" t="s">
        <v>351</v>
      </c>
      <c r="C151" t="s">
        <v>235</v>
      </c>
      <c r="D151" t="s">
        <v>33</v>
      </c>
      <c r="E151">
        <v>21</v>
      </c>
      <c r="F151">
        <v>4.17</v>
      </c>
      <c r="G151">
        <v>0</v>
      </c>
      <c r="H151">
        <v>0.83</v>
      </c>
      <c r="I151">
        <v>1.7</v>
      </c>
      <c r="J151">
        <v>0.198571</v>
      </c>
      <c r="K151">
        <v>0</v>
      </c>
      <c r="L151">
        <v>3.9523999999999997E-2</v>
      </c>
      <c r="M151">
        <v>8.0951999999999996E-2</v>
      </c>
      <c r="N151">
        <v>292</v>
      </c>
      <c r="Q151">
        <v>13.904762</v>
      </c>
      <c r="R151">
        <v>2.0521189999999998</v>
      </c>
      <c r="T151">
        <v>2015636</v>
      </c>
      <c r="U151" t="s">
        <v>542</v>
      </c>
      <c r="V151">
        <v>2</v>
      </c>
      <c r="W151">
        <v>3</v>
      </c>
      <c r="X151">
        <v>3</v>
      </c>
      <c r="Y151" s="4" t="s">
        <v>555</v>
      </c>
      <c r="Z151" t="s">
        <v>573</v>
      </c>
      <c r="AA151">
        <v>2</v>
      </c>
      <c r="AB151">
        <v>3</v>
      </c>
      <c r="AC151">
        <v>1</v>
      </c>
      <c r="AD151">
        <f t="shared" si="6"/>
        <v>2</v>
      </c>
      <c r="AE151">
        <f t="shared" si="7"/>
        <v>3</v>
      </c>
      <c r="AF151">
        <f t="shared" si="8"/>
        <v>1</v>
      </c>
    </row>
    <row r="152" spans="1:32" x14ac:dyDescent="0.25">
      <c r="A152" t="s">
        <v>352</v>
      </c>
      <c r="B152" t="s">
        <v>353</v>
      </c>
      <c r="C152" t="s">
        <v>235</v>
      </c>
      <c r="D152" t="s">
        <v>28</v>
      </c>
      <c r="E152">
        <v>17</v>
      </c>
      <c r="F152">
        <v>2.5</v>
      </c>
      <c r="G152">
        <v>0</v>
      </c>
      <c r="H152">
        <v>1.67</v>
      </c>
      <c r="I152">
        <v>0.8</v>
      </c>
      <c r="J152">
        <v>0.147059</v>
      </c>
      <c r="K152">
        <v>0</v>
      </c>
      <c r="L152">
        <v>9.8235000000000003E-2</v>
      </c>
      <c r="M152">
        <v>4.7058999999999997E-2</v>
      </c>
      <c r="N152">
        <v>300</v>
      </c>
      <c r="Q152">
        <v>17.647058999999999</v>
      </c>
      <c r="R152">
        <v>2.6443819999999998</v>
      </c>
      <c r="S152" t="s">
        <v>29</v>
      </c>
      <c r="T152">
        <v>2015558</v>
      </c>
      <c r="U152" t="s">
        <v>542</v>
      </c>
      <c r="V152">
        <v>5</v>
      </c>
      <c r="W152">
        <v>3</v>
      </c>
      <c r="X152">
        <v>3</v>
      </c>
      <c r="Y152" s="4" t="s">
        <v>555</v>
      </c>
      <c r="Z152" t="s">
        <v>574</v>
      </c>
      <c r="AA152">
        <v>5</v>
      </c>
      <c r="AB152">
        <v>3</v>
      </c>
      <c r="AC152">
        <v>1</v>
      </c>
      <c r="AD152">
        <f t="shared" si="6"/>
        <v>5</v>
      </c>
      <c r="AE152">
        <f t="shared" si="7"/>
        <v>3</v>
      </c>
      <c r="AF152">
        <f t="shared" si="8"/>
        <v>1</v>
      </c>
    </row>
    <row r="153" spans="1:32" x14ac:dyDescent="0.25">
      <c r="A153" t="s">
        <v>354</v>
      </c>
      <c r="B153" t="s">
        <v>355</v>
      </c>
      <c r="C153" t="s">
        <v>214</v>
      </c>
      <c r="D153" t="s">
        <v>28</v>
      </c>
      <c r="E153">
        <v>80</v>
      </c>
      <c r="F153">
        <v>3.54</v>
      </c>
      <c r="G153">
        <v>0.88</v>
      </c>
      <c r="H153">
        <v>13.3</v>
      </c>
      <c r="I153">
        <v>0</v>
      </c>
      <c r="J153">
        <v>4.4249999999999998E-2</v>
      </c>
      <c r="K153">
        <v>1.0999999999999999E-2</v>
      </c>
      <c r="L153">
        <v>0.16625000000000001</v>
      </c>
      <c r="M153">
        <v>0</v>
      </c>
      <c r="N153">
        <v>319</v>
      </c>
      <c r="Q153">
        <v>3.9874999999999998</v>
      </c>
      <c r="R153">
        <v>0.645787</v>
      </c>
      <c r="S153" t="s">
        <v>29</v>
      </c>
      <c r="T153">
        <v>2017308</v>
      </c>
      <c r="U153" t="s">
        <v>541</v>
      </c>
      <c r="V153">
        <v>4</v>
      </c>
      <c r="W153">
        <v>3</v>
      </c>
      <c r="X153">
        <v>2</v>
      </c>
      <c r="Y153" s="3" t="s">
        <v>552</v>
      </c>
      <c r="Z153" t="s">
        <v>575</v>
      </c>
      <c r="AA153">
        <v>4</v>
      </c>
      <c r="AB153">
        <v>4</v>
      </c>
      <c r="AC153">
        <v>2</v>
      </c>
      <c r="AD153">
        <f t="shared" si="6"/>
        <v>4</v>
      </c>
      <c r="AE153">
        <f t="shared" si="7"/>
        <v>4</v>
      </c>
      <c r="AF153">
        <f t="shared" si="8"/>
        <v>2</v>
      </c>
    </row>
    <row r="154" spans="1:32" x14ac:dyDescent="0.25">
      <c r="A154" t="s">
        <v>356</v>
      </c>
      <c r="B154" t="s">
        <v>357</v>
      </c>
      <c r="C154" t="s">
        <v>235</v>
      </c>
      <c r="D154" t="s">
        <v>33</v>
      </c>
      <c r="E154">
        <v>56</v>
      </c>
      <c r="F154">
        <v>9.6</v>
      </c>
      <c r="G154">
        <v>0.4</v>
      </c>
      <c r="H154">
        <v>3.2</v>
      </c>
      <c r="I154">
        <v>2.4</v>
      </c>
      <c r="J154">
        <v>0.171429</v>
      </c>
      <c r="K154">
        <v>7.143E-3</v>
      </c>
      <c r="L154">
        <v>5.7142999999999999E-2</v>
      </c>
      <c r="M154">
        <v>4.2856999999999999E-2</v>
      </c>
      <c r="N154">
        <v>256</v>
      </c>
      <c r="Q154">
        <v>4.5714290000000002</v>
      </c>
      <c r="R154">
        <v>0.66249999999999998</v>
      </c>
      <c r="T154">
        <v>2015631</v>
      </c>
      <c r="U154" t="s">
        <v>542</v>
      </c>
      <c r="V154">
        <v>4</v>
      </c>
      <c r="W154">
        <v>3</v>
      </c>
      <c r="X154">
        <v>1</v>
      </c>
      <c r="Y154" s="2" t="s">
        <v>550</v>
      </c>
      <c r="Z154" t="s">
        <v>551</v>
      </c>
      <c r="AA154">
        <v>4</v>
      </c>
      <c r="AB154">
        <v>3</v>
      </c>
      <c r="AC154">
        <v>1</v>
      </c>
      <c r="AD154">
        <f t="shared" si="6"/>
        <v>4</v>
      </c>
      <c r="AE154">
        <f t="shared" si="7"/>
        <v>3</v>
      </c>
      <c r="AF154">
        <f t="shared" si="8"/>
        <v>1</v>
      </c>
    </row>
    <row r="155" spans="1:32" x14ac:dyDescent="0.25">
      <c r="A155" t="s">
        <v>358</v>
      </c>
      <c r="B155" t="s">
        <v>359</v>
      </c>
      <c r="C155" t="s">
        <v>235</v>
      </c>
      <c r="D155" t="s">
        <v>33</v>
      </c>
      <c r="E155">
        <v>32</v>
      </c>
      <c r="F155">
        <v>6.4</v>
      </c>
      <c r="G155">
        <v>0</v>
      </c>
      <c r="H155">
        <v>0.8</v>
      </c>
      <c r="I155">
        <v>0.8</v>
      </c>
      <c r="J155">
        <v>0.2</v>
      </c>
      <c r="K155">
        <v>0</v>
      </c>
      <c r="L155">
        <v>2.5000000000000001E-2</v>
      </c>
      <c r="M155">
        <v>2.5000000000000001E-2</v>
      </c>
      <c r="N155">
        <v>208</v>
      </c>
      <c r="Q155">
        <v>6.5</v>
      </c>
      <c r="R155">
        <v>0.92749999999999999</v>
      </c>
      <c r="T155">
        <v>2290128</v>
      </c>
      <c r="U155" t="s">
        <v>542</v>
      </c>
      <c r="V155">
        <v>4</v>
      </c>
      <c r="W155">
        <v>3</v>
      </c>
      <c r="X155">
        <v>1</v>
      </c>
      <c r="Y155" s="2" t="s">
        <v>550</v>
      </c>
      <c r="Z155" t="s">
        <v>551</v>
      </c>
      <c r="AA155">
        <v>4</v>
      </c>
      <c r="AB155">
        <v>3</v>
      </c>
      <c r="AC155">
        <v>1</v>
      </c>
      <c r="AD155">
        <f t="shared" si="6"/>
        <v>4</v>
      </c>
      <c r="AE155">
        <f t="shared" si="7"/>
        <v>3</v>
      </c>
      <c r="AF155">
        <f t="shared" si="8"/>
        <v>1</v>
      </c>
    </row>
    <row r="156" spans="1:32" x14ac:dyDescent="0.25">
      <c r="A156" t="s">
        <v>360</v>
      </c>
      <c r="B156" t="s">
        <v>361</v>
      </c>
      <c r="C156" t="s">
        <v>214</v>
      </c>
      <c r="D156" t="s">
        <v>108</v>
      </c>
      <c r="E156">
        <v>357</v>
      </c>
      <c r="F156">
        <v>3.57</v>
      </c>
      <c r="G156">
        <v>28.6</v>
      </c>
      <c r="H156">
        <v>28.6</v>
      </c>
      <c r="I156">
        <v>0</v>
      </c>
      <c r="J156">
        <v>0.01</v>
      </c>
      <c r="K156">
        <v>8.0112000000000003E-2</v>
      </c>
      <c r="L156">
        <v>8.0112000000000003E-2</v>
      </c>
      <c r="M156">
        <v>0</v>
      </c>
      <c r="N156">
        <v>36</v>
      </c>
      <c r="Q156">
        <v>0.10084</v>
      </c>
      <c r="R156">
        <v>6.0193000000000003E-2</v>
      </c>
      <c r="S156" t="s">
        <v>109</v>
      </c>
      <c r="T156">
        <v>361145</v>
      </c>
      <c r="U156" t="s">
        <v>541</v>
      </c>
      <c r="V156">
        <v>4</v>
      </c>
      <c r="W156">
        <v>2</v>
      </c>
      <c r="X156">
        <v>1</v>
      </c>
      <c r="Y156" s="3" t="s">
        <v>552</v>
      </c>
      <c r="Z156" t="s">
        <v>611</v>
      </c>
      <c r="AA156">
        <v>3</v>
      </c>
      <c r="AB156">
        <v>2</v>
      </c>
      <c r="AC156">
        <v>1</v>
      </c>
      <c r="AD156">
        <f t="shared" si="6"/>
        <v>3</v>
      </c>
      <c r="AE156">
        <f t="shared" si="7"/>
        <v>2</v>
      </c>
      <c r="AF156">
        <f t="shared" si="8"/>
        <v>1</v>
      </c>
    </row>
    <row r="157" spans="1:32" x14ac:dyDescent="0.25">
      <c r="A157" t="s">
        <v>362</v>
      </c>
      <c r="B157" t="s">
        <v>363</v>
      </c>
      <c r="C157" t="s">
        <v>214</v>
      </c>
      <c r="D157" t="s">
        <v>28</v>
      </c>
      <c r="E157">
        <v>70</v>
      </c>
      <c r="F157">
        <v>5.26</v>
      </c>
      <c r="G157">
        <v>0</v>
      </c>
      <c r="H157">
        <v>11.4</v>
      </c>
      <c r="I157">
        <v>0</v>
      </c>
      <c r="J157">
        <v>7.5143000000000001E-2</v>
      </c>
      <c r="K157">
        <v>0</v>
      </c>
      <c r="L157">
        <v>0.162857</v>
      </c>
      <c r="M157">
        <v>0</v>
      </c>
      <c r="N157">
        <v>368</v>
      </c>
      <c r="Q157">
        <v>5.2571430000000001</v>
      </c>
      <c r="R157">
        <v>0.82302799999999998</v>
      </c>
      <c r="S157" t="s">
        <v>29</v>
      </c>
      <c r="T157">
        <v>2017302</v>
      </c>
      <c r="U157" t="s">
        <v>541</v>
      </c>
      <c r="V157">
        <v>4</v>
      </c>
      <c r="W157">
        <v>3</v>
      </c>
      <c r="X157">
        <v>4</v>
      </c>
      <c r="Y157" s="4" t="s">
        <v>555</v>
      </c>
      <c r="Z157" t="s">
        <v>576</v>
      </c>
      <c r="AA157">
        <v>4</v>
      </c>
      <c r="AB157">
        <v>4</v>
      </c>
      <c r="AC157">
        <v>3</v>
      </c>
      <c r="AD157">
        <f t="shared" si="6"/>
        <v>4</v>
      </c>
      <c r="AE157">
        <f t="shared" si="7"/>
        <v>4</v>
      </c>
      <c r="AF157">
        <f t="shared" si="8"/>
        <v>3</v>
      </c>
    </row>
    <row r="158" spans="1:32" x14ac:dyDescent="0.25">
      <c r="A158" t="s">
        <v>364</v>
      </c>
      <c r="B158" t="s">
        <v>365</v>
      </c>
      <c r="C158" t="s">
        <v>211</v>
      </c>
      <c r="D158" t="s">
        <v>33</v>
      </c>
      <c r="E158">
        <v>59</v>
      </c>
      <c r="F158">
        <v>10.6</v>
      </c>
      <c r="G158">
        <v>0</v>
      </c>
      <c r="H158">
        <v>2.35</v>
      </c>
      <c r="I158">
        <v>3.5</v>
      </c>
      <c r="J158">
        <v>0.17966099999999999</v>
      </c>
      <c r="K158">
        <v>0</v>
      </c>
      <c r="L158">
        <v>3.9830999999999998E-2</v>
      </c>
      <c r="M158">
        <v>5.9322E-2</v>
      </c>
      <c r="N158">
        <v>24</v>
      </c>
      <c r="Q158">
        <v>0.40677999999999997</v>
      </c>
      <c r="R158">
        <v>2.9957999999999999E-2</v>
      </c>
      <c r="T158">
        <v>2016066</v>
      </c>
      <c r="U158" t="s">
        <v>542</v>
      </c>
      <c r="V158">
        <v>5</v>
      </c>
      <c r="W158">
        <v>4</v>
      </c>
      <c r="X158">
        <v>3</v>
      </c>
      <c r="Y158" s="3" t="s">
        <v>552</v>
      </c>
      <c r="Z158" t="s">
        <v>577</v>
      </c>
      <c r="AA158">
        <v>5</v>
      </c>
      <c r="AB158">
        <v>4</v>
      </c>
      <c r="AC158">
        <v>2</v>
      </c>
      <c r="AD158">
        <f t="shared" si="6"/>
        <v>5</v>
      </c>
      <c r="AE158">
        <f t="shared" si="7"/>
        <v>4</v>
      </c>
      <c r="AF158">
        <f t="shared" si="8"/>
        <v>2</v>
      </c>
    </row>
    <row r="159" spans="1:32" x14ac:dyDescent="0.25">
      <c r="A159" t="s">
        <v>366</v>
      </c>
      <c r="B159" t="s">
        <v>367</v>
      </c>
      <c r="C159" t="s">
        <v>205</v>
      </c>
      <c r="D159" t="s">
        <v>33</v>
      </c>
      <c r="E159">
        <v>50</v>
      </c>
      <c r="F159">
        <v>12.1</v>
      </c>
      <c r="G159">
        <v>0</v>
      </c>
      <c r="H159">
        <v>1.43</v>
      </c>
      <c r="I159">
        <v>6.4</v>
      </c>
      <c r="J159">
        <v>0.24199999999999999</v>
      </c>
      <c r="K159">
        <v>0</v>
      </c>
      <c r="L159">
        <v>2.86E-2</v>
      </c>
      <c r="M159">
        <v>0.128</v>
      </c>
      <c r="N159">
        <v>0</v>
      </c>
      <c r="Q159">
        <v>0</v>
      </c>
      <c r="R159">
        <v>-4.3389999999999998E-2</v>
      </c>
      <c r="T159">
        <v>2456156</v>
      </c>
      <c r="U159" t="s">
        <v>542</v>
      </c>
      <c r="V159">
        <v>5</v>
      </c>
      <c r="W159">
        <v>3</v>
      </c>
      <c r="X159">
        <v>3</v>
      </c>
      <c r="Y159" s="4" t="s">
        <v>555</v>
      </c>
      <c r="Z159" t="s">
        <v>578</v>
      </c>
      <c r="AA159">
        <v>5</v>
      </c>
      <c r="AB159">
        <v>3</v>
      </c>
      <c r="AC159">
        <v>1</v>
      </c>
      <c r="AD159">
        <f t="shared" si="6"/>
        <v>5</v>
      </c>
      <c r="AE159">
        <f t="shared" si="7"/>
        <v>3</v>
      </c>
      <c r="AF159">
        <f t="shared" si="8"/>
        <v>1</v>
      </c>
    </row>
    <row r="160" spans="1:32" x14ac:dyDescent="0.25">
      <c r="A160" t="s">
        <v>368</v>
      </c>
      <c r="B160" t="s">
        <v>369</v>
      </c>
      <c r="C160" t="s">
        <v>247</v>
      </c>
      <c r="D160" t="s">
        <v>33</v>
      </c>
      <c r="E160">
        <v>85</v>
      </c>
      <c r="F160">
        <v>14.6</v>
      </c>
      <c r="G160">
        <v>0</v>
      </c>
      <c r="H160">
        <v>6.15</v>
      </c>
      <c r="I160">
        <v>4.5999999999999996</v>
      </c>
      <c r="J160">
        <v>0.171765</v>
      </c>
      <c r="K160">
        <v>0</v>
      </c>
      <c r="L160">
        <v>7.2353000000000001E-2</v>
      </c>
      <c r="M160">
        <v>5.4117999999999999E-2</v>
      </c>
      <c r="N160">
        <v>292</v>
      </c>
      <c r="Q160">
        <v>3.4352939999999998</v>
      </c>
      <c r="R160">
        <v>0.49720599999999998</v>
      </c>
      <c r="T160">
        <v>2015576</v>
      </c>
      <c r="U160" t="s">
        <v>541</v>
      </c>
      <c r="V160">
        <v>4</v>
      </c>
      <c r="W160">
        <v>5</v>
      </c>
      <c r="X160">
        <v>1</v>
      </c>
      <c r="Y160" s="4" t="s">
        <v>555</v>
      </c>
      <c r="Z160" t="s">
        <v>561</v>
      </c>
      <c r="AA160">
        <v>4</v>
      </c>
      <c r="AB160">
        <v>5</v>
      </c>
      <c r="AC160">
        <v>3</v>
      </c>
      <c r="AD160">
        <f t="shared" si="6"/>
        <v>4</v>
      </c>
      <c r="AE160">
        <f t="shared" si="7"/>
        <v>5</v>
      </c>
      <c r="AF160">
        <f t="shared" si="8"/>
        <v>3</v>
      </c>
    </row>
    <row r="161" spans="1:32" x14ac:dyDescent="0.25">
      <c r="A161" t="s">
        <v>370</v>
      </c>
      <c r="B161" t="s">
        <v>371</v>
      </c>
      <c r="C161" t="s">
        <v>214</v>
      </c>
      <c r="D161" t="s">
        <v>28</v>
      </c>
      <c r="E161">
        <v>321</v>
      </c>
      <c r="F161">
        <v>3.57</v>
      </c>
      <c r="G161">
        <v>25</v>
      </c>
      <c r="H161">
        <v>28.6</v>
      </c>
      <c r="I161">
        <v>0</v>
      </c>
      <c r="J161">
        <v>1.1121000000000001E-2</v>
      </c>
      <c r="K161">
        <v>7.7882000000000007E-2</v>
      </c>
      <c r="L161">
        <v>8.9096999999999996E-2</v>
      </c>
      <c r="M161">
        <v>0</v>
      </c>
      <c r="N161">
        <v>1570</v>
      </c>
      <c r="Q161">
        <v>4.8909659999999997</v>
      </c>
      <c r="R161">
        <v>0.78096299999999996</v>
      </c>
      <c r="S161" t="s">
        <v>29</v>
      </c>
      <c r="T161">
        <v>382112</v>
      </c>
      <c r="U161" t="s">
        <v>541</v>
      </c>
      <c r="V161">
        <v>4</v>
      </c>
      <c r="W161">
        <v>5</v>
      </c>
      <c r="X161">
        <v>1</v>
      </c>
      <c r="Y161" s="4" t="s">
        <v>555</v>
      </c>
      <c r="Z161" t="s">
        <v>579</v>
      </c>
      <c r="AA161">
        <v>3</v>
      </c>
      <c r="AB161">
        <v>4</v>
      </c>
      <c r="AC161">
        <v>1</v>
      </c>
      <c r="AD161">
        <f t="shared" si="6"/>
        <v>3</v>
      </c>
      <c r="AE161">
        <f t="shared" si="7"/>
        <v>4</v>
      </c>
      <c r="AF161">
        <f t="shared" si="8"/>
        <v>1</v>
      </c>
    </row>
    <row r="162" spans="1:32" x14ac:dyDescent="0.25">
      <c r="A162" t="s">
        <v>372</v>
      </c>
      <c r="B162" t="s">
        <v>373</v>
      </c>
      <c r="C162" t="s">
        <v>214</v>
      </c>
      <c r="D162" t="s">
        <v>28</v>
      </c>
      <c r="E162">
        <v>286</v>
      </c>
      <c r="F162">
        <v>3.57</v>
      </c>
      <c r="G162">
        <v>21.4</v>
      </c>
      <c r="H162">
        <v>25</v>
      </c>
      <c r="I162">
        <v>0</v>
      </c>
      <c r="J162">
        <v>1.2482999999999999E-2</v>
      </c>
      <c r="K162">
        <v>7.4825000000000003E-2</v>
      </c>
      <c r="L162">
        <v>8.7413000000000005E-2</v>
      </c>
      <c r="M162">
        <v>0</v>
      </c>
      <c r="N162">
        <v>536</v>
      </c>
      <c r="Q162">
        <v>1.874126</v>
      </c>
      <c r="R162">
        <v>0.32667499999999999</v>
      </c>
      <c r="S162" t="s">
        <v>29</v>
      </c>
      <c r="T162">
        <v>2016891</v>
      </c>
      <c r="U162" t="s">
        <v>541</v>
      </c>
      <c r="V162">
        <v>4</v>
      </c>
      <c r="W162">
        <v>3</v>
      </c>
      <c r="X162">
        <v>1</v>
      </c>
      <c r="Y162" s="3" t="s">
        <v>552</v>
      </c>
      <c r="Z162" t="s">
        <v>611</v>
      </c>
      <c r="AA162">
        <v>3</v>
      </c>
      <c r="AB162">
        <v>3</v>
      </c>
      <c r="AC162">
        <v>1</v>
      </c>
      <c r="AD162">
        <f t="shared" si="6"/>
        <v>3</v>
      </c>
      <c r="AE162">
        <f t="shared" si="7"/>
        <v>3</v>
      </c>
      <c r="AF162">
        <f t="shared" si="8"/>
        <v>1</v>
      </c>
    </row>
    <row r="163" spans="1:32" x14ac:dyDescent="0.25">
      <c r="A163" t="s">
        <v>374</v>
      </c>
      <c r="B163" t="s">
        <v>375</v>
      </c>
      <c r="C163" t="s">
        <v>235</v>
      </c>
      <c r="D163" t="s">
        <v>28</v>
      </c>
      <c r="E163">
        <v>17</v>
      </c>
      <c r="F163">
        <v>2.61</v>
      </c>
      <c r="G163">
        <v>0</v>
      </c>
      <c r="H163">
        <v>1.74</v>
      </c>
      <c r="I163">
        <v>0.9</v>
      </c>
      <c r="J163">
        <v>0.153529</v>
      </c>
      <c r="K163">
        <v>0</v>
      </c>
      <c r="L163">
        <v>0.102353</v>
      </c>
      <c r="M163">
        <v>5.2941000000000002E-2</v>
      </c>
      <c r="N163">
        <v>339</v>
      </c>
      <c r="Q163">
        <v>19.941175999999999</v>
      </c>
      <c r="R163">
        <v>2.9888819999999998</v>
      </c>
      <c r="S163" t="s">
        <v>29</v>
      </c>
      <c r="T163">
        <v>2015554</v>
      </c>
      <c r="U163" t="s">
        <v>542</v>
      </c>
      <c r="V163">
        <v>5</v>
      </c>
      <c r="W163">
        <v>3</v>
      </c>
      <c r="X163">
        <v>4</v>
      </c>
      <c r="Y163" s="4" t="s">
        <v>555</v>
      </c>
      <c r="Z163" t="s">
        <v>580</v>
      </c>
      <c r="AA163">
        <v>5</v>
      </c>
      <c r="AB163">
        <v>3</v>
      </c>
      <c r="AC163">
        <v>1</v>
      </c>
      <c r="AD163">
        <f t="shared" si="6"/>
        <v>5</v>
      </c>
      <c r="AE163">
        <f t="shared" si="7"/>
        <v>3</v>
      </c>
      <c r="AF163">
        <f t="shared" si="8"/>
        <v>1</v>
      </c>
    </row>
    <row r="164" spans="1:32" x14ac:dyDescent="0.25">
      <c r="A164" t="s">
        <v>376</v>
      </c>
      <c r="B164" t="s">
        <v>377</v>
      </c>
      <c r="C164" t="s">
        <v>235</v>
      </c>
      <c r="D164" t="s">
        <v>28</v>
      </c>
      <c r="E164">
        <v>25</v>
      </c>
      <c r="F164">
        <v>3.33</v>
      </c>
      <c r="G164">
        <v>0</v>
      </c>
      <c r="H164">
        <v>2.5</v>
      </c>
      <c r="I164">
        <v>1.7</v>
      </c>
      <c r="J164">
        <v>0.13320000000000001</v>
      </c>
      <c r="K164">
        <v>0</v>
      </c>
      <c r="L164">
        <v>0.1</v>
      </c>
      <c r="M164">
        <v>6.8000000000000005E-2</v>
      </c>
      <c r="N164">
        <v>367</v>
      </c>
      <c r="Q164">
        <v>14.68</v>
      </c>
      <c r="R164">
        <v>2.2072400000000001</v>
      </c>
      <c r="S164" t="s">
        <v>29</v>
      </c>
      <c r="T164">
        <v>2015553</v>
      </c>
      <c r="U164" t="s">
        <v>542</v>
      </c>
      <c r="V164">
        <v>5</v>
      </c>
      <c r="W164">
        <v>4</v>
      </c>
      <c r="X164">
        <v>3</v>
      </c>
      <c r="Y164" s="3" t="s">
        <v>552</v>
      </c>
      <c r="Z164" t="s">
        <v>581</v>
      </c>
      <c r="AA164">
        <v>5</v>
      </c>
      <c r="AB164">
        <v>4</v>
      </c>
      <c r="AC164">
        <v>2</v>
      </c>
      <c r="AD164">
        <f t="shared" si="6"/>
        <v>5</v>
      </c>
      <c r="AE164">
        <f t="shared" si="7"/>
        <v>4</v>
      </c>
      <c r="AF164">
        <f t="shared" si="8"/>
        <v>2</v>
      </c>
    </row>
    <row r="165" spans="1:32" x14ac:dyDescent="0.25">
      <c r="A165" t="s">
        <v>378</v>
      </c>
      <c r="B165" t="s">
        <v>379</v>
      </c>
      <c r="C165" t="s">
        <v>290</v>
      </c>
      <c r="D165" t="s">
        <v>33</v>
      </c>
      <c r="E165">
        <v>21</v>
      </c>
      <c r="F165">
        <v>4.13</v>
      </c>
      <c r="G165">
        <v>0</v>
      </c>
      <c r="H165">
        <v>0.83</v>
      </c>
      <c r="I165">
        <v>0.8</v>
      </c>
      <c r="J165">
        <v>0.19666700000000001</v>
      </c>
      <c r="K165">
        <v>0</v>
      </c>
      <c r="L165">
        <v>3.9523999999999997E-2</v>
      </c>
      <c r="M165">
        <v>3.8094999999999997E-2</v>
      </c>
      <c r="N165">
        <v>149</v>
      </c>
      <c r="Q165">
        <v>7.0952380000000002</v>
      </c>
      <c r="R165">
        <v>1.0248330000000001</v>
      </c>
      <c r="T165">
        <v>2015386</v>
      </c>
      <c r="U165" t="s">
        <v>542</v>
      </c>
      <c r="V165">
        <v>2</v>
      </c>
      <c r="W165">
        <v>3</v>
      </c>
      <c r="X165">
        <v>3</v>
      </c>
      <c r="Y165" s="4" t="s">
        <v>555</v>
      </c>
      <c r="Z165" t="s">
        <v>582</v>
      </c>
      <c r="AA165">
        <v>4</v>
      </c>
      <c r="AB165">
        <v>3</v>
      </c>
      <c r="AC165">
        <v>2</v>
      </c>
      <c r="AD165">
        <f t="shared" si="6"/>
        <v>4</v>
      </c>
      <c r="AE165">
        <f t="shared" si="7"/>
        <v>3</v>
      </c>
      <c r="AF165">
        <f t="shared" si="8"/>
        <v>2</v>
      </c>
    </row>
    <row r="166" spans="1:32" x14ac:dyDescent="0.25">
      <c r="A166" t="s">
        <v>380</v>
      </c>
      <c r="B166" t="s">
        <v>381</v>
      </c>
      <c r="C166" t="s">
        <v>302</v>
      </c>
      <c r="D166" t="s">
        <v>23</v>
      </c>
      <c r="E166">
        <v>594</v>
      </c>
      <c r="F166">
        <v>25</v>
      </c>
      <c r="G166">
        <v>50</v>
      </c>
      <c r="H166">
        <v>21.9</v>
      </c>
      <c r="I166">
        <v>6.2</v>
      </c>
      <c r="J166">
        <v>4.2088E-2</v>
      </c>
      <c r="K166">
        <v>8.4175E-2</v>
      </c>
      <c r="L166">
        <v>3.6868999999999999E-2</v>
      </c>
      <c r="M166">
        <v>1.0437999999999999E-2</v>
      </c>
      <c r="N166">
        <v>344</v>
      </c>
      <c r="Q166">
        <v>0.579125</v>
      </c>
      <c r="R166">
        <v>0.10975600000000001</v>
      </c>
      <c r="S166" t="s">
        <v>24</v>
      </c>
      <c r="T166">
        <v>2022421</v>
      </c>
      <c r="U166" t="s">
        <v>541</v>
      </c>
      <c r="V166">
        <v>2</v>
      </c>
      <c r="W166">
        <v>3</v>
      </c>
      <c r="X166">
        <v>3</v>
      </c>
      <c r="Y166" s="4" t="s">
        <v>555</v>
      </c>
      <c r="Z166" t="s">
        <v>583</v>
      </c>
      <c r="AA166">
        <v>4</v>
      </c>
      <c r="AB166">
        <v>3</v>
      </c>
      <c r="AC166">
        <v>3</v>
      </c>
      <c r="AD166">
        <f t="shared" si="6"/>
        <v>4</v>
      </c>
      <c r="AE166">
        <f t="shared" si="7"/>
        <v>3</v>
      </c>
      <c r="AF166">
        <f t="shared" si="8"/>
        <v>3</v>
      </c>
    </row>
    <row r="167" spans="1:32" x14ac:dyDescent="0.25">
      <c r="A167" t="s">
        <v>382</v>
      </c>
      <c r="B167" t="s">
        <v>383</v>
      </c>
      <c r="C167" t="s">
        <v>247</v>
      </c>
      <c r="D167" t="s">
        <v>33</v>
      </c>
      <c r="E167">
        <v>85</v>
      </c>
      <c r="F167">
        <v>16.2</v>
      </c>
      <c r="G167">
        <v>0</v>
      </c>
      <c r="H167">
        <v>5.38</v>
      </c>
      <c r="I167">
        <v>5.4</v>
      </c>
      <c r="J167">
        <v>0.19058800000000001</v>
      </c>
      <c r="K167">
        <v>0</v>
      </c>
      <c r="L167">
        <v>6.3294000000000003E-2</v>
      </c>
      <c r="M167">
        <v>6.3529000000000002E-2</v>
      </c>
      <c r="N167">
        <v>277</v>
      </c>
      <c r="Q167">
        <v>3.2588240000000002</v>
      </c>
      <c r="R167">
        <v>0.46332899999999999</v>
      </c>
      <c r="T167">
        <v>2016849</v>
      </c>
      <c r="U167" t="s">
        <v>541</v>
      </c>
      <c r="V167">
        <v>5</v>
      </c>
      <c r="W167">
        <v>3</v>
      </c>
      <c r="X167">
        <v>4</v>
      </c>
      <c r="Y167" s="2" t="s">
        <v>550</v>
      </c>
      <c r="Z167" t="s">
        <v>551</v>
      </c>
      <c r="AA167">
        <v>5</v>
      </c>
      <c r="AB167">
        <v>3</v>
      </c>
      <c r="AC167">
        <v>4</v>
      </c>
      <c r="AD167">
        <f t="shared" si="6"/>
        <v>5</v>
      </c>
      <c r="AE167">
        <f t="shared" si="7"/>
        <v>3</v>
      </c>
      <c r="AF167">
        <f t="shared" si="8"/>
        <v>4</v>
      </c>
    </row>
    <row r="168" spans="1:32" x14ac:dyDescent="0.25">
      <c r="A168" t="s">
        <v>384</v>
      </c>
      <c r="B168" t="s">
        <v>385</v>
      </c>
      <c r="C168" t="s">
        <v>290</v>
      </c>
      <c r="D168" t="s">
        <v>33</v>
      </c>
      <c r="E168">
        <v>21</v>
      </c>
      <c r="F168">
        <v>4.13</v>
      </c>
      <c r="G168">
        <v>0</v>
      </c>
      <c r="H168">
        <v>0.83</v>
      </c>
      <c r="I168">
        <v>0.8</v>
      </c>
      <c r="J168">
        <v>0.19666700000000001</v>
      </c>
      <c r="K168">
        <v>0</v>
      </c>
      <c r="L168">
        <v>3.9523999999999997E-2</v>
      </c>
      <c r="M168">
        <v>3.8094999999999997E-2</v>
      </c>
      <c r="N168">
        <v>149</v>
      </c>
      <c r="Q168">
        <v>7.0952380000000002</v>
      </c>
      <c r="R168">
        <v>1.0248330000000001</v>
      </c>
      <c r="T168">
        <v>2016856</v>
      </c>
      <c r="U168" t="s">
        <v>542</v>
      </c>
      <c r="V168">
        <v>4</v>
      </c>
      <c r="W168">
        <v>2</v>
      </c>
      <c r="X168">
        <v>1</v>
      </c>
      <c r="Y168" s="2" t="s">
        <v>550</v>
      </c>
      <c r="Z168" t="s">
        <v>551</v>
      </c>
      <c r="AA168">
        <v>4</v>
      </c>
      <c r="AB168">
        <v>2</v>
      </c>
      <c r="AC168">
        <v>1</v>
      </c>
      <c r="AD168">
        <f t="shared" si="6"/>
        <v>4</v>
      </c>
      <c r="AE168">
        <f t="shared" si="7"/>
        <v>2</v>
      </c>
      <c r="AF168">
        <f t="shared" si="8"/>
        <v>1</v>
      </c>
    </row>
    <row r="169" spans="1:32" x14ac:dyDescent="0.25">
      <c r="A169" t="s">
        <v>386</v>
      </c>
      <c r="B169" t="s">
        <v>387</v>
      </c>
      <c r="C169" t="s">
        <v>235</v>
      </c>
      <c r="D169" t="s">
        <v>33</v>
      </c>
      <c r="E169">
        <v>17</v>
      </c>
      <c r="F169">
        <v>3.33</v>
      </c>
      <c r="G169">
        <v>0</v>
      </c>
      <c r="H169">
        <v>0.83</v>
      </c>
      <c r="I169">
        <v>1.7</v>
      </c>
      <c r="J169">
        <v>0.195882</v>
      </c>
      <c r="K169">
        <v>0</v>
      </c>
      <c r="L169">
        <v>4.8823999999999999E-2</v>
      </c>
      <c r="M169">
        <v>0.1</v>
      </c>
      <c r="N169">
        <v>242</v>
      </c>
      <c r="Q169">
        <v>14.235294</v>
      </c>
      <c r="R169">
        <v>2.1086179999999999</v>
      </c>
      <c r="T169">
        <v>2016841</v>
      </c>
      <c r="U169" t="s">
        <v>542</v>
      </c>
      <c r="V169">
        <v>2</v>
      </c>
      <c r="W169">
        <v>3</v>
      </c>
      <c r="X169">
        <v>3</v>
      </c>
      <c r="Y169" s="4" t="s">
        <v>555</v>
      </c>
      <c r="Z169" t="s">
        <v>573</v>
      </c>
      <c r="AA169">
        <v>2</v>
      </c>
      <c r="AB169">
        <v>3</v>
      </c>
      <c r="AC169">
        <v>1</v>
      </c>
      <c r="AD169">
        <f t="shared" si="6"/>
        <v>2</v>
      </c>
      <c r="AE169">
        <f t="shared" si="7"/>
        <v>3</v>
      </c>
      <c r="AF169">
        <f t="shared" si="8"/>
        <v>1</v>
      </c>
    </row>
    <row r="170" spans="1:32" x14ac:dyDescent="0.25">
      <c r="A170" t="s">
        <v>388</v>
      </c>
      <c r="B170" t="s">
        <v>389</v>
      </c>
      <c r="C170" t="s">
        <v>235</v>
      </c>
      <c r="D170" t="s">
        <v>33</v>
      </c>
      <c r="E170">
        <v>64</v>
      </c>
      <c r="F170">
        <v>13.6</v>
      </c>
      <c r="G170">
        <v>0.8</v>
      </c>
      <c r="H170">
        <v>1.6</v>
      </c>
      <c r="I170">
        <v>1.6</v>
      </c>
      <c r="J170">
        <v>0.21249999999999999</v>
      </c>
      <c r="K170">
        <v>1.2500000000000001E-2</v>
      </c>
      <c r="L170">
        <v>2.5000000000000001E-2</v>
      </c>
      <c r="M170">
        <v>2.5000000000000001E-2</v>
      </c>
      <c r="N170">
        <v>240</v>
      </c>
      <c r="Q170">
        <v>3.75</v>
      </c>
      <c r="R170">
        <v>0.51437500000000003</v>
      </c>
      <c r="T170">
        <v>2289817</v>
      </c>
      <c r="U170" t="s">
        <v>542</v>
      </c>
      <c r="V170">
        <v>2</v>
      </c>
      <c r="W170">
        <v>2</v>
      </c>
      <c r="X170">
        <v>3</v>
      </c>
      <c r="Y170" s="3" t="s">
        <v>552</v>
      </c>
      <c r="Z170" t="s">
        <v>584</v>
      </c>
      <c r="AA170">
        <v>2</v>
      </c>
      <c r="AB170">
        <v>2</v>
      </c>
      <c r="AC170">
        <v>2</v>
      </c>
      <c r="AD170">
        <f t="shared" si="6"/>
        <v>2</v>
      </c>
      <c r="AE170">
        <f t="shared" si="7"/>
        <v>2</v>
      </c>
      <c r="AF170">
        <f t="shared" si="8"/>
        <v>2</v>
      </c>
    </row>
    <row r="171" spans="1:32" x14ac:dyDescent="0.25">
      <c r="A171" t="s">
        <v>390</v>
      </c>
      <c r="B171" t="s">
        <v>391</v>
      </c>
      <c r="C171" t="s">
        <v>217</v>
      </c>
      <c r="D171" t="s">
        <v>23</v>
      </c>
      <c r="E171">
        <v>354</v>
      </c>
      <c r="F171">
        <v>64.599999999999994</v>
      </c>
      <c r="G171">
        <v>4.17</v>
      </c>
      <c r="H171">
        <v>10.4</v>
      </c>
      <c r="I171">
        <v>6.2</v>
      </c>
      <c r="J171">
        <v>0.18248600000000001</v>
      </c>
      <c r="K171">
        <v>1.1780000000000001E-2</v>
      </c>
      <c r="L171">
        <v>2.9378999999999999E-2</v>
      </c>
      <c r="M171">
        <v>1.7513999999999998E-2</v>
      </c>
      <c r="N171">
        <v>1460</v>
      </c>
      <c r="Q171">
        <v>4.1242939999999999</v>
      </c>
      <c r="R171">
        <v>0.57975299999999996</v>
      </c>
      <c r="S171" t="s">
        <v>24</v>
      </c>
      <c r="T171">
        <v>2031300</v>
      </c>
      <c r="U171" t="s">
        <v>541</v>
      </c>
      <c r="V171">
        <v>4</v>
      </c>
      <c r="W171">
        <v>3</v>
      </c>
      <c r="X171">
        <v>3</v>
      </c>
      <c r="Y171" s="2" t="s">
        <v>550</v>
      </c>
      <c r="Z171" t="s">
        <v>551</v>
      </c>
      <c r="AA171">
        <v>4</v>
      </c>
      <c r="AB171">
        <v>3</v>
      </c>
      <c r="AC171">
        <v>3</v>
      </c>
      <c r="AD171">
        <f t="shared" si="6"/>
        <v>4</v>
      </c>
      <c r="AE171">
        <f t="shared" si="7"/>
        <v>3</v>
      </c>
      <c r="AF171">
        <f t="shared" si="8"/>
        <v>3</v>
      </c>
    </row>
    <row r="172" spans="1:32" x14ac:dyDescent="0.25">
      <c r="A172" t="s">
        <v>392</v>
      </c>
      <c r="B172" t="s">
        <v>393</v>
      </c>
      <c r="C172" t="s">
        <v>217</v>
      </c>
      <c r="D172" t="s">
        <v>23</v>
      </c>
      <c r="E172">
        <v>500</v>
      </c>
      <c r="F172">
        <v>34.1</v>
      </c>
      <c r="G172">
        <v>34.1</v>
      </c>
      <c r="H172">
        <v>18.2</v>
      </c>
      <c r="I172">
        <v>27.3</v>
      </c>
      <c r="J172">
        <v>6.8199999999999997E-2</v>
      </c>
      <c r="K172">
        <v>6.8199999999999997E-2</v>
      </c>
      <c r="L172">
        <v>3.6400000000000002E-2</v>
      </c>
      <c r="M172">
        <v>5.4600000000000003E-2</v>
      </c>
      <c r="N172">
        <v>34</v>
      </c>
      <c r="Q172">
        <v>6.8000000000000005E-2</v>
      </c>
      <c r="R172">
        <v>2.7720000000000002E-2</v>
      </c>
      <c r="S172" t="s">
        <v>24</v>
      </c>
      <c r="T172">
        <v>2037321</v>
      </c>
      <c r="U172" t="s">
        <v>541</v>
      </c>
      <c r="V172">
        <v>4</v>
      </c>
      <c r="W172">
        <v>4</v>
      </c>
      <c r="X172">
        <v>3</v>
      </c>
      <c r="Y172" s="2" t="s">
        <v>550</v>
      </c>
      <c r="Z172" t="s">
        <v>551</v>
      </c>
      <c r="AA172">
        <v>4</v>
      </c>
      <c r="AB172">
        <v>4</v>
      </c>
      <c r="AC172">
        <v>3</v>
      </c>
      <c r="AD172">
        <f t="shared" si="6"/>
        <v>4</v>
      </c>
      <c r="AE172">
        <f t="shared" si="7"/>
        <v>4</v>
      </c>
      <c r="AF172">
        <f t="shared" si="8"/>
        <v>3</v>
      </c>
    </row>
    <row r="173" spans="1:32" x14ac:dyDescent="0.25">
      <c r="A173" t="s">
        <v>394</v>
      </c>
      <c r="B173" t="s">
        <v>395</v>
      </c>
      <c r="C173" t="s">
        <v>247</v>
      </c>
      <c r="D173" t="s">
        <v>33</v>
      </c>
      <c r="E173">
        <v>185</v>
      </c>
      <c r="F173">
        <v>15.9</v>
      </c>
      <c r="G173">
        <v>11.5</v>
      </c>
      <c r="H173">
        <v>5.3</v>
      </c>
      <c r="I173">
        <v>3.5</v>
      </c>
      <c r="J173">
        <v>8.5945999999999995E-2</v>
      </c>
      <c r="K173">
        <v>6.2162000000000002E-2</v>
      </c>
      <c r="L173">
        <v>2.8649000000000001E-2</v>
      </c>
      <c r="M173">
        <v>1.8918999999999998E-2</v>
      </c>
      <c r="N173">
        <v>132</v>
      </c>
      <c r="Q173">
        <v>0.71351399999999998</v>
      </c>
      <c r="R173">
        <v>0.109649</v>
      </c>
      <c r="T173">
        <v>2442157</v>
      </c>
      <c r="U173" t="s">
        <v>541</v>
      </c>
      <c r="V173">
        <v>3</v>
      </c>
      <c r="W173">
        <v>3</v>
      </c>
      <c r="X173">
        <v>2</v>
      </c>
      <c r="Y173" s="4" t="s">
        <v>555</v>
      </c>
      <c r="Z173" t="s">
        <v>585</v>
      </c>
      <c r="AA173">
        <v>5</v>
      </c>
      <c r="AB173">
        <v>3</v>
      </c>
      <c r="AC173">
        <v>3</v>
      </c>
      <c r="AD173">
        <f t="shared" si="6"/>
        <v>5</v>
      </c>
      <c r="AE173">
        <f t="shared" si="7"/>
        <v>3</v>
      </c>
      <c r="AF173">
        <f t="shared" si="8"/>
        <v>3</v>
      </c>
    </row>
    <row r="174" spans="1:32" x14ac:dyDescent="0.25">
      <c r="A174" t="s">
        <v>396</v>
      </c>
      <c r="B174" t="s">
        <v>397</v>
      </c>
      <c r="C174" t="s">
        <v>214</v>
      </c>
      <c r="D174" t="s">
        <v>28</v>
      </c>
      <c r="E174">
        <v>393</v>
      </c>
      <c r="F174">
        <v>0</v>
      </c>
      <c r="G174">
        <v>35.700000000000003</v>
      </c>
      <c r="H174">
        <v>25</v>
      </c>
      <c r="I174">
        <v>0</v>
      </c>
      <c r="J174">
        <v>0</v>
      </c>
      <c r="K174">
        <v>9.0840000000000004E-2</v>
      </c>
      <c r="L174">
        <v>6.3613000000000003E-2</v>
      </c>
      <c r="M174">
        <v>0</v>
      </c>
      <c r="N174">
        <v>643</v>
      </c>
      <c r="Q174">
        <v>1.6361319999999999</v>
      </c>
      <c r="R174">
        <v>0.29039399999999999</v>
      </c>
      <c r="S174" t="s">
        <v>29</v>
      </c>
      <c r="T174">
        <v>2054662</v>
      </c>
      <c r="U174" t="s">
        <v>541</v>
      </c>
      <c r="V174">
        <v>3</v>
      </c>
      <c r="W174">
        <v>2</v>
      </c>
      <c r="X174">
        <v>1</v>
      </c>
      <c r="Y174" s="2" t="s">
        <v>550</v>
      </c>
      <c r="Z174" t="s">
        <v>551</v>
      </c>
      <c r="AA174">
        <v>3</v>
      </c>
      <c r="AB174">
        <v>2</v>
      </c>
      <c r="AC174">
        <v>1</v>
      </c>
      <c r="AD174">
        <f t="shared" si="6"/>
        <v>3</v>
      </c>
      <c r="AE174">
        <f t="shared" si="7"/>
        <v>2</v>
      </c>
      <c r="AF174">
        <f t="shared" si="8"/>
        <v>1</v>
      </c>
    </row>
    <row r="175" spans="1:32" x14ac:dyDescent="0.25">
      <c r="A175" t="s">
        <v>398</v>
      </c>
      <c r="B175" t="s">
        <v>399</v>
      </c>
      <c r="C175" t="s">
        <v>329</v>
      </c>
      <c r="D175" t="s">
        <v>23</v>
      </c>
      <c r="E175">
        <v>306</v>
      </c>
      <c r="F175">
        <v>56.5</v>
      </c>
      <c r="G175">
        <v>2.35</v>
      </c>
      <c r="H175">
        <v>11.8</v>
      </c>
      <c r="I175">
        <v>3.5</v>
      </c>
      <c r="J175">
        <v>0.184641</v>
      </c>
      <c r="K175">
        <v>7.6800000000000002E-3</v>
      </c>
      <c r="L175">
        <v>3.8561999999999999E-2</v>
      </c>
      <c r="M175">
        <v>1.1438E-2</v>
      </c>
      <c r="N175">
        <v>18</v>
      </c>
      <c r="Q175">
        <v>5.8824000000000001E-2</v>
      </c>
      <c r="R175">
        <v>-2.9436E-2</v>
      </c>
      <c r="S175" t="s">
        <v>24</v>
      </c>
      <c r="T175">
        <v>2069465</v>
      </c>
      <c r="U175" t="s">
        <v>541</v>
      </c>
      <c r="V175">
        <v>4</v>
      </c>
      <c r="W175">
        <v>3</v>
      </c>
      <c r="X175">
        <v>3</v>
      </c>
      <c r="Y175" s="2" t="s">
        <v>550</v>
      </c>
      <c r="Z175" t="s">
        <v>551</v>
      </c>
      <c r="AA175">
        <v>4</v>
      </c>
      <c r="AB175">
        <v>3</v>
      </c>
      <c r="AC175">
        <v>3</v>
      </c>
      <c r="AD175">
        <f t="shared" si="6"/>
        <v>4</v>
      </c>
      <c r="AE175">
        <f t="shared" si="7"/>
        <v>3</v>
      </c>
      <c r="AF175">
        <f t="shared" si="8"/>
        <v>3</v>
      </c>
    </row>
    <row r="176" spans="1:32" x14ac:dyDescent="0.25">
      <c r="A176" t="s">
        <v>400</v>
      </c>
      <c r="B176" t="s">
        <v>401</v>
      </c>
      <c r="C176" t="s">
        <v>329</v>
      </c>
      <c r="D176" t="s">
        <v>23</v>
      </c>
      <c r="E176">
        <v>306</v>
      </c>
      <c r="F176">
        <v>56.5</v>
      </c>
      <c r="G176">
        <v>2.35</v>
      </c>
      <c r="H176">
        <v>11.8</v>
      </c>
      <c r="I176">
        <v>3.5</v>
      </c>
      <c r="J176">
        <v>0.184641</v>
      </c>
      <c r="K176">
        <v>7.6800000000000002E-3</v>
      </c>
      <c r="L176">
        <v>3.8561999999999999E-2</v>
      </c>
      <c r="M176">
        <v>1.1438E-2</v>
      </c>
      <c r="N176">
        <v>18</v>
      </c>
      <c r="Q176">
        <v>5.8824000000000001E-2</v>
      </c>
      <c r="R176">
        <v>-2.9436E-2</v>
      </c>
      <c r="S176" t="s">
        <v>24</v>
      </c>
      <c r="T176">
        <v>2051848</v>
      </c>
      <c r="U176" t="s">
        <v>541</v>
      </c>
      <c r="V176">
        <v>5</v>
      </c>
      <c r="W176">
        <v>4</v>
      </c>
      <c r="X176">
        <v>3</v>
      </c>
      <c r="Y176" s="4" t="s">
        <v>555</v>
      </c>
      <c r="Z176" t="s">
        <v>586</v>
      </c>
      <c r="AA176">
        <v>3</v>
      </c>
      <c r="AB176">
        <v>4</v>
      </c>
      <c r="AC176">
        <v>3</v>
      </c>
      <c r="AD176">
        <f t="shared" si="6"/>
        <v>3</v>
      </c>
      <c r="AE176">
        <f t="shared" si="7"/>
        <v>4</v>
      </c>
      <c r="AF176">
        <f t="shared" si="8"/>
        <v>3</v>
      </c>
    </row>
    <row r="177" spans="1:32" x14ac:dyDescent="0.25">
      <c r="A177" t="s">
        <v>402</v>
      </c>
      <c r="B177" t="s">
        <v>403</v>
      </c>
      <c r="C177" t="s">
        <v>404</v>
      </c>
      <c r="D177" t="s">
        <v>33</v>
      </c>
      <c r="E177">
        <v>73</v>
      </c>
      <c r="F177">
        <v>9.33</v>
      </c>
      <c r="G177">
        <v>0</v>
      </c>
      <c r="H177">
        <v>9.33</v>
      </c>
      <c r="I177">
        <v>0</v>
      </c>
      <c r="J177">
        <v>0.127808</v>
      </c>
      <c r="K177">
        <v>0</v>
      </c>
      <c r="L177">
        <v>0.127808</v>
      </c>
      <c r="M177">
        <v>0</v>
      </c>
      <c r="N177">
        <v>60</v>
      </c>
      <c r="O177">
        <v>133</v>
      </c>
      <c r="Q177">
        <v>2.6438359999999999</v>
      </c>
      <c r="R177">
        <v>0.40296599999999999</v>
      </c>
      <c r="T177">
        <v>2210362</v>
      </c>
      <c r="U177" t="s">
        <v>541</v>
      </c>
      <c r="V177">
        <v>2</v>
      </c>
      <c r="W177">
        <v>3</v>
      </c>
      <c r="X177">
        <v>3</v>
      </c>
      <c r="Y177" s="4" t="s">
        <v>555</v>
      </c>
      <c r="Z177" t="s">
        <v>618</v>
      </c>
      <c r="AA177">
        <v>4</v>
      </c>
      <c r="AB177">
        <v>4</v>
      </c>
      <c r="AC177">
        <v>2</v>
      </c>
      <c r="AD177">
        <f t="shared" si="6"/>
        <v>4</v>
      </c>
      <c r="AE177">
        <f t="shared" si="7"/>
        <v>4</v>
      </c>
      <c r="AF177">
        <f t="shared" si="8"/>
        <v>2</v>
      </c>
    </row>
    <row r="178" spans="1:32" x14ac:dyDescent="0.25">
      <c r="A178" t="s">
        <v>405</v>
      </c>
      <c r="B178" t="s">
        <v>406</v>
      </c>
      <c r="C178" t="s">
        <v>302</v>
      </c>
      <c r="D178" t="s">
        <v>23</v>
      </c>
      <c r="E178">
        <v>567</v>
      </c>
      <c r="F178">
        <v>30</v>
      </c>
      <c r="G178">
        <v>43.3</v>
      </c>
      <c r="H178">
        <v>20</v>
      </c>
      <c r="I178">
        <v>10</v>
      </c>
      <c r="J178">
        <v>5.2909999999999999E-2</v>
      </c>
      <c r="K178">
        <v>7.6367000000000004E-2</v>
      </c>
      <c r="L178">
        <v>3.5272999999999999E-2</v>
      </c>
      <c r="M178">
        <v>1.7637E-2</v>
      </c>
      <c r="N178">
        <v>0</v>
      </c>
      <c r="Q178">
        <v>0</v>
      </c>
      <c r="R178">
        <v>1.821E-2</v>
      </c>
      <c r="S178" t="s">
        <v>24</v>
      </c>
      <c r="T178">
        <v>2052702</v>
      </c>
      <c r="U178" t="s">
        <v>541</v>
      </c>
      <c r="V178">
        <v>5</v>
      </c>
      <c r="W178">
        <v>3</v>
      </c>
      <c r="X178">
        <v>3</v>
      </c>
      <c r="Y178" s="2" t="s">
        <v>550</v>
      </c>
      <c r="Z178" t="s">
        <v>551</v>
      </c>
      <c r="AA178">
        <v>5</v>
      </c>
      <c r="AB178">
        <v>3</v>
      </c>
      <c r="AC178">
        <v>3</v>
      </c>
      <c r="AD178">
        <f t="shared" si="6"/>
        <v>5</v>
      </c>
      <c r="AE178">
        <f t="shared" si="7"/>
        <v>3</v>
      </c>
      <c r="AF178">
        <f t="shared" si="8"/>
        <v>3</v>
      </c>
    </row>
    <row r="179" spans="1:32" x14ac:dyDescent="0.25">
      <c r="A179" t="s">
        <v>407</v>
      </c>
      <c r="B179" t="s">
        <v>408</v>
      </c>
      <c r="C179" t="s">
        <v>302</v>
      </c>
      <c r="D179" t="s">
        <v>33</v>
      </c>
      <c r="E179">
        <v>625</v>
      </c>
      <c r="F179">
        <v>18.8</v>
      </c>
      <c r="G179">
        <v>50</v>
      </c>
      <c r="H179">
        <v>21.9</v>
      </c>
      <c r="I179">
        <v>6.2</v>
      </c>
      <c r="J179">
        <v>3.0079999999999999E-2</v>
      </c>
      <c r="K179">
        <v>0.08</v>
      </c>
      <c r="L179">
        <v>3.5040000000000002E-2</v>
      </c>
      <c r="M179">
        <v>9.92E-3</v>
      </c>
      <c r="N179">
        <v>438</v>
      </c>
      <c r="Q179">
        <v>0.70079999999999998</v>
      </c>
      <c r="R179">
        <v>0.12984799999999999</v>
      </c>
      <c r="T179">
        <v>2455889</v>
      </c>
      <c r="U179" t="s">
        <v>541</v>
      </c>
      <c r="V179">
        <v>5</v>
      </c>
      <c r="W179">
        <v>2</v>
      </c>
      <c r="X179">
        <v>4</v>
      </c>
      <c r="Y179" s="3" t="s">
        <v>552</v>
      </c>
      <c r="Z179" t="s">
        <v>553</v>
      </c>
      <c r="AA179">
        <v>4</v>
      </c>
      <c r="AB179">
        <v>2</v>
      </c>
      <c r="AC179">
        <v>4</v>
      </c>
      <c r="AD179">
        <f t="shared" si="6"/>
        <v>4</v>
      </c>
      <c r="AE179">
        <f t="shared" si="7"/>
        <v>2</v>
      </c>
      <c r="AF179">
        <f t="shared" si="8"/>
        <v>4</v>
      </c>
    </row>
    <row r="180" spans="1:32" x14ac:dyDescent="0.25">
      <c r="A180" t="s">
        <v>409</v>
      </c>
      <c r="B180" t="s">
        <v>410</v>
      </c>
      <c r="C180" t="s">
        <v>214</v>
      </c>
      <c r="D180" t="s">
        <v>28</v>
      </c>
      <c r="E180">
        <v>286</v>
      </c>
      <c r="F180">
        <v>7.14</v>
      </c>
      <c r="G180">
        <v>21.4</v>
      </c>
      <c r="H180">
        <v>14.3</v>
      </c>
      <c r="I180">
        <v>0</v>
      </c>
      <c r="J180">
        <v>2.4965000000000001E-2</v>
      </c>
      <c r="K180">
        <v>7.4825000000000003E-2</v>
      </c>
      <c r="L180">
        <v>0.05</v>
      </c>
      <c r="M180">
        <v>0</v>
      </c>
      <c r="N180">
        <v>1710</v>
      </c>
      <c r="Q180">
        <v>5.9790210000000004</v>
      </c>
      <c r="R180">
        <v>0.92557</v>
      </c>
      <c r="S180" t="s">
        <v>29</v>
      </c>
      <c r="T180">
        <v>399073</v>
      </c>
      <c r="U180" t="s">
        <v>541</v>
      </c>
      <c r="V180">
        <v>5</v>
      </c>
      <c r="W180">
        <v>3</v>
      </c>
      <c r="X180">
        <v>4</v>
      </c>
      <c r="Y180" s="4" t="s">
        <v>555</v>
      </c>
      <c r="Z180" t="s">
        <v>587</v>
      </c>
      <c r="AA180">
        <v>3</v>
      </c>
      <c r="AB180">
        <v>3</v>
      </c>
      <c r="AC180">
        <v>3</v>
      </c>
      <c r="AD180">
        <f t="shared" si="6"/>
        <v>3</v>
      </c>
      <c r="AE180">
        <f t="shared" si="7"/>
        <v>3</v>
      </c>
      <c r="AF180">
        <f t="shared" si="8"/>
        <v>3</v>
      </c>
    </row>
    <row r="181" spans="1:32" x14ac:dyDescent="0.25">
      <c r="A181" t="s">
        <v>411</v>
      </c>
      <c r="B181" t="s">
        <v>412</v>
      </c>
      <c r="C181" t="s">
        <v>211</v>
      </c>
      <c r="D181" t="s">
        <v>33</v>
      </c>
      <c r="E181">
        <v>82</v>
      </c>
      <c r="F181">
        <v>14.1</v>
      </c>
      <c r="G181">
        <v>0</v>
      </c>
      <c r="H181">
        <v>4.71</v>
      </c>
      <c r="I181">
        <v>5.9</v>
      </c>
      <c r="J181">
        <v>0.17195099999999999</v>
      </c>
      <c r="K181">
        <v>0</v>
      </c>
      <c r="L181">
        <v>5.7438999999999997E-2</v>
      </c>
      <c r="M181">
        <v>7.1951000000000001E-2</v>
      </c>
      <c r="N181">
        <v>88</v>
      </c>
      <c r="Q181">
        <v>1.0731710000000001</v>
      </c>
      <c r="R181">
        <v>0.140287</v>
      </c>
      <c r="T181">
        <v>2035111</v>
      </c>
      <c r="U181" t="s">
        <v>542</v>
      </c>
      <c r="V181">
        <v>4</v>
      </c>
      <c r="W181">
        <v>3</v>
      </c>
      <c r="X181">
        <v>2</v>
      </c>
      <c r="Y181" s="2" t="s">
        <v>550</v>
      </c>
      <c r="Z181" t="s">
        <v>551</v>
      </c>
      <c r="AA181">
        <v>4</v>
      </c>
      <c r="AB181">
        <v>3</v>
      </c>
      <c r="AC181">
        <v>2</v>
      </c>
      <c r="AD181">
        <f t="shared" si="6"/>
        <v>4</v>
      </c>
      <c r="AE181">
        <f t="shared" si="7"/>
        <v>3</v>
      </c>
      <c r="AF181">
        <f t="shared" si="8"/>
        <v>2</v>
      </c>
    </row>
    <row r="182" spans="1:32" x14ac:dyDescent="0.25">
      <c r="A182" t="s">
        <v>413</v>
      </c>
      <c r="B182" t="s">
        <v>414</v>
      </c>
      <c r="C182" t="s">
        <v>318</v>
      </c>
      <c r="D182" t="s">
        <v>33</v>
      </c>
      <c r="E182">
        <v>140</v>
      </c>
      <c r="F182">
        <v>0</v>
      </c>
      <c r="G182">
        <v>10</v>
      </c>
      <c r="H182">
        <v>12</v>
      </c>
      <c r="J182">
        <v>0</v>
      </c>
      <c r="K182">
        <v>7.1429000000000006E-2</v>
      </c>
      <c r="L182">
        <v>8.5713999999999999E-2</v>
      </c>
      <c r="M182">
        <v>0</v>
      </c>
      <c r="N182">
        <v>140</v>
      </c>
      <c r="O182">
        <v>140</v>
      </c>
      <c r="Q182">
        <v>2</v>
      </c>
      <c r="R182">
        <v>0.34785700000000003</v>
      </c>
      <c r="T182">
        <v>1662573</v>
      </c>
      <c r="U182" t="s">
        <v>541</v>
      </c>
      <c r="V182">
        <v>4</v>
      </c>
      <c r="W182">
        <v>3</v>
      </c>
      <c r="X182">
        <v>2</v>
      </c>
      <c r="Y182" s="2" t="s">
        <v>550</v>
      </c>
      <c r="Z182" t="s">
        <v>551</v>
      </c>
      <c r="AA182">
        <v>4</v>
      </c>
      <c r="AB182">
        <v>3</v>
      </c>
      <c r="AC182">
        <v>2</v>
      </c>
      <c r="AD182">
        <f t="shared" si="6"/>
        <v>4</v>
      </c>
      <c r="AE182">
        <f t="shared" si="7"/>
        <v>3</v>
      </c>
      <c r="AF182">
        <f t="shared" si="8"/>
        <v>2</v>
      </c>
    </row>
    <row r="183" spans="1:32" x14ac:dyDescent="0.25">
      <c r="A183" t="s">
        <v>415</v>
      </c>
      <c r="B183" t="s">
        <v>416</v>
      </c>
      <c r="C183" t="s">
        <v>214</v>
      </c>
      <c r="D183" t="s">
        <v>28</v>
      </c>
      <c r="E183">
        <v>286</v>
      </c>
      <c r="F183">
        <v>3.57</v>
      </c>
      <c r="G183">
        <v>21.4</v>
      </c>
      <c r="H183">
        <v>25</v>
      </c>
      <c r="I183">
        <v>0</v>
      </c>
      <c r="J183">
        <v>1.2482999999999999E-2</v>
      </c>
      <c r="K183">
        <v>7.4825000000000003E-2</v>
      </c>
      <c r="L183">
        <v>8.7413000000000005E-2</v>
      </c>
      <c r="M183">
        <v>0</v>
      </c>
      <c r="N183">
        <v>536</v>
      </c>
      <c r="Q183">
        <v>1.874126</v>
      </c>
      <c r="R183">
        <v>0.32667499999999999</v>
      </c>
      <c r="S183" t="s">
        <v>29</v>
      </c>
      <c r="T183">
        <v>2055222</v>
      </c>
      <c r="U183" t="s">
        <v>541</v>
      </c>
      <c r="V183">
        <v>5</v>
      </c>
      <c r="W183">
        <v>3</v>
      </c>
      <c r="X183">
        <v>4</v>
      </c>
      <c r="Y183" s="4" t="s">
        <v>555</v>
      </c>
      <c r="Z183" t="s">
        <v>587</v>
      </c>
      <c r="AA183">
        <v>3</v>
      </c>
      <c r="AB183">
        <v>3</v>
      </c>
      <c r="AC183">
        <v>3</v>
      </c>
      <c r="AD183">
        <f t="shared" si="6"/>
        <v>3</v>
      </c>
      <c r="AE183">
        <f t="shared" si="7"/>
        <v>3</v>
      </c>
      <c r="AF183">
        <f t="shared" si="8"/>
        <v>3</v>
      </c>
    </row>
    <row r="184" spans="1:32" x14ac:dyDescent="0.25">
      <c r="A184" t="s">
        <v>417</v>
      </c>
      <c r="B184" t="s">
        <v>418</v>
      </c>
      <c r="C184" t="s">
        <v>214</v>
      </c>
      <c r="D184" t="s">
        <v>28</v>
      </c>
      <c r="E184">
        <v>393</v>
      </c>
      <c r="F184">
        <v>3.57</v>
      </c>
      <c r="G184">
        <v>32.1</v>
      </c>
      <c r="H184">
        <v>25</v>
      </c>
      <c r="I184">
        <v>0</v>
      </c>
      <c r="J184">
        <v>9.0840000000000001E-3</v>
      </c>
      <c r="K184">
        <v>8.1679000000000002E-2</v>
      </c>
      <c r="L184">
        <v>6.3613000000000003E-2</v>
      </c>
      <c r="M184">
        <v>0</v>
      </c>
      <c r="N184">
        <v>643</v>
      </c>
      <c r="Q184">
        <v>1.6361319999999999</v>
      </c>
      <c r="R184">
        <v>0.28537899999999999</v>
      </c>
      <c r="S184" t="s">
        <v>29</v>
      </c>
      <c r="T184">
        <v>2055196</v>
      </c>
      <c r="U184" t="s">
        <v>541</v>
      </c>
      <c r="V184">
        <v>5</v>
      </c>
      <c r="W184">
        <v>4</v>
      </c>
      <c r="X184">
        <v>3</v>
      </c>
      <c r="Y184" s="4" t="s">
        <v>555</v>
      </c>
      <c r="Z184" t="s">
        <v>569</v>
      </c>
      <c r="AA184">
        <v>3</v>
      </c>
      <c r="AB184">
        <v>4</v>
      </c>
      <c r="AC184">
        <v>3</v>
      </c>
      <c r="AD184">
        <f t="shared" si="6"/>
        <v>3</v>
      </c>
      <c r="AE184">
        <f t="shared" si="7"/>
        <v>4</v>
      </c>
      <c r="AF184">
        <f t="shared" si="8"/>
        <v>3</v>
      </c>
    </row>
    <row r="185" spans="1:32" x14ac:dyDescent="0.25">
      <c r="A185" t="s">
        <v>419</v>
      </c>
      <c r="B185" t="s">
        <v>420</v>
      </c>
      <c r="C185" t="s">
        <v>313</v>
      </c>
      <c r="D185" t="s">
        <v>33</v>
      </c>
      <c r="E185">
        <v>71</v>
      </c>
      <c r="F185">
        <v>0</v>
      </c>
      <c r="G185">
        <v>0.88</v>
      </c>
      <c r="H185">
        <v>15</v>
      </c>
      <c r="I185">
        <v>0</v>
      </c>
      <c r="J185">
        <v>0</v>
      </c>
      <c r="K185">
        <v>1.2394000000000001E-2</v>
      </c>
      <c r="L185">
        <v>0.21126800000000001</v>
      </c>
      <c r="M185">
        <v>0</v>
      </c>
      <c r="N185">
        <v>62</v>
      </c>
      <c r="Q185">
        <v>0.87323899999999999</v>
      </c>
      <c r="R185">
        <v>0.20802799999999999</v>
      </c>
      <c r="T185">
        <v>2274789</v>
      </c>
      <c r="U185" t="s">
        <v>541</v>
      </c>
      <c r="V185">
        <v>4</v>
      </c>
      <c r="W185">
        <v>3</v>
      </c>
      <c r="X185">
        <v>1</v>
      </c>
      <c r="Y185" s="4" t="s">
        <v>555</v>
      </c>
      <c r="Z185" t="s">
        <v>588</v>
      </c>
      <c r="AA185">
        <v>4</v>
      </c>
      <c r="AB185">
        <v>3</v>
      </c>
      <c r="AC185">
        <v>3</v>
      </c>
      <c r="AD185">
        <f t="shared" si="6"/>
        <v>4</v>
      </c>
      <c r="AE185">
        <f t="shared" si="7"/>
        <v>3</v>
      </c>
      <c r="AF185">
        <f t="shared" si="8"/>
        <v>3</v>
      </c>
    </row>
    <row r="186" spans="1:32" x14ac:dyDescent="0.25">
      <c r="A186" t="s">
        <v>421</v>
      </c>
      <c r="B186" t="s">
        <v>422</v>
      </c>
      <c r="C186" t="s">
        <v>217</v>
      </c>
      <c r="D186" t="s">
        <v>108</v>
      </c>
      <c r="E186">
        <v>580</v>
      </c>
      <c r="F186">
        <v>8</v>
      </c>
      <c r="G186">
        <v>46</v>
      </c>
      <c r="H186">
        <v>36</v>
      </c>
      <c r="I186">
        <v>4</v>
      </c>
      <c r="J186">
        <v>1.3793E-2</v>
      </c>
      <c r="K186">
        <v>7.9310000000000005E-2</v>
      </c>
      <c r="L186">
        <v>6.2068999999999999E-2</v>
      </c>
      <c r="M186">
        <v>6.8970000000000004E-3</v>
      </c>
      <c r="N186">
        <v>0</v>
      </c>
      <c r="Q186">
        <v>0</v>
      </c>
      <c r="R186">
        <v>3.8448000000000003E-2</v>
      </c>
      <c r="S186" t="s">
        <v>109</v>
      </c>
      <c r="T186">
        <v>2289434</v>
      </c>
      <c r="U186" t="s">
        <v>541</v>
      </c>
      <c r="V186">
        <v>5</v>
      </c>
      <c r="W186">
        <v>3</v>
      </c>
      <c r="X186">
        <v>4</v>
      </c>
      <c r="Y186" s="2" t="s">
        <v>550</v>
      </c>
      <c r="Z186" t="s">
        <v>551</v>
      </c>
      <c r="AA186">
        <v>5</v>
      </c>
      <c r="AB186">
        <v>3</v>
      </c>
      <c r="AC186">
        <v>4</v>
      </c>
      <c r="AD186">
        <f t="shared" si="6"/>
        <v>5</v>
      </c>
      <c r="AE186">
        <f t="shared" si="7"/>
        <v>3</v>
      </c>
      <c r="AF186">
        <f t="shared" si="8"/>
        <v>4</v>
      </c>
    </row>
    <row r="187" spans="1:32" x14ac:dyDescent="0.25">
      <c r="A187" t="s">
        <v>423</v>
      </c>
      <c r="B187" t="s">
        <v>424</v>
      </c>
      <c r="C187" t="s">
        <v>217</v>
      </c>
      <c r="D187" t="s">
        <v>28</v>
      </c>
      <c r="E187">
        <v>600</v>
      </c>
      <c r="F187">
        <v>3.33</v>
      </c>
      <c r="G187">
        <v>50</v>
      </c>
      <c r="H187">
        <v>33.299999999999997</v>
      </c>
      <c r="I187">
        <v>3.3</v>
      </c>
      <c r="J187">
        <v>5.5500000000000002E-3</v>
      </c>
      <c r="K187">
        <v>8.3333000000000004E-2</v>
      </c>
      <c r="L187">
        <v>5.5500000000000001E-2</v>
      </c>
      <c r="M187">
        <v>5.4999999999999997E-3</v>
      </c>
      <c r="N187">
        <v>0</v>
      </c>
      <c r="O187">
        <v>1200</v>
      </c>
      <c r="P187">
        <v>667</v>
      </c>
      <c r="Q187">
        <v>3.1116670000000002</v>
      </c>
      <c r="R187">
        <v>0.50616799999999995</v>
      </c>
      <c r="S187" t="s">
        <v>29</v>
      </c>
      <c r="T187">
        <v>2051146</v>
      </c>
      <c r="U187" t="s">
        <v>541</v>
      </c>
      <c r="V187">
        <v>4</v>
      </c>
      <c r="W187">
        <v>3</v>
      </c>
      <c r="X187">
        <v>3</v>
      </c>
      <c r="Y187" s="2" t="s">
        <v>550</v>
      </c>
      <c r="Z187" t="s">
        <v>551</v>
      </c>
      <c r="AA187">
        <v>4</v>
      </c>
      <c r="AB187">
        <v>3</v>
      </c>
      <c r="AC187">
        <v>3</v>
      </c>
      <c r="AD187">
        <f t="shared" si="6"/>
        <v>4</v>
      </c>
      <c r="AE187">
        <f t="shared" si="7"/>
        <v>3</v>
      </c>
      <c r="AF187">
        <f t="shared" si="8"/>
        <v>3</v>
      </c>
    </row>
    <row r="188" spans="1:32" x14ac:dyDescent="0.25">
      <c r="A188" t="s">
        <v>425</v>
      </c>
      <c r="B188" t="s">
        <v>426</v>
      </c>
      <c r="C188" t="s">
        <v>214</v>
      </c>
      <c r="D188" t="s">
        <v>28</v>
      </c>
      <c r="E188">
        <v>393</v>
      </c>
      <c r="F188">
        <v>3.57</v>
      </c>
      <c r="G188">
        <v>32.1</v>
      </c>
      <c r="H188">
        <v>25</v>
      </c>
      <c r="I188">
        <v>0</v>
      </c>
      <c r="J188">
        <v>9.0840000000000001E-3</v>
      </c>
      <c r="K188">
        <v>8.1679000000000002E-2</v>
      </c>
      <c r="L188">
        <v>6.3613000000000003E-2</v>
      </c>
      <c r="M188">
        <v>0</v>
      </c>
      <c r="N188">
        <v>643</v>
      </c>
      <c r="Q188">
        <v>1.6361319999999999</v>
      </c>
      <c r="R188">
        <v>0.28537899999999999</v>
      </c>
      <c r="S188" t="s">
        <v>29</v>
      </c>
      <c r="T188">
        <v>1856643</v>
      </c>
      <c r="U188" t="s">
        <v>541</v>
      </c>
      <c r="V188">
        <v>4</v>
      </c>
      <c r="W188">
        <v>2</v>
      </c>
      <c r="X188">
        <v>1</v>
      </c>
      <c r="Y188" s="3" t="s">
        <v>552</v>
      </c>
      <c r="Z188" t="s">
        <v>589</v>
      </c>
      <c r="AA188">
        <v>3</v>
      </c>
      <c r="AB188">
        <v>2</v>
      </c>
      <c r="AC188">
        <v>1</v>
      </c>
      <c r="AD188">
        <f t="shared" si="6"/>
        <v>3</v>
      </c>
      <c r="AE188">
        <f t="shared" si="7"/>
        <v>2</v>
      </c>
      <c r="AF188">
        <f t="shared" si="8"/>
        <v>1</v>
      </c>
    </row>
    <row r="189" spans="1:32" x14ac:dyDescent="0.25">
      <c r="A189" t="s">
        <v>427</v>
      </c>
      <c r="B189" t="s">
        <v>428</v>
      </c>
      <c r="C189" t="s">
        <v>214</v>
      </c>
      <c r="D189" t="s">
        <v>28</v>
      </c>
      <c r="E189">
        <v>393</v>
      </c>
      <c r="F189">
        <v>3.57</v>
      </c>
      <c r="G189">
        <v>32.1</v>
      </c>
      <c r="H189">
        <v>25</v>
      </c>
      <c r="I189">
        <v>0</v>
      </c>
      <c r="J189">
        <v>9.0840000000000001E-3</v>
      </c>
      <c r="K189">
        <v>8.1679000000000002E-2</v>
      </c>
      <c r="L189">
        <v>6.3613000000000003E-2</v>
      </c>
      <c r="M189">
        <v>0</v>
      </c>
      <c r="N189">
        <v>643</v>
      </c>
      <c r="Q189">
        <v>1.6361319999999999</v>
      </c>
      <c r="R189">
        <v>0.28537899999999999</v>
      </c>
      <c r="S189" t="s">
        <v>29</v>
      </c>
      <c r="T189">
        <v>2016890</v>
      </c>
      <c r="U189" t="s">
        <v>541</v>
      </c>
      <c r="V189">
        <v>2</v>
      </c>
      <c r="W189">
        <v>3</v>
      </c>
      <c r="X189">
        <v>3</v>
      </c>
      <c r="Y189" s="2" t="s">
        <v>550</v>
      </c>
      <c r="Z189" t="s">
        <v>551</v>
      </c>
      <c r="AA189">
        <v>2</v>
      </c>
      <c r="AB189">
        <v>3</v>
      </c>
      <c r="AC189">
        <v>3</v>
      </c>
      <c r="AD189">
        <f t="shared" si="6"/>
        <v>2</v>
      </c>
      <c r="AE189">
        <f t="shared" si="7"/>
        <v>3</v>
      </c>
      <c r="AF189">
        <f t="shared" si="8"/>
        <v>3</v>
      </c>
    </row>
    <row r="190" spans="1:32" x14ac:dyDescent="0.25">
      <c r="A190" t="s">
        <v>429</v>
      </c>
      <c r="B190" t="s">
        <v>430</v>
      </c>
      <c r="C190" t="s">
        <v>247</v>
      </c>
      <c r="D190" t="s">
        <v>33</v>
      </c>
      <c r="E190">
        <v>85</v>
      </c>
      <c r="F190">
        <v>14.6</v>
      </c>
      <c r="G190">
        <v>0</v>
      </c>
      <c r="H190">
        <v>5.38</v>
      </c>
      <c r="I190">
        <v>4.5999999999999996</v>
      </c>
      <c r="J190">
        <v>0.171765</v>
      </c>
      <c r="K190">
        <v>0</v>
      </c>
      <c r="L190">
        <v>6.3294000000000003E-2</v>
      </c>
      <c r="M190">
        <v>5.4117999999999999E-2</v>
      </c>
      <c r="N190">
        <v>277</v>
      </c>
      <c r="Q190">
        <v>3.2588240000000002</v>
      </c>
      <c r="R190">
        <v>0.46756500000000001</v>
      </c>
      <c r="T190">
        <v>2290129</v>
      </c>
      <c r="U190" t="s">
        <v>541</v>
      </c>
      <c r="V190">
        <v>5</v>
      </c>
      <c r="W190">
        <v>2</v>
      </c>
      <c r="X190">
        <v>3</v>
      </c>
      <c r="Y190" s="3" t="s">
        <v>552</v>
      </c>
      <c r="Z190" t="s">
        <v>590</v>
      </c>
      <c r="AA190">
        <v>5</v>
      </c>
      <c r="AB190">
        <v>3</v>
      </c>
      <c r="AC190">
        <v>3</v>
      </c>
      <c r="AD190">
        <f t="shared" si="6"/>
        <v>5</v>
      </c>
      <c r="AE190">
        <f t="shared" si="7"/>
        <v>3</v>
      </c>
      <c r="AF190">
        <f t="shared" si="8"/>
        <v>3</v>
      </c>
    </row>
    <row r="191" spans="1:32" x14ac:dyDescent="0.25">
      <c r="A191" t="s">
        <v>431</v>
      </c>
      <c r="B191" t="s">
        <v>432</v>
      </c>
      <c r="C191" t="s">
        <v>404</v>
      </c>
      <c r="D191" t="s">
        <v>33</v>
      </c>
      <c r="E191">
        <v>88</v>
      </c>
      <c r="F191">
        <v>16.5</v>
      </c>
      <c r="G191">
        <v>0.88</v>
      </c>
      <c r="H191">
        <v>3.53</v>
      </c>
      <c r="I191">
        <v>0</v>
      </c>
      <c r="J191">
        <v>0.1875</v>
      </c>
      <c r="K191">
        <v>0.01</v>
      </c>
      <c r="L191">
        <v>4.0113999999999997E-2</v>
      </c>
      <c r="M191">
        <v>0</v>
      </c>
      <c r="N191">
        <v>47</v>
      </c>
      <c r="O191">
        <v>135</v>
      </c>
      <c r="Q191">
        <v>2.0681820000000002</v>
      </c>
      <c r="R191">
        <v>0.27051700000000001</v>
      </c>
      <c r="T191">
        <v>1856239</v>
      </c>
      <c r="U191" t="s">
        <v>541</v>
      </c>
      <c r="V191">
        <v>5</v>
      </c>
      <c r="W191">
        <v>2</v>
      </c>
      <c r="X191">
        <v>4</v>
      </c>
      <c r="Y191" s="4" t="s">
        <v>555</v>
      </c>
      <c r="Z191" t="s">
        <v>591</v>
      </c>
      <c r="AA191">
        <v>3</v>
      </c>
      <c r="AB191">
        <v>2</v>
      </c>
      <c r="AC191">
        <v>2</v>
      </c>
      <c r="AD191">
        <f t="shared" si="6"/>
        <v>3</v>
      </c>
      <c r="AE191">
        <f t="shared" si="7"/>
        <v>2</v>
      </c>
      <c r="AF191">
        <f t="shared" si="8"/>
        <v>2</v>
      </c>
    </row>
    <row r="192" spans="1:32" x14ac:dyDescent="0.25">
      <c r="A192" t="s">
        <v>433</v>
      </c>
      <c r="B192" t="s">
        <v>434</v>
      </c>
      <c r="C192" t="s">
        <v>214</v>
      </c>
      <c r="D192" t="s">
        <v>28</v>
      </c>
      <c r="E192">
        <v>357</v>
      </c>
      <c r="F192">
        <v>3.57</v>
      </c>
      <c r="G192">
        <v>28.6</v>
      </c>
      <c r="H192">
        <v>21.4</v>
      </c>
      <c r="I192">
        <v>0</v>
      </c>
      <c r="J192">
        <v>0.01</v>
      </c>
      <c r="K192">
        <v>8.0112000000000003E-2</v>
      </c>
      <c r="L192">
        <v>5.9943999999999997E-2</v>
      </c>
      <c r="M192">
        <v>0</v>
      </c>
      <c r="N192">
        <v>679</v>
      </c>
      <c r="Q192">
        <v>1.901961</v>
      </c>
      <c r="R192">
        <v>0.32330300000000001</v>
      </c>
      <c r="S192" t="s">
        <v>29</v>
      </c>
      <c r="T192">
        <v>2016896</v>
      </c>
      <c r="U192" t="s">
        <v>541</v>
      </c>
      <c r="V192">
        <v>5</v>
      </c>
      <c r="W192">
        <v>2</v>
      </c>
      <c r="X192">
        <v>4</v>
      </c>
      <c r="Y192" s="4" t="s">
        <v>555</v>
      </c>
      <c r="Z192" t="s">
        <v>587</v>
      </c>
      <c r="AA192">
        <v>3</v>
      </c>
      <c r="AB192">
        <v>2</v>
      </c>
      <c r="AC192">
        <v>3</v>
      </c>
      <c r="AD192">
        <f t="shared" si="6"/>
        <v>3</v>
      </c>
      <c r="AE192">
        <f t="shared" si="7"/>
        <v>2</v>
      </c>
      <c r="AF192">
        <f t="shared" si="8"/>
        <v>3</v>
      </c>
    </row>
    <row r="193" spans="1:32" x14ac:dyDescent="0.25">
      <c r="A193" t="s">
        <v>435</v>
      </c>
      <c r="B193" t="s">
        <v>436</v>
      </c>
      <c r="C193" t="s">
        <v>214</v>
      </c>
      <c r="D193" t="s">
        <v>28</v>
      </c>
      <c r="E193">
        <v>393</v>
      </c>
      <c r="F193">
        <v>3.57</v>
      </c>
      <c r="G193">
        <v>32.1</v>
      </c>
      <c r="H193">
        <v>25</v>
      </c>
      <c r="I193">
        <v>0</v>
      </c>
      <c r="J193">
        <v>9.0840000000000001E-3</v>
      </c>
      <c r="K193">
        <v>8.1679000000000002E-2</v>
      </c>
      <c r="L193">
        <v>6.3613000000000003E-2</v>
      </c>
      <c r="M193">
        <v>0</v>
      </c>
      <c r="N193">
        <v>643</v>
      </c>
      <c r="Q193">
        <v>1.6361319999999999</v>
      </c>
      <c r="R193">
        <v>0.28537899999999999</v>
      </c>
      <c r="S193" t="s">
        <v>29</v>
      </c>
      <c r="T193">
        <v>2016911</v>
      </c>
      <c r="U193" t="s">
        <v>541</v>
      </c>
      <c r="V193">
        <v>5</v>
      </c>
      <c r="W193">
        <v>3</v>
      </c>
      <c r="X193">
        <v>3</v>
      </c>
      <c r="Y193" s="4" t="s">
        <v>555</v>
      </c>
      <c r="Z193" t="s">
        <v>569</v>
      </c>
      <c r="AA193">
        <v>3</v>
      </c>
      <c r="AB193">
        <v>3</v>
      </c>
      <c r="AC193">
        <v>3</v>
      </c>
      <c r="AD193">
        <f t="shared" si="6"/>
        <v>3</v>
      </c>
      <c r="AE193">
        <f t="shared" si="7"/>
        <v>3</v>
      </c>
      <c r="AF193">
        <f t="shared" si="8"/>
        <v>3</v>
      </c>
    </row>
    <row r="194" spans="1:32" x14ac:dyDescent="0.25">
      <c r="A194" t="s">
        <v>437</v>
      </c>
      <c r="B194" t="s">
        <v>438</v>
      </c>
      <c r="C194" t="s">
        <v>214</v>
      </c>
      <c r="D194" t="s">
        <v>33</v>
      </c>
      <c r="E194">
        <v>129</v>
      </c>
      <c r="F194">
        <v>3.23</v>
      </c>
      <c r="G194">
        <v>8.06</v>
      </c>
      <c r="H194">
        <v>8.06</v>
      </c>
      <c r="I194">
        <v>0</v>
      </c>
      <c r="J194">
        <v>2.5038999999999999E-2</v>
      </c>
      <c r="K194">
        <v>6.2481000000000002E-2</v>
      </c>
      <c r="L194">
        <v>6.2481000000000002E-2</v>
      </c>
      <c r="M194">
        <v>0</v>
      </c>
      <c r="N194">
        <v>129</v>
      </c>
      <c r="Q194">
        <v>1</v>
      </c>
      <c r="R194">
        <v>0.179977</v>
      </c>
      <c r="T194">
        <v>2016784</v>
      </c>
      <c r="U194" t="s">
        <v>541</v>
      </c>
      <c r="V194">
        <v>4</v>
      </c>
      <c r="W194">
        <v>3</v>
      </c>
      <c r="X194">
        <v>4</v>
      </c>
      <c r="Y194" s="4" t="s">
        <v>555</v>
      </c>
      <c r="Z194" t="s">
        <v>612</v>
      </c>
      <c r="AA194">
        <v>3</v>
      </c>
      <c r="AB194">
        <v>3</v>
      </c>
      <c r="AC194">
        <v>3</v>
      </c>
      <c r="AD194">
        <f t="shared" si="6"/>
        <v>3</v>
      </c>
      <c r="AE194">
        <f t="shared" si="7"/>
        <v>3</v>
      </c>
      <c r="AF194">
        <f t="shared" si="8"/>
        <v>3</v>
      </c>
    </row>
    <row r="195" spans="1:32" x14ac:dyDescent="0.25">
      <c r="A195" t="s">
        <v>439</v>
      </c>
      <c r="B195" t="s">
        <v>440</v>
      </c>
      <c r="C195" t="s">
        <v>211</v>
      </c>
      <c r="D195" t="s">
        <v>23</v>
      </c>
      <c r="E195">
        <v>133</v>
      </c>
      <c r="F195">
        <v>25.3</v>
      </c>
      <c r="G195">
        <v>0</v>
      </c>
      <c r="H195">
        <v>7.23</v>
      </c>
      <c r="I195">
        <v>6</v>
      </c>
      <c r="J195">
        <v>0.19022600000000001</v>
      </c>
      <c r="K195">
        <v>0</v>
      </c>
      <c r="L195">
        <v>5.4361E-2</v>
      </c>
      <c r="M195">
        <v>4.5113E-2</v>
      </c>
      <c r="N195">
        <v>30</v>
      </c>
      <c r="Q195">
        <v>0.22556399999999999</v>
      </c>
      <c r="R195">
        <v>2.5600000000000002E-3</v>
      </c>
      <c r="S195" t="s">
        <v>24</v>
      </c>
      <c r="T195">
        <v>2016061</v>
      </c>
      <c r="U195" t="s">
        <v>541</v>
      </c>
      <c r="V195">
        <v>2</v>
      </c>
      <c r="W195">
        <v>3</v>
      </c>
      <c r="X195">
        <v>3</v>
      </c>
      <c r="Y195" s="4" t="s">
        <v>555</v>
      </c>
      <c r="Z195" t="s">
        <v>592</v>
      </c>
      <c r="AA195">
        <v>5</v>
      </c>
      <c r="AB195">
        <v>3</v>
      </c>
      <c r="AC195">
        <v>3</v>
      </c>
      <c r="AD195">
        <f t="shared" ref="AD195:AD242" si="9">AA195</f>
        <v>5</v>
      </c>
      <c r="AE195">
        <f t="shared" ref="AE195:AE242" si="10">AB195</f>
        <v>3</v>
      </c>
      <c r="AF195">
        <f t="shared" ref="AF195:AF242" si="11">AC195</f>
        <v>3</v>
      </c>
    </row>
    <row r="196" spans="1:32" x14ac:dyDescent="0.25">
      <c r="A196" t="s">
        <v>441</v>
      </c>
      <c r="B196" t="s">
        <v>442</v>
      </c>
      <c r="C196" t="s">
        <v>214</v>
      </c>
      <c r="D196" t="s">
        <v>33</v>
      </c>
      <c r="E196">
        <v>161</v>
      </c>
      <c r="F196">
        <v>3.23</v>
      </c>
      <c r="G196">
        <v>12.9</v>
      </c>
      <c r="H196">
        <v>8.06</v>
      </c>
      <c r="I196">
        <v>0</v>
      </c>
      <c r="J196">
        <v>2.0062E-2</v>
      </c>
      <c r="K196">
        <v>8.0124000000000001E-2</v>
      </c>
      <c r="L196">
        <v>5.0062000000000002E-2</v>
      </c>
      <c r="M196">
        <v>0</v>
      </c>
      <c r="N196">
        <v>129</v>
      </c>
      <c r="Q196">
        <v>0.80124200000000001</v>
      </c>
      <c r="R196">
        <v>0.15171999999999999</v>
      </c>
      <c r="T196">
        <v>2016778</v>
      </c>
      <c r="U196" t="s">
        <v>541</v>
      </c>
      <c r="V196">
        <v>5</v>
      </c>
      <c r="W196">
        <v>3</v>
      </c>
      <c r="X196">
        <v>3</v>
      </c>
      <c r="Y196" s="4" t="s">
        <v>555</v>
      </c>
      <c r="Z196" t="s">
        <v>593</v>
      </c>
      <c r="AA196">
        <v>3</v>
      </c>
      <c r="AB196">
        <v>3</v>
      </c>
      <c r="AC196">
        <v>1</v>
      </c>
      <c r="AD196">
        <f t="shared" si="9"/>
        <v>3</v>
      </c>
      <c r="AE196">
        <f t="shared" si="10"/>
        <v>3</v>
      </c>
      <c r="AF196">
        <f t="shared" si="11"/>
        <v>1</v>
      </c>
    </row>
    <row r="197" spans="1:32" x14ac:dyDescent="0.25">
      <c r="A197" t="s">
        <v>443</v>
      </c>
      <c r="B197" t="s">
        <v>444</v>
      </c>
      <c r="C197" t="s">
        <v>235</v>
      </c>
      <c r="D197" t="s">
        <v>33</v>
      </c>
      <c r="E197">
        <v>48</v>
      </c>
      <c r="F197">
        <v>8</v>
      </c>
      <c r="G197">
        <v>0</v>
      </c>
      <c r="H197">
        <v>2.4</v>
      </c>
      <c r="I197">
        <v>2.4</v>
      </c>
      <c r="J197">
        <v>0.16666700000000001</v>
      </c>
      <c r="K197">
        <v>0</v>
      </c>
      <c r="L197">
        <v>0.05</v>
      </c>
      <c r="M197">
        <v>0.05</v>
      </c>
      <c r="N197">
        <v>256</v>
      </c>
      <c r="Q197">
        <v>5.3333329999999997</v>
      </c>
      <c r="R197">
        <v>0.77500000000000002</v>
      </c>
      <c r="T197">
        <v>2015574</v>
      </c>
      <c r="U197" t="s">
        <v>542</v>
      </c>
      <c r="V197">
        <v>4</v>
      </c>
      <c r="W197">
        <v>3</v>
      </c>
      <c r="X197">
        <v>1</v>
      </c>
      <c r="Y197" s="2" t="s">
        <v>550</v>
      </c>
      <c r="Z197" t="s">
        <v>551</v>
      </c>
      <c r="AA197">
        <v>4</v>
      </c>
      <c r="AB197">
        <v>3</v>
      </c>
      <c r="AC197">
        <v>1</v>
      </c>
      <c r="AD197">
        <f t="shared" si="9"/>
        <v>4</v>
      </c>
      <c r="AE197">
        <f t="shared" si="10"/>
        <v>3</v>
      </c>
      <c r="AF197">
        <f t="shared" si="11"/>
        <v>1</v>
      </c>
    </row>
    <row r="198" spans="1:32" x14ac:dyDescent="0.25">
      <c r="A198" t="s">
        <v>445</v>
      </c>
      <c r="B198" t="s">
        <v>446</v>
      </c>
      <c r="C198" t="s">
        <v>214</v>
      </c>
      <c r="D198" t="s">
        <v>28</v>
      </c>
      <c r="E198">
        <v>267</v>
      </c>
      <c r="F198">
        <v>3.33</v>
      </c>
      <c r="G198">
        <v>20</v>
      </c>
      <c r="H198">
        <v>20</v>
      </c>
      <c r="I198">
        <v>0</v>
      </c>
      <c r="J198">
        <v>1.2472E-2</v>
      </c>
      <c r="K198">
        <v>7.4906E-2</v>
      </c>
      <c r="L198">
        <v>7.4906E-2</v>
      </c>
      <c r="M198">
        <v>0</v>
      </c>
      <c r="N198">
        <v>600</v>
      </c>
      <c r="Q198">
        <v>2.2471909999999999</v>
      </c>
      <c r="R198">
        <v>0.37828099999999998</v>
      </c>
      <c r="S198" t="s">
        <v>29</v>
      </c>
      <c r="T198">
        <v>2016903</v>
      </c>
      <c r="U198" t="s">
        <v>541</v>
      </c>
      <c r="V198">
        <v>4</v>
      </c>
      <c r="W198">
        <v>3</v>
      </c>
      <c r="X198">
        <v>1</v>
      </c>
      <c r="Y198" s="3" t="s">
        <v>552</v>
      </c>
      <c r="Z198" t="s">
        <v>611</v>
      </c>
      <c r="AA198">
        <v>3</v>
      </c>
      <c r="AB198">
        <v>3</v>
      </c>
      <c r="AC198">
        <v>1</v>
      </c>
      <c r="AD198">
        <f t="shared" si="9"/>
        <v>3</v>
      </c>
      <c r="AE198">
        <f t="shared" si="10"/>
        <v>3</v>
      </c>
      <c r="AF198">
        <f t="shared" si="11"/>
        <v>1</v>
      </c>
    </row>
    <row r="199" spans="1:32" x14ac:dyDescent="0.25">
      <c r="A199" t="s">
        <v>447</v>
      </c>
      <c r="B199" t="s">
        <v>448</v>
      </c>
      <c r="C199" t="s">
        <v>302</v>
      </c>
      <c r="D199" t="s">
        <v>33</v>
      </c>
      <c r="E199">
        <v>562</v>
      </c>
      <c r="F199">
        <v>18.8</v>
      </c>
      <c r="G199">
        <v>50</v>
      </c>
      <c r="H199">
        <v>21.9</v>
      </c>
      <c r="I199">
        <v>12.5</v>
      </c>
      <c r="J199">
        <v>3.3452000000000003E-2</v>
      </c>
      <c r="K199">
        <v>8.8968000000000005E-2</v>
      </c>
      <c r="L199">
        <v>3.8968000000000003E-2</v>
      </c>
      <c r="M199">
        <v>2.2242000000000001E-2</v>
      </c>
      <c r="N199">
        <v>0</v>
      </c>
      <c r="Q199">
        <v>0</v>
      </c>
      <c r="R199">
        <v>2.9182E-2</v>
      </c>
      <c r="T199">
        <v>1868843</v>
      </c>
      <c r="U199" t="s">
        <v>541</v>
      </c>
      <c r="V199">
        <v>4</v>
      </c>
      <c r="W199">
        <v>3</v>
      </c>
      <c r="X199">
        <v>1</v>
      </c>
      <c r="Y199" s="4" t="s">
        <v>555</v>
      </c>
      <c r="Z199" t="s">
        <v>594</v>
      </c>
      <c r="AA199">
        <v>4</v>
      </c>
      <c r="AB199">
        <v>3</v>
      </c>
      <c r="AC199">
        <v>3</v>
      </c>
      <c r="AD199">
        <f t="shared" si="9"/>
        <v>4</v>
      </c>
      <c r="AE199">
        <f t="shared" si="10"/>
        <v>3</v>
      </c>
      <c r="AF199">
        <f t="shared" si="11"/>
        <v>3</v>
      </c>
    </row>
    <row r="200" spans="1:32" x14ac:dyDescent="0.25">
      <c r="A200" t="s">
        <v>449</v>
      </c>
      <c r="B200" t="s">
        <v>450</v>
      </c>
      <c r="C200" t="s">
        <v>451</v>
      </c>
      <c r="D200" t="s">
        <v>28</v>
      </c>
      <c r="E200">
        <v>89</v>
      </c>
      <c r="F200">
        <v>0</v>
      </c>
      <c r="G200">
        <v>0.89</v>
      </c>
      <c r="H200">
        <v>19.600000000000001</v>
      </c>
      <c r="I200">
        <v>0</v>
      </c>
      <c r="J200">
        <v>0</v>
      </c>
      <c r="K200">
        <v>0.01</v>
      </c>
      <c r="L200">
        <v>0.220225</v>
      </c>
      <c r="M200">
        <v>0</v>
      </c>
      <c r="N200">
        <v>321</v>
      </c>
      <c r="Q200">
        <v>3.6067420000000001</v>
      </c>
      <c r="R200">
        <v>0.62058999999999997</v>
      </c>
      <c r="S200" t="s">
        <v>29</v>
      </c>
      <c r="T200">
        <v>2020673</v>
      </c>
      <c r="U200" t="s">
        <v>541</v>
      </c>
      <c r="V200">
        <v>4</v>
      </c>
      <c r="W200">
        <v>3</v>
      </c>
      <c r="X200">
        <v>4</v>
      </c>
      <c r="Y200" s="3" t="s">
        <v>552</v>
      </c>
      <c r="Z200" t="s">
        <v>610</v>
      </c>
      <c r="AA200">
        <v>4</v>
      </c>
      <c r="AB200">
        <v>3</v>
      </c>
      <c r="AC200">
        <v>3</v>
      </c>
      <c r="AD200">
        <f t="shared" si="9"/>
        <v>4</v>
      </c>
      <c r="AE200">
        <f t="shared" si="10"/>
        <v>3</v>
      </c>
      <c r="AF200">
        <f t="shared" si="11"/>
        <v>3</v>
      </c>
    </row>
    <row r="201" spans="1:32" x14ac:dyDescent="0.25">
      <c r="A201" t="s">
        <v>452</v>
      </c>
      <c r="B201" t="s">
        <v>453</v>
      </c>
      <c r="C201" t="s">
        <v>247</v>
      </c>
      <c r="D201" t="s">
        <v>33</v>
      </c>
      <c r="E201">
        <v>85</v>
      </c>
      <c r="F201">
        <v>14.6</v>
      </c>
      <c r="G201">
        <v>0</v>
      </c>
      <c r="H201">
        <v>5.38</v>
      </c>
      <c r="I201">
        <v>4.5999999999999996</v>
      </c>
      <c r="J201">
        <v>0.171765</v>
      </c>
      <c r="K201">
        <v>0</v>
      </c>
      <c r="L201">
        <v>6.3294000000000003E-2</v>
      </c>
      <c r="M201">
        <v>5.4117999999999999E-2</v>
      </c>
      <c r="N201">
        <v>277</v>
      </c>
      <c r="Q201">
        <v>3.2588240000000002</v>
      </c>
      <c r="R201">
        <v>0.46756500000000001</v>
      </c>
      <c r="T201">
        <v>2016860</v>
      </c>
      <c r="U201" t="s">
        <v>541</v>
      </c>
      <c r="V201">
        <v>5</v>
      </c>
      <c r="W201">
        <v>3</v>
      </c>
      <c r="X201">
        <v>4</v>
      </c>
      <c r="Y201" s="2" t="s">
        <v>550</v>
      </c>
      <c r="Z201" t="s">
        <v>551</v>
      </c>
      <c r="AA201">
        <v>5</v>
      </c>
      <c r="AB201">
        <v>3</v>
      </c>
      <c r="AC201">
        <v>4</v>
      </c>
      <c r="AD201">
        <f t="shared" si="9"/>
        <v>5</v>
      </c>
      <c r="AE201">
        <f t="shared" si="10"/>
        <v>3</v>
      </c>
      <c r="AF201">
        <f t="shared" si="11"/>
        <v>4</v>
      </c>
    </row>
    <row r="202" spans="1:32" x14ac:dyDescent="0.25">
      <c r="A202" t="s">
        <v>454</v>
      </c>
      <c r="B202" t="s">
        <v>455</v>
      </c>
      <c r="C202" t="s">
        <v>235</v>
      </c>
      <c r="D202" t="s">
        <v>33</v>
      </c>
      <c r="E202">
        <v>17</v>
      </c>
      <c r="F202">
        <v>3.33</v>
      </c>
      <c r="G202">
        <v>0</v>
      </c>
      <c r="H202">
        <v>0.83</v>
      </c>
      <c r="I202">
        <v>1.7</v>
      </c>
      <c r="J202">
        <v>0.195882</v>
      </c>
      <c r="K202">
        <v>0</v>
      </c>
      <c r="L202">
        <v>4.8823999999999999E-2</v>
      </c>
      <c r="M202">
        <v>0.1</v>
      </c>
      <c r="N202">
        <v>242</v>
      </c>
      <c r="Q202">
        <v>14.235294</v>
      </c>
      <c r="R202">
        <v>2.1086179999999999</v>
      </c>
      <c r="T202">
        <v>2016858</v>
      </c>
      <c r="U202" t="s">
        <v>542</v>
      </c>
      <c r="V202">
        <v>4</v>
      </c>
      <c r="W202">
        <v>3</v>
      </c>
      <c r="X202">
        <v>3</v>
      </c>
      <c r="Y202" s="4" t="s">
        <v>555</v>
      </c>
      <c r="Z202" t="s">
        <v>573</v>
      </c>
      <c r="AA202">
        <v>4</v>
      </c>
      <c r="AB202">
        <v>3</v>
      </c>
      <c r="AC202">
        <v>1</v>
      </c>
      <c r="AD202">
        <f t="shared" si="9"/>
        <v>4</v>
      </c>
      <c r="AE202">
        <f t="shared" si="10"/>
        <v>3</v>
      </c>
      <c r="AF202">
        <f t="shared" si="11"/>
        <v>1</v>
      </c>
    </row>
    <row r="203" spans="1:32" x14ac:dyDescent="0.25">
      <c r="A203" t="s">
        <v>456</v>
      </c>
      <c r="B203" t="s">
        <v>457</v>
      </c>
      <c r="C203" t="s">
        <v>458</v>
      </c>
      <c r="D203" t="s">
        <v>23</v>
      </c>
      <c r="E203">
        <v>357</v>
      </c>
      <c r="F203">
        <v>76.2</v>
      </c>
      <c r="G203">
        <v>2.38</v>
      </c>
      <c r="H203">
        <v>7.14</v>
      </c>
      <c r="I203">
        <v>2.4</v>
      </c>
      <c r="J203">
        <v>0.213445</v>
      </c>
      <c r="K203">
        <v>6.6670000000000002E-3</v>
      </c>
      <c r="L203">
        <v>0.02</v>
      </c>
      <c r="M203">
        <v>6.7229999999999998E-3</v>
      </c>
      <c r="N203">
        <v>0</v>
      </c>
      <c r="Q203">
        <v>0</v>
      </c>
      <c r="R203">
        <v>-5.4357999999999997E-2</v>
      </c>
      <c r="S203" t="s">
        <v>24</v>
      </c>
      <c r="T203">
        <v>2060713</v>
      </c>
      <c r="U203" t="s">
        <v>541</v>
      </c>
      <c r="V203">
        <v>4</v>
      </c>
      <c r="W203">
        <v>3</v>
      </c>
      <c r="X203">
        <v>2</v>
      </c>
      <c r="Y203" s="3" t="s">
        <v>552</v>
      </c>
      <c r="Z203" t="s">
        <v>595</v>
      </c>
      <c r="AA203">
        <v>4</v>
      </c>
      <c r="AB203">
        <v>3</v>
      </c>
      <c r="AC203">
        <v>3</v>
      </c>
      <c r="AD203">
        <f t="shared" si="9"/>
        <v>4</v>
      </c>
      <c r="AE203">
        <f t="shared" si="10"/>
        <v>3</v>
      </c>
      <c r="AF203">
        <f t="shared" si="11"/>
        <v>3</v>
      </c>
    </row>
    <row r="204" spans="1:32" x14ac:dyDescent="0.25">
      <c r="A204" t="s">
        <v>459</v>
      </c>
      <c r="B204" t="s">
        <v>460</v>
      </c>
      <c r="C204" t="s">
        <v>235</v>
      </c>
      <c r="D204" t="s">
        <v>33</v>
      </c>
      <c r="E204">
        <v>64</v>
      </c>
      <c r="F204">
        <v>12</v>
      </c>
      <c r="G204">
        <v>0.8</v>
      </c>
      <c r="H204">
        <v>1.6</v>
      </c>
      <c r="I204">
        <v>1.6</v>
      </c>
      <c r="J204">
        <v>0.1875</v>
      </c>
      <c r="K204">
        <v>1.2500000000000001E-2</v>
      </c>
      <c r="L204">
        <v>2.5000000000000001E-2</v>
      </c>
      <c r="M204">
        <v>2.5000000000000001E-2</v>
      </c>
      <c r="N204">
        <v>240</v>
      </c>
      <c r="Q204">
        <v>3.75</v>
      </c>
      <c r="R204">
        <v>0.52187499999999998</v>
      </c>
      <c r="T204">
        <v>2016795</v>
      </c>
      <c r="U204" t="s">
        <v>542</v>
      </c>
      <c r="V204">
        <v>5</v>
      </c>
      <c r="W204">
        <v>3</v>
      </c>
      <c r="X204">
        <v>3</v>
      </c>
      <c r="Y204" s="4" t="s">
        <v>555</v>
      </c>
      <c r="Z204" t="s">
        <v>596</v>
      </c>
      <c r="AA204">
        <v>3</v>
      </c>
      <c r="AB204">
        <v>3</v>
      </c>
      <c r="AC204">
        <v>2</v>
      </c>
      <c r="AD204">
        <f t="shared" si="9"/>
        <v>3</v>
      </c>
      <c r="AE204">
        <f t="shared" si="10"/>
        <v>3</v>
      </c>
      <c r="AF204">
        <f t="shared" si="11"/>
        <v>2</v>
      </c>
    </row>
    <row r="205" spans="1:32" x14ac:dyDescent="0.25">
      <c r="A205" t="s">
        <v>461</v>
      </c>
      <c r="B205" t="s">
        <v>462</v>
      </c>
      <c r="C205" t="s">
        <v>214</v>
      </c>
      <c r="D205" t="s">
        <v>108</v>
      </c>
      <c r="E205">
        <v>393</v>
      </c>
      <c r="F205">
        <v>0</v>
      </c>
      <c r="G205">
        <v>32.1</v>
      </c>
      <c r="H205">
        <v>25</v>
      </c>
      <c r="I205">
        <v>0</v>
      </c>
      <c r="J205">
        <v>0</v>
      </c>
      <c r="K205">
        <v>8.1679000000000002E-2</v>
      </c>
      <c r="L205">
        <v>6.3613000000000003E-2</v>
      </c>
      <c r="M205">
        <v>0</v>
      </c>
      <c r="N205">
        <v>196</v>
      </c>
      <c r="Q205">
        <v>0.498728</v>
      </c>
      <c r="R205">
        <v>0.117494</v>
      </c>
      <c r="S205" t="s">
        <v>109</v>
      </c>
      <c r="T205">
        <v>2020424</v>
      </c>
      <c r="U205" t="s">
        <v>541</v>
      </c>
      <c r="V205">
        <v>5</v>
      </c>
      <c r="W205">
        <v>3</v>
      </c>
      <c r="X205">
        <v>3</v>
      </c>
      <c r="Y205" s="4" t="s">
        <v>555</v>
      </c>
      <c r="Z205" t="s">
        <v>569</v>
      </c>
      <c r="AA205">
        <v>3</v>
      </c>
      <c r="AB205">
        <v>3</v>
      </c>
      <c r="AC205">
        <v>3</v>
      </c>
      <c r="AD205">
        <f t="shared" si="9"/>
        <v>3</v>
      </c>
      <c r="AE205">
        <f t="shared" si="10"/>
        <v>3</v>
      </c>
      <c r="AF205">
        <f t="shared" si="11"/>
        <v>3</v>
      </c>
    </row>
    <row r="206" spans="1:32" x14ac:dyDescent="0.25">
      <c r="A206" t="s">
        <v>463</v>
      </c>
      <c r="B206" t="s">
        <v>464</v>
      </c>
      <c r="C206" t="s">
        <v>302</v>
      </c>
      <c r="D206" t="s">
        <v>108</v>
      </c>
      <c r="E206">
        <v>522</v>
      </c>
      <c r="F206">
        <v>12.5</v>
      </c>
      <c r="G206">
        <v>40.6</v>
      </c>
      <c r="H206">
        <v>34.4</v>
      </c>
      <c r="I206">
        <v>3.1</v>
      </c>
      <c r="J206">
        <v>2.3945999999999999E-2</v>
      </c>
      <c r="K206">
        <v>7.7778E-2</v>
      </c>
      <c r="L206">
        <v>6.59E-2</v>
      </c>
      <c r="M206">
        <v>5.9389999999999998E-3</v>
      </c>
      <c r="N206">
        <v>125</v>
      </c>
      <c r="Q206">
        <v>0.23946400000000001</v>
      </c>
      <c r="R206">
        <v>7.2136000000000006E-2</v>
      </c>
      <c r="S206" t="s">
        <v>109</v>
      </c>
      <c r="T206">
        <v>1937404</v>
      </c>
      <c r="U206" t="s">
        <v>541</v>
      </c>
      <c r="V206">
        <v>5</v>
      </c>
      <c r="W206">
        <v>3</v>
      </c>
      <c r="X206">
        <v>4</v>
      </c>
      <c r="Y206" s="2" t="s">
        <v>550</v>
      </c>
      <c r="Z206" t="s">
        <v>551</v>
      </c>
      <c r="AA206">
        <v>5</v>
      </c>
      <c r="AB206">
        <v>3</v>
      </c>
      <c r="AC206">
        <v>4</v>
      </c>
      <c r="AD206">
        <f t="shared" si="9"/>
        <v>5</v>
      </c>
      <c r="AE206">
        <f t="shared" si="10"/>
        <v>3</v>
      </c>
      <c r="AF206">
        <f t="shared" si="11"/>
        <v>4</v>
      </c>
    </row>
    <row r="207" spans="1:32" x14ac:dyDescent="0.25">
      <c r="A207" t="s">
        <v>465</v>
      </c>
      <c r="B207" t="s">
        <v>466</v>
      </c>
      <c r="C207" t="s">
        <v>302</v>
      </c>
      <c r="D207" t="s">
        <v>33</v>
      </c>
      <c r="E207">
        <v>584</v>
      </c>
      <c r="F207">
        <v>18.8</v>
      </c>
      <c r="G207">
        <v>50</v>
      </c>
      <c r="H207">
        <v>21.9</v>
      </c>
      <c r="I207">
        <v>9.4</v>
      </c>
      <c r="J207">
        <v>3.2191999999999998E-2</v>
      </c>
      <c r="K207">
        <v>8.5615999999999998E-2</v>
      </c>
      <c r="L207">
        <v>3.7499999999999999E-2</v>
      </c>
      <c r="M207">
        <v>1.6095999999999999E-2</v>
      </c>
      <c r="N207">
        <v>125</v>
      </c>
      <c r="Q207">
        <v>0.21404100000000001</v>
      </c>
      <c r="R207">
        <v>5.9392E-2</v>
      </c>
      <c r="T207">
        <v>2069866</v>
      </c>
      <c r="U207" t="s">
        <v>541</v>
      </c>
      <c r="V207">
        <v>4</v>
      </c>
      <c r="W207">
        <v>4</v>
      </c>
      <c r="X207">
        <v>3</v>
      </c>
      <c r="Y207" s="2" t="s">
        <v>550</v>
      </c>
      <c r="Z207" t="s">
        <v>551</v>
      </c>
      <c r="AA207">
        <v>4</v>
      </c>
      <c r="AB207">
        <v>4</v>
      </c>
      <c r="AC207">
        <v>3</v>
      </c>
      <c r="AD207">
        <f t="shared" si="9"/>
        <v>4</v>
      </c>
      <c r="AE207">
        <f t="shared" si="10"/>
        <v>4</v>
      </c>
      <c r="AF207">
        <f t="shared" si="11"/>
        <v>3</v>
      </c>
    </row>
    <row r="208" spans="1:32" x14ac:dyDescent="0.25">
      <c r="A208" t="s">
        <v>467</v>
      </c>
      <c r="B208" t="s">
        <v>468</v>
      </c>
      <c r="C208" t="s">
        <v>214</v>
      </c>
      <c r="D208" t="s">
        <v>28</v>
      </c>
      <c r="E208">
        <v>286</v>
      </c>
      <c r="F208">
        <v>3.57</v>
      </c>
      <c r="G208">
        <v>21.4</v>
      </c>
      <c r="H208">
        <v>17.899999999999999</v>
      </c>
      <c r="I208">
        <v>0</v>
      </c>
      <c r="J208">
        <v>1.2482999999999999E-2</v>
      </c>
      <c r="K208">
        <v>7.4825000000000003E-2</v>
      </c>
      <c r="L208">
        <v>6.2587000000000004E-2</v>
      </c>
      <c r="M208">
        <v>0</v>
      </c>
      <c r="N208">
        <v>1140</v>
      </c>
      <c r="Q208">
        <v>3.9860139999999999</v>
      </c>
      <c r="R208">
        <v>0.63476900000000003</v>
      </c>
      <c r="S208" t="s">
        <v>29</v>
      </c>
      <c r="T208">
        <v>2054663</v>
      </c>
      <c r="U208" t="s">
        <v>541</v>
      </c>
      <c r="V208">
        <v>4</v>
      </c>
      <c r="W208">
        <v>4</v>
      </c>
      <c r="X208">
        <v>3</v>
      </c>
      <c r="Y208" s="3" t="s">
        <v>552</v>
      </c>
      <c r="Z208" t="s">
        <v>589</v>
      </c>
      <c r="AA208">
        <v>3</v>
      </c>
      <c r="AB208">
        <v>4</v>
      </c>
      <c r="AC208">
        <v>3</v>
      </c>
      <c r="AD208">
        <f t="shared" si="9"/>
        <v>3</v>
      </c>
      <c r="AE208">
        <f t="shared" si="10"/>
        <v>4</v>
      </c>
      <c r="AF208">
        <f t="shared" si="11"/>
        <v>3</v>
      </c>
    </row>
    <row r="209" spans="1:32" x14ac:dyDescent="0.25">
      <c r="A209" t="s">
        <v>469</v>
      </c>
      <c r="B209" t="s">
        <v>470</v>
      </c>
      <c r="C209" t="s">
        <v>235</v>
      </c>
      <c r="D209" t="s">
        <v>28</v>
      </c>
      <c r="E209">
        <v>25</v>
      </c>
      <c r="F209">
        <v>4.58</v>
      </c>
      <c r="G209">
        <v>0</v>
      </c>
      <c r="H209">
        <v>1.67</v>
      </c>
      <c r="I209">
        <v>3.8</v>
      </c>
      <c r="J209">
        <v>0.1832</v>
      </c>
      <c r="K209">
        <v>0</v>
      </c>
      <c r="L209">
        <v>6.6799999999999998E-2</v>
      </c>
      <c r="M209">
        <v>0.152</v>
      </c>
      <c r="N209">
        <v>338</v>
      </c>
      <c r="O209">
        <v>192</v>
      </c>
      <c r="Q209">
        <v>21.2</v>
      </c>
      <c r="R209">
        <v>3.1712199999999999</v>
      </c>
      <c r="S209" t="s">
        <v>29</v>
      </c>
      <c r="T209">
        <v>2405559</v>
      </c>
      <c r="U209" t="s">
        <v>542</v>
      </c>
      <c r="V209">
        <v>4</v>
      </c>
      <c r="W209">
        <v>3</v>
      </c>
      <c r="X209">
        <v>1</v>
      </c>
      <c r="Y209" s="2" t="s">
        <v>550</v>
      </c>
      <c r="Z209" t="s">
        <v>551</v>
      </c>
      <c r="AA209">
        <v>4</v>
      </c>
      <c r="AB209">
        <v>3</v>
      </c>
      <c r="AC209">
        <v>1</v>
      </c>
      <c r="AD209">
        <f t="shared" si="9"/>
        <v>4</v>
      </c>
      <c r="AE209">
        <f t="shared" si="10"/>
        <v>3</v>
      </c>
      <c r="AF209">
        <f t="shared" si="11"/>
        <v>1</v>
      </c>
    </row>
    <row r="210" spans="1:32" x14ac:dyDescent="0.25">
      <c r="A210" t="s">
        <v>471</v>
      </c>
      <c r="B210" t="s">
        <v>472</v>
      </c>
      <c r="C210" t="s">
        <v>473</v>
      </c>
      <c r="D210" t="s">
        <v>28</v>
      </c>
      <c r="E210">
        <v>123</v>
      </c>
      <c r="F210">
        <v>0</v>
      </c>
      <c r="G210">
        <v>4.3899999999999997</v>
      </c>
      <c r="H210">
        <v>22.8</v>
      </c>
      <c r="I210">
        <v>0</v>
      </c>
      <c r="J210">
        <v>0</v>
      </c>
      <c r="K210">
        <v>3.5691000000000001E-2</v>
      </c>
      <c r="L210">
        <v>0.185366</v>
      </c>
      <c r="M210">
        <v>0</v>
      </c>
      <c r="N210">
        <v>1050</v>
      </c>
      <c r="Q210">
        <v>8.5365850000000005</v>
      </c>
      <c r="R210">
        <v>1.3542890000000001</v>
      </c>
      <c r="S210" t="s">
        <v>29</v>
      </c>
      <c r="T210">
        <v>2051810</v>
      </c>
      <c r="U210" t="s">
        <v>541</v>
      </c>
      <c r="V210">
        <v>3</v>
      </c>
      <c r="W210">
        <v>4</v>
      </c>
      <c r="X210">
        <v>2</v>
      </c>
      <c r="Y210" s="4" t="s">
        <v>555</v>
      </c>
      <c r="Z210" t="s">
        <v>597</v>
      </c>
      <c r="AA210">
        <v>5</v>
      </c>
      <c r="AB210">
        <v>4</v>
      </c>
      <c r="AC210">
        <v>3</v>
      </c>
      <c r="AD210">
        <f t="shared" si="9"/>
        <v>5</v>
      </c>
      <c r="AE210">
        <f t="shared" si="10"/>
        <v>4</v>
      </c>
      <c r="AF210">
        <f t="shared" si="11"/>
        <v>3</v>
      </c>
    </row>
    <row r="211" spans="1:32" x14ac:dyDescent="0.25">
      <c r="A211" t="s">
        <v>474</v>
      </c>
      <c r="B211" t="s">
        <v>475</v>
      </c>
      <c r="C211" t="s">
        <v>211</v>
      </c>
      <c r="D211" t="s">
        <v>33</v>
      </c>
      <c r="E211">
        <v>49</v>
      </c>
      <c r="F211">
        <v>7.69</v>
      </c>
      <c r="G211">
        <v>1.1000000000000001</v>
      </c>
      <c r="H211">
        <v>3.3</v>
      </c>
      <c r="I211">
        <v>3.3</v>
      </c>
      <c r="J211">
        <v>0.156939</v>
      </c>
      <c r="K211">
        <v>2.2449E-2</v>
      </c>
      <c r="L211">
        <v>6.7347000000000004E-2</v>
      </c>
      <c r="M211">
        <v>6.7347000000000004E-2</v>
      </c>
      <c r="N211">
        <v>33</v>
      </c>
      <c r="O211">
        <v>44</v>
      </c>
      <c r="Q211">
        <v>1.571429</v>
      </c>
      <c r="R211">
        <v>0.22791800000000001</v>
      </c>
      <c r="T211">
        <v>2052345</v>
      </c>
      <c r="U211" t="s">
        <v>542</v>
      </c>
      <c r="V211">
        <v>4</v>
      </c>
      <c r="W211">
        <v>3</v>
      </c>
      <c r="X211">
        <v>3</v>
      </c>
      <c r="Y211" s="3" t="s">
        <v>552</v>
      </c>
      <c r="Z211" t="s">
        <v>598</v>
      </c>
      <c r="AA211">
        <v>4</v>
      </c>
      <c r="AB211">
        <v>3</v>
      </c>
      <c r="AC211">
        <v>2</v>
      </c>
      <c r="AD211">
        <f t="shared" si="9"/>
        <v>4</v>
      </c>
      <c r="AE211">
        <f t="shared" si="10"/>
        <v>3</v>
      </c>
      <c r="AF211">
        <f t="shared" si="11"/>
        <v>2</v>
      </c>
    </row>
    <row r="212" spans="1:32" x14ac:dyDescent="0.25">
      <c r="A212" t="s">
        <v>476</v>
      </c>
      <c r="B212" t="s">
        <v>477</v>
      </c>
      <c r="C212" t="s">
        <v>318</v>
      </c>
      <c r="D212" t="s">
        <v>33</v>
      </c>
      <c r="E212">
        <v>156</v>
      </c>
      <c r="F212">
        <v>0</v>
      </c>
      <c r="G212">
        <v>8.89</v>
      </c>
      <c r="H212">
        <v>13.3</v>
      </c>
      <c r="I212">
        <v>0</v>
      </c>
      <c r="J212">
        <v>0</v>
      </c>
      <c r="K212">
        <v>5.6987000000000003E-2</v>
      </c>
      <c r="L212">
        <v>8.5255999999999998E-2</v>
      </c>
      <c r="M212">
        <v>0</v>
      </c>
      <c r="N212">
        <v>122</v>
      </c>
      <c r="Q212">
        <v>0.78205100000000005</v>
      </c>
      <c r="R212">
        <v>0.16139400000000001</v>
      </c>
      <c r="T212">
        <v>2031800</v>
      </c>
      <c r="U212" t="s">
        <v>541</v>
      </c>
      <c r="V212">
        <v>5</v>
      </c>
      <c r="W212">
        <v>3</v>
      </c>
      <c r="X212">
        <v>3</v>
      </c>
      <c r="Y212" s="3" t="s">
        <v>552</v>
      </c>
      <c r="Z212" t="s">
        <v>599</v>
      </c>
      <c r="AA212">
        <v>4</v>
      </c>
      <c r="AB212">
        <v>3</v>
      </c>
      <c r="AC212">
        <v>3</v>
      </c>
      <c r="AD212">
        <f t="shared" si="9"/>
        <v>4</v>
      </c>
      <c r="AE212">
        <f t="shared" si="10"/>
        <v>3</v>
      </c>
      <c r="AF212">
        <f t="shared" si="11"/>
        <v>3</v>
      </c>
    </row>
    <row r="213" spans="1:32" x14ac:dyDescent="0.25">
      <c r="A213" t="s">
        <v>478</v>
      </c>
      <c r="B213" t="s">
        <v>479</v>
      </c>
      <c r="C213" t="s">
        <v>313</v>
      </c>
      <c r="D213" t="s">
        <v>33</v>
      </c>
      <c r="E213">
        <v>107</v>
      </c>
      <c r="F213">
        <v>0.89</v>
      </c>
      <c r="G213">
        <v>1.79</v>
      </c>
      <c r="H213">
        <v>20.5</v>
      </c>
      <c r="I213">
        <v>0</v>
      </c>
      <c r="J213">
        <v>8.3180000000000007E-3</v>
      </c>
      <c r="K213">
        <v>1.6729000000000001E-2</v>
      </c>
      <c r="L213">
        <v>0.19158900000000001</v>
      </c>
      <c r="M213">
        <v>0</v>
      </c>
      <c r="N213">
        <v>152</v>
      </c>
      <c r="Q213">
        <v>1.420561</v>
      </c>
      <c r="R213">
        <v>0.28182699999999999</v>
      </c>
      <c r="T213">
        <v>2442444</v>
      </c>
      <c r="U213" t="s">
        <v>541</v>
      </c>
      <c r="V213">
        <v>5</v>
      </c>
      <c r="W213">
        <v>3</v>
      </c>
      <c r="X213">
        <v>4</v>
      </c>
      <c r="Y213" s="4" t="s">
        <v>555</v>
      </c>
      <c r="Z213" t="s">
        <v>613</v>
      </c>
      <c r="AA213">
        <v>4</v>
      </c>
      <c r="AB213">
        <v>3</v>
      </c>
      <c r="AC213">
        <v>3</v>
      </c>
      <c r="AD213">
        <f t="shared" si="9"/>
        <v>4</v>
      </c>
      <c r="AE213">
        <f t="shared" si="10"/>
        <v>3</v>
      </c>
      <c r="AF213">
        <f t="shared" si="11"/>
        <v>3</v>
      </c>
    </row>
    <row r="214" spans="1:32" x14ac:dyDescent="0.25">
      <c r="A214" t="s">
        <v>480</v>
      </c>
      <c r="B214" t="s">
        <v>481</v>
      </c>
      <c r="C214" t="s">
        <v>329</v>
      </c>
      <c r="D214" t="s">
        <v>23</v>
      </c>
      <c r="E214">
        <v>357</v>
      </c>
      <c r="F214">
        <v>71.400000000000006</v>
      </c>
      <c r="G214">
        <v>2.38</v>
      </c>
      <c r="H214">
        <v>14.3</v>
      </c>
      <c r="I214">
        <v>4.8</v>
      </c>
      <c r="J214">
        <v>0.2</v>
      </c>
      <c r="K214">
        <v>6.6670000000000002E-3</v>
      </c>
      <c r="L214">
        <v>4.0056000000000001E-2</v>
      </c>
      <c r="M214">
        <v>1.3445E-2</v>
      </c>
      <c r="N214">
        <v>95</v>
      </c>
      <c r="Q214">
        <v>0.26610600000000001</v>
      </c>
      <c r="R214">
        <v>-2.3809999999999999E-3</v>
      </c>
      <c r="S214" t="s">
        <v>24</v>
      </c>
      <c r="T214">
        <v>2111907</v>
      </c>
      <c r="U214" t="s">
        <v>541</v>
      </c>
      <c r="V214">
        <v>4</v>
      </c>
      <c r="W214">
        <v>3</v>
      </c>
      <c r="X214">
        <v>2</v>
      </c>
      <c r="Y214" s="3" t="s">
        <v>552</v>
      </c>
      <c r="Z214" t="s">
        <v>600</v>
      </c>
      <c r="AA214">
        <v>4</v>
      </c>
      <c r="AB214">
        <v>3</v>
      </c>
      <c r="AC214">
        <v>3</v>
      </c>
      <c r="AD214">
        <f t="shared" si="9"/>
        <v>4</v>
      </c>
      <c r="AE214">
        <f t="shared" si="10"/>
        <v>3</v>
      </c>
      <c r="AF214">
        <f t="shared" si="11"/>
        <v>3</v>
      </c>
    </row>
    <row r="215" spans="1:32" x14ac:dyDescent="0.25">
      <c r="A215" t="s">
        <v>482</v>
      </c>
      <c r="B215" t="s">
        <v>483</v>
      </c>
      <c r="C215" t="s">
        <v>214</v>
      </c>
      <c r="D215" t="s">
        <v>28</v>
      </c>
      <c r="E215">
        <v>321</v>
      </c>
      <c r="F215">
        <v>3.57</v>
      </c>
      <c r="G215">
        <v>21.4</v>
      </c>
      <c r="H215">
        <v>25</v>
      </c>
      <c r="I215">
        <v>0</v>
      </c>
      <c r="J215">
        <v>1.1121000000000001E-2</v>
      </c>
      <c r="K215">
        <v>6.6667000000000004E-2</v>
      </c>
      <c r="L215">
        <v>7.7882000000000007E-2</v>
      </c>
      <c r="M215">
        <v>0</v>
      </c>
      <c r="N215">
        <v>857</v>
      </c>
      <c r="Q215">
        <v>2.6697820000000001</v>
      </c>
      <c r="R215">
        <v>0.441056</v>
      </c>
      <c r="S215" t="s">
        <v>29</v>
      </c>
      <c r="T215">
        <v>2055194</v>
      </c>
      <c r="U215" t="s">
        <v>541</v>
      </c>
      <c r="V215">
        <v>3</v>
      </c>
      <c r="W215">
        <v>2</v>
      </c>
      <c r="X215">
        <v>1</v>
      </c>
      <c r="Y215" s="2" t="s">
        <v>550</v>
      </c>
      <c r="Z215" t="s">
        <v>551</v>
      </c>
      <c r="AA215">
        <v>3</v>
      </c>
      <c r="AB215">
        <v>2</v>
      </c>
      <c r="AC215">
        <v>1</v>
      </c>
      <c r="AD215">
        <f t="shared" si="9"/>
        <v>3</v>
      </c>
      <c r="AE215">
        <f t="shared" si="10"/>
        <v>2</v>
      </c>
      <c r="AF215">
        <f t="shared" si="11"/>
        <v>1</v>
      </c>
    </row>
    <row r="216" spans="1:32" x14ac:dyDescent="0.25">
      <c r="A216" t="s">
        <v>484</v>
      </c>
      <c r="B216" t="s">
        <v>485</v>
      </c>
      <c r="C216" t="s">
        <v>404</v>
      </c>
      <c r="D216" t="s">
        <v>33</v>
      </c>
      <c r="E216">
        <v>94</v>
      </c>
      <c r="F216">
        <v>17.600000000000001</v>
      </c>
      <c r="G216">
        <v>0.88</v>
      </c>
      <c r="H216">
        <v>3.53</v>
      </c>
      <c r="I216">
        <v>0</v>
      </c>
      <c r="J216">
        <v>0.18723400000000001</v>
      </c>
      <c r="K216">
        <v>9.3620000000000005E-3</v>
      </c>
      <c r="L216">
        <v>3.7553000000000003E-2</v>
      </c>
      <c r="M216">
        <v>0</v>
      </c>
      <c r="N216">
        <v>47</v>
      </c>
      <c r="O216">
        <v>129</v>
      </c>
      <c r="Q216">
        <v>1.8723399999999999</v>
      </c>
      <c r="R216">
        <v>0.24016499999999999</v>
      </c>
      <c r="T216">
        <v>1856234</v>
      </c>
      <c r="U216" t="s">
        <v>541</v>
      </c>
      <c r="V216">
        <v>3</v>
      </c>
      <c r="W216">
        <v>2</v>
      </c>
      <c r="X216">
        <v>1</v>
      </c>
      <c r="Y216" s="3" t="s">
        <v>552</v>
      </c>
      <c r="Z216" t="s">
        <v>614</v>
      </c>
      <c r="AA216">
        <v>3</v>
      </c>
      <c r="AB216">
        <v>2</v>
      </c>
      <c r="AC216">
        <v>2</v>
      </c>
      <c r="AD216">
        <f t="shared" si="9"/>
        <v>3</v>
      </c>
      <c r="AE216">
        <f t="shared" si="10"/>
        <v>2</v>
      </c>
      <c r="AF216">
        <f t="shared" si="11"/>
        <v>2</v>
      </c>
    </row>
    <row r="217" spans="1:32" x14ac:dyDescent="0.25">
      <c r="A217" t="s">
        <v>486</v>
      </c>
      <c r="B217" t="s">
        <v>487</v>
      </c>
      <c r="C217" t="s">
        <v>404</v>
      </c>
      <c r="D217" t="s">
        <v>33</v>
      </c>
      <c r="E217">
        <v>94</v>
      </c>
      <c r="F217">
        <v>17.600000000000001</v>
      </c>
      <c r="G217">
        <v>0.88</v>
      </c>
      <c r="H217">
        <v>3.53</v>
      </c>
      <c r="I217">
        <v>0</v>
      </c>
      <c r="J217">
        <v>0.18723400000000001</v>
      </c>
      <c r="K217">
        <v>9.3620000000000005E-3</v>
      </c>
      <c r="L217">
        <v>3.7553000000000003E-2</v>
      </c>
      <c r="M217">
        <v>0</v>
      </c>
      <c r="N217">
        <v>47</v>
      </c>
      <c r="O217">
        <v>141</v>
      </c>
      <c r="Q217">
        <v>2</v>
      </c>
      <c r="R217">
        <v>0.25931399999999999</v>
      </c>
      <c r="T217">
        <v>1855151</v>
      </c>
      <c r="U217" t="s">
        <v>541</v>
      </c>
      <c r="V217">
        <v>5</v>
      </c>
      <c r="W217">
        <v>3</v>
      </c>
      <c r="X217">
        <v>3</v>
      </c>
      <c r="Y217" s="4" t="s">
        <v>555</v>
      </c>
      <c r="Z217" t="s">
        <v>615</v>
      </c>
      <c r="AA217">
        <v>3</v>
      </c>
      <c r="AB217">
        <v>2</v>
      </c>
      <c r="AC217">
        <v>2</v>
      </c>
      <c r="AD217">
        <f t="shared" si="9"/>
        <v>3</v>
      </c>
      <c r="AE217">
        <f t="shared" si="10"/>
        <v>2</v>
      </c>
      <c r="AF217">
        <f t="shared" si="11"/>
        <v>2</v>
      </c>
    </row>
    <row r="218" spans="1:32" x14ac:dyDescent="0.25">
      <c r="A218" t="s">
        <v>488</v>
      </c>
      <c r="B218" t="s">
        <v>489</v>
      </c>
      <c r="C218" t="s">
        <v>211</v>
      </c>
      <c r="D218" t="s">
        <v>33</v>
      </c>
      <c r="E218">
        <v>112</v>
      </c>
      <c r="F218">
        <v>23.6</v>
      </c>
      <c r="G218">
        <v>1.1200000000000001</v>
      </c>
      <c r="H218">
        <v>3.37</v>
      </c>
      <c r="I218">
        <v>2.2000000000000002</v>
      </c>
      <c r="J218">
        <v>0.21071400000000001</v>
      </c>
      <c r="K218">
        <v>0.01</v>
      </c>
      <c r="L218">
        <v>3.0089000000000001E-2</v>
      </c>
      <c r="M218">
        <v>1.9643000000000001E-2</v>
      </c>
      <c r="N218">
        <v>6</v>
      </c>
      <c r="Q218">
        <v>5.3571000000000001E-2</v>
      </c>
      <c r="R218">
        <v>-3.9201E-2</v>
      </c>
      <c r="T218">
        <v>2016055</v>
      </c>
      <c r="U218" t="s">
        <v>542</v>
      </c>
      <c r="V218">
        <v>4</v>
      </c>
      <c r="W218">
        <v>2</v>
      </c>
      <c r="X218">
        <v>1</v>
      </c>
      <c r="Y218" s="2" t="s">
        <v>550</v>
      </c>
      <c r="Z218" t="s">
        <v>551</v>
      </c>
      <c r="AA218">
        <v>4</v>
      </c>
      <c r="AB218">
        <v>2</v>
      </c>
      <c r="AC218">
        <v>1</v>
      </c>
      <c r="AD218">
        <f t="shared" si="9"/>
        <v>4</v>
      </c>
      <c r="AE218">
        <f t="shared" si="10"/>
        <v>2</v>
      </c>
      <c r="AF218">
        <f t="shared" si="11"/>
        <v>1</v>
      </c>
    </row>
    <row r="219" spans="1:32" x14ac:dyDescent="0.25">
      <c r="A219" t="s">
        <v>490</v>
      </c>
      <c r="B219" t="s">
        <v>491</v>
      </c>
      <c r="C219" t="s">
        <v>214</v>
      </c>
      <c r="D219" t="s">
        <v>28</v>
      </c>
      <c r="E219">
        <v>286</v>
      </c>
      <c r="F219">
        <v>0</v>
      </c>
      <c r="G219">
        <v>21.4</v>
      </c>
      <c r="H219">
        <v>28.6</v>
      </c>
      <c r="I219">
        <v>0</v>
      </c>
      <c r="J219">
        <v>0</v>
      </c>
      <c r="K219">
        <v>7.4825000000000003E-2</v>
      </c>
      <c r="L219">
        <v>0.1</v>
      </c>
      <c r="M219">
        <v>0</v>
      </c>
      <c r="N219">
        <v>607</v>
      </c>
      <c r="Q219">
        <v>2.1223779999999999</v>
      </c>
      <c r="R219">
        <v>0.37206299999999998</v>
      </c>
      <c r="S219" t="s">
        <v>29</v>
      </c>
      <c r="T219">
        <v>2016741</v>
      </c>
      <c r="U219" t="s">
        <v>541</v>
      </c>
      <c r="V219">
        <v>5</v>
      </c>
      <c r="W219">
        <v>3</v>
      </c>
      <c r="X219">
        <v>4</v>
      </c>
      <c r="Y219" s="4" t="s">
        <v>555</v>
      </c>
      <c r="Z219" t="s">
        <v>587</v>
      </c>
      <c r="AA219">
        <v>3</v>
      </c>
      <c r="AB219">
        <v>3</v>
      </c>
      <c r="AC219">
        <v>3</v>
      </c>
      <c r="AD219">
        <f t="shared" si="9"/>
        <v>3</v>
      </c>
      <c r="AE219">
        <f t="shared" si="10"/>
        <v>3</v>
      </c>
      <c r="AF219">
        <f t="shared" si="11"/>
        <v>3</v>
      </c>
    </row>
    <row r="220" spans="1:32" x14ac:dyDescent="0.25">
      <c r="A220" t="s">
        <v>492</v>
      </c>
      <c r="B220" t="s">
        <v>493</v>
      </c>
      <c r="C220" t="s">
        <v>214</v>
      </c>
      <c r="D220" t="s">
        <v>28</v>
      </c>
      <c r="E220">
        <v>357</v>
      </c>
      <c r="F220">
        <v>3.57</v>
      </c>
      <c r="G220">
        <v>28.6</v>
      </c>
      <c r="H220">
        <v>25</v>
      </c>
      <c r="I220">
        <v>0</v>
      </c>
      <c r="J220">
        <v>0.01</v>
      </c>
      <c r="K220">
        <v>8.0112000000000003E-2</v>
      </c>
      <c r="L220">
        <v>7.0028000000000007E-2</v>
      </c>
      <c r="M220">
        <v>0</v>
      </c>
      <c r="N220">
        <v>607</v>
      </c>
      <c r="Q220">
        <v>1.70028</v>
      </c>
      <c r="R220">
        <v>0.29658000000000001</v>
      </c>
      <c r="S220" t="s">
        <v>29</v>
      </c>
      <c r="T220">
        <v>2289798</v>
      </c>
      <c r="U220" t="s">
        <v>541</v>
      </c>
      <c r="V220">
        <v>2</v>
      </c>
      <c r="W220">
        <v>3</v>
      </c>
      <c r="X220">
        <v>2</v>
      </c>
      <c r="Y220" s="2" t="s">
        <v>550</v>
      </c>
      <c r="Z220" t="s">
        <v>551</v>
      </c>
      <c r="AA220">
        <v>2</v>
      </c>
      <c r="AB220">
        <v>3</v>
      </c>
      <c r="AC220">
        <v>2</v>
      </c>
      <c r="AD220">
        <f t="shared" si="9"/>
        <v>2</v>
      </c>
      <c r="AE220">
        <f t="shared" si="10"/>
        <v>3</v>
      </c>
      <c r="AF220">
        <f t="shared" si="11"/>
        <v>2</v>
      </c>
    </row>
    <row r="221" spans="1:32" x14ac:dyDescent="0.25">
      <c r="A221" t="s">
        <v>494</v>
      </c>
      <c r="B221" t="s">
        <v>495</v>
      </c>
      <c r="C221" t="s">
        <v>451</v>
      </c>
      <c r="D221" t="s">
        <v>28</v>
      </c>
      <c r="E221">
        <v>107</v>
      </c>
      <c r="F221">
        <v>0</v>
      </c>
      <c r="G221">
        <v>0.89</v>
      </c>
      <c r="H221">
        <v>23.2</v>
      </c>
      <c r="I221">
        <v>0</v>
      </c>
      <c r="J221">
        <v>0</v>
      </c>
      <c r="K221">
        <v>8.3180000000000007E-3</v>
      </c>
      <c r="L221">
        <v>0.21682199999999999</v>
      </c>
      <c r="M221">
        <v>0</v>
      </c>
      <c r="N221">
        <v>393</v>
      </c>
      <c r="Q221">
        <v>3.6728969999999999</v>
      </c>
      <c r="R221">
        <v>0.62890199999999996</v>
      </c>
      <c r="S221" t="s">
        <v>29</v>
      </c>
      <c r="T221">
        <v>2015532</v>
      </c>
      <c r="U221" t="s">
        <v>541</v>
      </c>
      <c r="V221">
        <v>2</v>
      </c>
      <c r="W221">
        <v>3</v>
      </c>
      <c r="X221">
        <v>2</v>
      </c>
      <c r="Y221" s="4" t="s">
        <v>555</v>
      </c>
      <c r="Z221" t="s">
        <v>601</v>
      </c>
      <c r="AA221">
        <v>4</v>
      </c>
      <c r="AB221">
        <v>3</v>
      </c>
      <c r="AC221">
        <v>2</v>
      </c>
      <c r="AD221">
        <f t="shared" si="9"/>
        <v>4</v>
      </c>
      <c r="AE221">
        <f t="shared" si="10"/>
        <v>3</v>
      </c>
      <c r="AF221">
        <f t="shared" si="11"/>
        <v>2</v>
      </c>
    </row>
    <row r="222" spans="1:32" x14ac:dyDescent="0.25">
      <c r="A222" t="s">
        <v>496</v>
      </c>
      <c r="B222" t="s">
        <v>497</v>
      </c>
      <c r="C222" t="s">
        <v>235</v>
      </c>
      <c r="D222" t="s">
        <v>33</v>
      </c>
      <c r="E222">
        <v>64</v>
      </c>
      <c r="F222">
        <v>13.6</v>
      </c>
      <c r="G222">
        <v>0.8</v>
      </c>
      <c r="H222">
        <v>1.6</v>
      </c>
      <c r="I222">
        <v>1.6</v>
      </c>
      <c r="J222">
        <v>0.21249999999999999</v>
      </c>
      <c r="K222">
        <v>1.2500000000000001E-2</v>
      </c>
      <c r="L222">
        <v>2.5000000000000001E-2</v>
      </c>
      <c r="M222">
        <v>2.5000000000000001E-2</v>
      </c>
      <c r="N222">
        <v>12</v>
      </c>
      <c r="Q222">
        <v>0.1875</v>
      </c>
      <c r="R222">
        <v>-0.02</v>
      </c>
      <c r="T222">
        <v>2015640</v>
      </c>
      <c r="U222" t="s">
        <v>542</v>
      </c>
      <c r="V222">
        <v>4</v>
      </c>
      <c r="W222">
        <v>3</v>
      </c>
      <c r="X222">
        <v>1</v>
      </c>
      <c r="Y222" s="2" t="s">
        <v>550</v>
      </c>
      <c r="Z222" t="s">
        <v>551</v>
      </c>
      <c r="AA222">
        <v>4</v>
      </c>
      <c r="AB222">
        <v>3</v>
      </c>
      <c r="AC222">
        <v>1</v>
      </c>
      <c r="AD222">
        <f t="shared" si="9"/>
        <v>4</v>
      </c>
      <c r="AE222">
        <f t="shared" si="10"/>
        <v>3</v>
      </c>
      <c r="AF222">
        <f t="shared" si="11"/>
        <v>1</v>
      </c>
    </row>
    <row r="223" spans="1:32" x14ac:dyDescent="0.25">
      <c r="A223" t="s">
        <v>498</v>
      </c>
      <c r="B223" t="s">
        <v>499</v>
      </c>
      <c r="C223" t="s">
        <v>226</v>
      </c>
      <c r="D223" t="s">
        <v>28</v>
      </c>
      <c r="E223">
        <v>125</v>
      </c>
      <c r="F223">
        <v>0</v>
      </c>
      <c r="G223">
        <v>1.79</v>
      </c>
      <c r="H223">
        <v>23.2</v>
      </c>
      <c r="I223">
        <v>0</v>
      </c>
      <c r="J223">
        <v>0</v>
      </c>
      <c r="K223">
        <v>1.4319999999999999E-2</v>
      </c>
      <c r="L223">
        <v>0.18559999999999999</v>
      </c>
      <c r="M223">
        <v>0</v>
      </c>
      <c r="N223">
        <v>321</v>
      </c>
      <c r="Q223">
        <v>2.5680000000000001</v>
      </c>
      <c r="R223">
        <v>0.45373999999999998</v>
      </c>
      <c r="S223" t="s">
        <v>29</v>
      </c>
      <c r="T223">
        <v>2008643</v>
      </c>
      <c r="U223" t="s">
        <v>541</v>
      </c>
      <c r="V223">
        <v>2</v>
      </c>
      <c r="W223">
        <v>3</v>
      </c>
      <c r="X223">
        <v>2</v>
      </c>
      <c r="Y223" s="4" t="s">
        <v>555</v>
      </c>
      <c r="Z223" t="s">
        <v>602</v>
      </c>
      <c r="AA223">
        <v>3</v>
      </c>
      <c r="AB223">
        <v>4</v>
      </c>
      <c r="AC223">
        <v>2</v>
      </c>
      <c r="AD223">
        <f t="shared" si="9"/>
        <v>3</v>
      </c>
      <c r="AE223">
        <f t="shared" si="10"/>
        <v>4</v>
      </c>
      <c r="AF223">
        <f t="shared" si="11"/>
        <v>2</v>
      </c>
    </row>
    <row r="224" spans="1:32" x14ac:dyDescent="0.25">
      <c r="A224" t="s">
        <v>500</v>
      </c>
      <c r="B224" t="s">
        <v>501</v>
      </c>
      <c r="C224" t="s">
        <v>404</v>
      </c>
      <c r="D224" t="s">
        <v>33</v>
      </c>
      <c r="E224">
        <v>87</v>
      </c>
      <c r="F224">
        <v>13.3</v>
      </c>
      <c r="G224">
        <v>0</v>
      </c>
      <c r="H224">
        <v>8.67</v>
      </c>
      <c r="I224">
        <v>0</v>
      </c>
      <c r="J224">
        <v>0.15287400000000001</v>
      </c>
      <c r="K224">
        <v>0</v>
      </c>
      <c r="L224">
        <v>9.9654999999999994E-2</v>
      </c>
      <c r="M224">
        <v>0</v>
      </c>
      <c r="N224">
        <v>60</v>
      </c>
      <c r="O224">
        <v>127</v>
      </c>
      <c r="Q224">
        <v>2.1494249999999999</v>
      </c>
      <c r="R224">
        <v>0.31143100000000001</v>
      </c>
      <c r="T224">
        <v>1882897</v>
      </c>
      <c r="U224" t="s">
        <v>541</v>
      </c>
      <c r="V224">
        <v>5</v>
      </c>
      <c r="W224">
        <v>3</v>
      </c>
      <c r="X224">
        <v>4</v>
      </c>
      <c r="Y224" s="4" t="s">
        <v>555</v>
      </c>
      <c r="Z224" t="s">
        <v>603</v>
      </c>
      <c r="AA224">
        <v>4</v>
      </c>
      <c r="AB224">
        <v>3</v>
      </c>
      <c r="AC224">
        <v>2</v>
      </c>
      <c r="AD224">
        <f t="shared" si="9"/>
        <v>4</v>
      </c>
      <c r="AE224">
        <f t="shared" si="10"/>
        <v>3</v>
      </c>
      <c r="AF224">
        <f t="shared" si="11"/>
        <v>2</v>
      </c>
    </row>
    <row r="225" spans="1:32" x14ac:dyDescent="0.25">
      <c r="A225" t="s">
        <v>502</v>
      </c>
      <c r="B225" t="s">
        <v>503</v>
      </c>
      <c r="C225" t="s">
        <v>214</v>
      </c>
      <c r="D225" t="s">
        <v>28</v>
      </c>
      <c r="E225">
        <v>293</v>
      </c>
      <c r="F225">
        <v>0</v>
      </c>
      <c r="G225">
        <v>21.4</v>
      </c>
      <c r="H225">
        <v>17.899999999999999</v>
      </c>
      <c r="I225">
        <v>0</v>
      </c>
      <c r="J225">
        <v>0</v>
      </c>
      <c r="K225">
        <v>7.3038000000000006E-2</v>
      </c>
      <c r="L225">
        <v>6.1092E-2</v>
      </c>
      <c r="M225">
        <v>0</v>
      </c>
      <c r="N225">
        <v>650</v>
      </c>
      <c r="Q225">
        <v>2.2184300000000001</v>
      </c>
      <c r="R225">
        <v>0.37240600000000001</v>
      </c>
      <c r="S225" t="s">
        <v>29</v>
      </c>
      <c r="T225">
        <v>455117</v>
      </c>
      <c r="U225" t="s">
        <v>541</v>
      </c>
      <c r="V225">
        <v>4</v>
      </c>
      <c r="W225">
        <v>2</v>
      </c>
      <c r="X225">
        <v>1</v>
      </c>
      <c r="Y225" s="3" t="s">
        <v>552</v>
      </c>
      <c r="Z225" t="s">
        <v>589</v>
      </c>
      <c r="AA225">
        <v>3</v>
      </c>
      <c r="AB225">
        <v>2</v>
      </c>
      <c r="AC225">
        <v>1</v>
      </c>
      <c r="AD225">
        <f t="shared" si="9"/>
        <v>3</v>
      </c>
      <c r="AE225">
        <f t="shared" si="10"/>
        <v>2</v>
      </c>
      <c r="AF225">
        <f t="shared" si="11"/>
        <v>1</v>
      </c>
    </row>
    <row r="226" spans="1:32" x14ac:dyDescent="0.25">
      <c r="A226" t="s">
        <v>504</v>
      </c>
      <c r="B226" t="s">
        <v>505</v>
      </c>
      <c r="C226" t="s">
        <v>329</v>
      </c>
      <c r="D226" t="s">
        <v>23</v>
      </c>
      <c r="E226">
        <v>294</v>
      </c>
      <c r="F226">
        <v>51.8</v>
      </c>
      <c r="G226">
        <v>2.35</v>
      </c>
      <c r="H226">
        <v>12.9</v>
      </c>
      <c r="I226">
        <v>2.4</v>
      </c>
      <c r="J226">
        <v>0.17619000000000001</v>
      </c>
      <c r="K226">
        <v>7.9930000000000001E-3</v>
      </c>
      <c r="L226">
        <v>4.3878E-2</v>
      </c>
      <c r="M226">
        <v>8.1630000000000001E-3</v>
      </c>
      <c r="N226">
        <v>41</v>
      </c>
      <c r="Q226">
        <v>0.139456</v>
      </c>
      <c r="R226">
        <v>-1.3358999999999999E-2</v>
      </c>
      <c r="S226" t="s">
        <v>24</v>
      </c>
      <c r="T226">
        <v>2069629</v>
      </c>
      <c r="U226" t="s">
        <v>541</v>
      </c>
      <c r="V226">
        <v>4</v>
      </c>
      <c r="W226">
        <v>2</v>
      </c>
      <c r="X226">
        <v>1</v>
      </c>
      <c r="Y226" s="4" t="s">
        <v>555</v>
      </c>
      <c r="Z226" t="s">
        <v>604</v>
      </c>
      <c r="AA226">
        <v>4</v>
      </c>
      <c r="AB226">
        <v>2</v>
      </c>
      <c r="AC226">
        <v>3</v>
      </c>
      <c r="AD226">
        <f t="shared" si="9"/>
        <v>4</v>
      </c>
      <c r="AE226">
        <f t="shared" si="10"/>
        <v>2</v>
      </c>
      <c r="AF226">
        <f t="shared" si="11"/>
        <v>3</v>
      </c>
    </row>
    <row r="227" spans="1:32" x14ac:dyDescent="0.25">
      <c r="A227" t="s">
        <v>506</v>
      </c>
      <c r="B227" t="s">
        <v>507</v>
      </c>
      <c r="C227" t="s">
        <v>313</v>
      </c>
      <c r="D227" t="s">
        <v>28</v>
      </c>
      <c r="E227">
        <v>107</v>
      </c>
      <c r="F227">
        <v>0.89</v>
      </c>
      <c r="G227">
        <v>1.79</v>
      </c>
      <c r="H227">
        <v>25.9</v>
      </c>
      <c r="I227">
        <v>0</v>
      </c>
      <c r="J227">
        <v>8.3180000000000007E-3</v>
      </c>
      <c r="K227">
        <v>1.6729000000000001E-2</v>
      </c>
      <c r="L227">
        <v>0.24205599999999999</v>
      </c>
      <c r="M227">
        <v>0</v>
      </c>
      <c r="N227">
        <v>326</v>
      </c>
      <c r="Q227">
        <v>3.046729</v>
      </c>
      <c r="R227">
        <v>0.54341600000000001</v>
      </c>
      <c r="S227" t="s">
        <v>29</v>
      </c>
      <c r="T227">
        <v>2442421</v>
      </c>
      <c r="U227" t="s">
        <v>541</v>
      </c>
      <c r="V227">
        <v>4</v>
      </c>
      <c r="W227">
        <v>3</v>
      </c>
      <c r="X227">
        <v>1</v>
      </c>
      <c r="Y227" s="4" t="s">
        <v>555</v>
      </c>
      <c r="Z227" t="s">
        <v>605</v>
      </c>
      <c r="AA227">
        <v>4</v>
      </c>
      <c r="AB227">
        <v>3</v>
      </c>
      <c r="AC227">
        <v>3</v>
      </c>
      <c r="AD227">
        <f t="shared" si="9"/>
        <v>4</v>
      </c>
      <c r="AE227">
        <f t="shared" si="10"/>
        <v>3</v>
      </c>
      <c r="AF227">
        <f t="shared" si="11"/>
        <v>3</v>
      </c>
    </row>
    <row r="228" spans="1:32" x14ac:dyDescent="0.25">
      <c r="A228" t="s">
        <v>508</v>
      </c>
      <c r="B228" t="s">
        <v>509</v>
      </c>
      <c r="C228" t="s">
        <v>290</v>
      </c>
      <c r="D228" t="s">
        <v>33</v>
      </c>
      <c r="E228">
        <v>24</v>
      </c>
      <c r="F228">
        <v>4.92</v>
      </c>
      <c r="G228">
        <v>0</v>
      </c>
      <c r="H228">
        <v>0.82</v>
      </c>
      <c r="I228">
        <v>0.8</v>
      </c>
      <c r="J228">
        <v>0.20499999999999999</v>
      </c>
      <c r="K228">
        <v>0</v>
      </c>
      <c r="L228">
        <v>3.4167000000000003E-2</v>
      </c>
      <c r="M228">
        <v>3.3333000000000002E-2</v>
      </c>
      <c r="N228">
        <v>40</v>
      </c>
      <c r="Q228">
        <v>1.6666669999999999</v>
      </c>
      <c r="R228">
        <v>0.205458</v>
      </c>
      <c r="T228">
        <v>2012881</v>
      </c>
      <c r="U228" t="s">
        <v>542</v>
      </c>
      <c r="V228">
        <v>2</v>
      </c>
      <c r="W228">
        <v>1</v>
      </c>
      <c r="X228">
        <v>1</v>
      </c>
      <c r="Y228" s="4" t="s">
        <v>555</v>
      </c>
      <c r="Z228" t="s">
        <v>606</v>
      </c>
      <c r="AA228">
        <v>4</v>
      </c>
      <c r="AB228">
        <v>1</v>
      </c>
      <c r="AC228">
        <v>1</v>
      </c>
      <c r="AD228">
        <f t="shared" si="9"/>
        <v>4</v>
      </c>
      <c r="AE228">
        <f t="shared" si="10"/>
        <v>1</v>
      </c>
      <c r="AF228">
        <f t="shared" si="11"/>
        <v>1</v>
      </c>
    </row>
    <row r="229" spans="1:32" x14ac:dyDescent="0.25">
      <c r="A229" t="s">
        <v>510</v>
      </c>
      <c r="B229" t="s">
        <v>511</v>
      </c>
      <c r="C229" t="s">
        <v>290</v>
      </c>
      <c r="D229" t="s">
        <v>33</v>
      </c>
      <c r="E229">
        <v>24</v>
      </c>
      <c r="F229">
        <v>4.92</v>
      </c>
      <c r="G229">
        <v>0</v>
      </c>
      <c r="H229">
        <v>0.82</v>
      </c>
      <c r="I229">
        <v>0.8</v>
      </c>
      <c r="J229">
        <v>0.20499999999999999</v>
      </c>
      <c r="K229">
        <v>0</v>
      </c>
      <c r="L229">
        <v>3.4167000000000003E-2</v>
      </c>
      <c r="M229">
        <v>3.3333000000000002E-2</v>
      </c>
      <c r="N229">
        <v>40</v>
      </c>
      <c r="Q229">
        <v>1.6666669999999999</v>
      </c>
      <c r="R229">
        <v>0.205458</v>
      </c>
      <c r="T229">
        <v>2012873</v>
      </c>
      <c r="U229" t="s">
        <v>542</v>
      </c>
      <c r="V229">
        <v>4</v>
      </c>
      <c r="W229">
        <v>4</v>
      </c>
      <c r="X229">
        <v>2</v>
      </c>
      <c r="Y229" s="2" t="s">
        <v>550</v>
      </c>
      <c r="Z229" t="s">
        <v>551</v>
      </c>
      <c r="AA229">
        <v>4</v>
      </c>
      <c r="AB229">
        <v>4</v>
      </c>
      <c r="AC229">
        <v>2</v>
      </c>
      <c r="AD229">
        <f t="shared" si="9"/>
        <v>4</v>
      </c>
      <c r="AE229">
        <f t="shared" si="10"/>
        <v>4</v>
      </c>
      <c r="AF229">
        <f t="shared" si="11"/>
        <v>2</v>
      </c>
    </row>
    <row r="230" spans="1:32" x14ac:dyDescent="0.25">
      <c r="A230" t="s">
        <v>512</v>
      </c>
      <c r="B230" t="s">
        <v>513</v>
      </c>
      <c r="C230" t="s">
        <v>514</v>
      </c>
      <c r="D230" t="s">
        <v>28</v>
      </c>
      <c r="E230">
        <v>143</v>
      </c>
      <c r="F230">
        <v>0</v>
      </c>
      <c r="G230">
        <v>7.94</v>
      </c>
      <c r="H230">
        <v>19</v>
      </c>
      <c r="I230">
        <v>0</v>
      </c>
      <c r="J230">
        <v>0</v>
      </c>
      <c r="K230">
        <v>5.5523999999999997E-2</v>
      </c>
      <c r="L230">
        <v>0.13286700000000001</v>
      </c>
      <c r="M230">
        <v>0</v>
      </c>
      <c r="N230">
        <v>429</v>
      </c>
      <c r="Q230">
        <v>3</v>
      </c>
      <c r="R230">
        <v>0.51038399999999995</v>
      </c>
      <c r="S230" t="s">
        <v>29</v>
      </c>
      <c r="T230">
        <v>1855429</v>
      </c>
      <c r="U230" t="s">
        <v>541</v>
      </c>
      <c r="V230">
        <v>5</v>
      </c>
      <c r="W230">
        <v>4</v>
      </c>
      <c r="X230">
        <v>2</v>
      </c>
      <c r="Y230" s="2" t="s">
        <v>550</v>
      </c>
      <c r="Z230" t="s">
        <v>551</v>
      </c>
      <c r="AA230">
        <v>5</v>
      </c>
      <c r="AB230">
        <v>4</v>
      </c>
      <c r="AC230">
        <v>2</v>
      </c>
      <c r="AD230">
        <f t="shared" si="9"/>
        <v>5</v>
      </c>
      <c r="AE230">
        <f t="shared" si="10"/>
        <v>4</v>
      </c>
      <c r="AF230">
        <f t="shared" si="11"/>
        <v>2</v>
      </c>
    </row>
    <row r="231" spans="1:32" x14ac:dyDescent="0.25">
      <c r="A231" t="s">
        <v>515</v>
      </c>
      <c r="B231" t="s">
        <v>516</v>
      </c>
      <c r="C231" t="s">
        <v>404</v>
      </c>
      <c r="D231" t="s">
        <v>33</v>
      </c>
      <c r="E231">
        <v>88</v>
      </c>
      <c r="F231">
        <v>16.5</v>
      </c>
      <c r="G231">
        <v>0.88</v>
      </c>
      <c r="H231">
        <v>3.53</v>
      </c>
      <c r="I231">
        <v>0</v>
      </c>
      <c r="J231">
        <v>0.1875</v>
      </c>
      <c r="K231">
        <v>0.01</v>
      </c>
      <c r="L231">
        <v>4.0113999999999997E-2</v>
      </c>
      <c r="M231">
        <v>0</v>
      </c>
      <c r="N231">
        <v>47</v>
      </c>
      <c r="Q231">
        <v>0.53409099999999998</v>
      </c>
      <c r="R231">
        <v>4.0404000000000002E-2</v>
      </c>
      <c r="T231">
        <v>2185850</v>
      </c>
      <c r="U231" t="s">
        <v>541</v>
      </c>
      <c r="V231">
        <v>4</v>
      </c>
      <c r="W231">
        <v>2</v>
      </c>
      <c r="X231">
        <v>1</v>
      </c>
      <c r="Y231" s="4" t="s">
        <v>555</v>
      </c>
      <c r="Z231" t="s">
        <v>616</v>
      </c>
      <c r="AA231">
        <v>3</v>
      </c>
      <c r="AB231">
        <v>2</v>
      </c>
      <c r="AC231">
        <v>2</v>
      </c>
      <c r="AD231">
        <f t="shared" si="9"/>
        <v>3</v>
      </c>
      <c r="AE231">
        <f t="shared" si="10"/>
        <v>2</v>
      </c>
      <c r="AF231">
        <f t="shared" si="11"/>
        <v>2</v>
      </c>
    </row>
    <row r="232" spans="1:32" x14ac:dyDescent="0.25">
      <c r="A232" t="s">
        <v>517</v>
      </c>
      <c r="B232" t="s">
        <v>518</v>
      </c>
      <c r="C232" t="s">
        <v>217</v>
      </c>
      <c r="D232" t="s">
        <v>108</v>
      </c>
      <c r="E232">
        <v>567</v>
      </c>
      <c r="F232">
        <v>10</v>
      </c>
      <c r="G232">
        <v>43.3</v>
      </c>
      <c r="H232">
        <v>33.299999999999997</v>
      </c>
      <c r="I232">
        <v>10</v>
      </c>
      <c r="J232">
        <v>1.7637E-2</v>
      </c>
      <c r="K232">
        <v>7.6367000000000004E-2</v>
      </c>
      <c r="L232">
        <v>5.8729999999999997E-2</v>
      </c>
      <c r="M232">
        <v>1.7637E-2</v>
      </c>
      <c r="N232">
        <v>0</v>
      </c>
      <c r="P232">
        <v>600</v>
      </c>
      <c r="Q232">
        <v>1.0582009999999999</v>
      </c>
      <c r="R232">
        <v>0.19573199999999999</v>
      </c>
      <c r="S232" t="s">
        <v>109</v>
      </c>
      <c r="T232">
        <v>2665901</v>
      </c>
      <c r="U232" t="s">
        <v>541</v>
      </c>
      <c r="V232">
        <v>5</v>
      </c>
      <c r="W232">
        <v>4</v>
      </c>
      <c r="X232">
        <v>3</v>
      </c>
      <c r="Y232" s="2" t="s">
        <v>550</v>
      </c>
      <c r="Z232" t="s">
        <v>551</v>
      </c>
      <c r="AA232">
        <v>5</v>
      </c>
      <c r="AB232">
        <v>4</v>
      </c>
      <c r="AC232">
        <v>3</v>
      </c>
      <c r="AD232">
        <f t="shared" si="9"/>
        <v>5</v>
      </c>
      <c r="AE232">
        <f t="shared" si="10"/>
        <v>4</v>
      </c>
      <c r="AF232">
        <f t="shared" si="11"/>
        <v>3</v>
      </c>
    </row>
    <row r="233" spans="1:32" x14ac:dyDescent="0.25">
      <c r="A233" t="s">
        <v>519</v>
      </c>
      <c r="B233" t="s">
        <v>520</v>
      </c>
      <c r="C233" t="s">
        <v>521</v>
      </c>
      <c r="D233" t="s">
        <v>108</v>
      </c>
      <c r="E233">
        <v>194</v>
      </c>
      <c r="F233">
        <v>0.3</v>
      </c>
      <c r="G233">
        <v>15</v>
      </c>
      <c r="H233">
        <v>14.9</v>
      </c>
      <c r="J233">
        <v>1.5460000000000001E-3</v>
      </c>
      <c r="K233">
        <v>7.732E-2</v>
      </c>
      <c r="L233">
        <v>7.6803999999999997E-2</v>
      </c>
      <c r="M233">
        <v>0</v>
      </c>
      <c r="N233">
        <v>260</v>
      </c>
      <c r="Q233">
        <v>1.340206</v>
      </c>
      <c r="R233">
        <v>0.246778</v>
      </c>
      <c r="S233" t="s">
        <v>109</v>
      </c>
      <c r="T233">
        <v>2316837</v>
      </c>
      <c r="U233" t="s">
        <v>541</v>
      </c>
      <c r="V233">
        <v>2</v>
      </c>
      <c r="W233">
        <v>3</v>
      </c>
      <c r="X233">
        <v>2</v>
      </c>
      <c r="Y233" s="2" t="s">
        <v>550</v>
      </c>
      <c r="Z233" t="s">
        <v>551</v>
      </c>
      <c r="AA233">
        <v>2</v>
      </c>
      <c r="AB233">
        <v>3</v>
      </c>
      <c r="AC233">
        <v>2</v>
      </c>
      <c r="AD233">
        <f t="shared" si="9"/>
        <v>2</v>
      </c>
      <c r="AE233">
        <f t="shared" si="10"/>
        <v>3</v>
      </c>
      <c r="AF233">
        <f t="shared" si="11"/>
        <v>2</v>
      </c>
    </row>
    <row r="234" spans="1:32" x14ac:dyDescent="0.25">
      <c r="A234" t="s">
        <v>522</v>
      </c>
      <c r="B234" t="s">
        <v>523</v>
      </c>
      <c r="C234" t="s">
        <v>521</v>
      </c>
      <c r="D234" t="s">
        <v>108</v>
      </c>
      <c r="E234">
        <v>233</v>
      </c>
      <c r="F234">
        <v>4</v>
      </c>
      <c r="G234">
        <v>26.3</v>
      </c>
      <c r="H234">
        <v>9.36</v>
      </c>
      <c r="J234">
        <v>1.7167000000000002E-2</v>
      </c>
      <c r="K234">
        <v>0.112876</v>
      </c>
      <c r="L234">
        <v>4.0171999999999999E-2</v>
      </c>
      <c r="M234">
        <v>0</v>
      </c>
      <c r="N234">
        <v>291</v>
      </c>
      <c r="Q234">
        <v>1.2489269999999999</v>
      </c>
      <c r="R234">
        <v>0.224468</v>
      </c>
      <c r="S234" t="s">
        <v>109</v>
      </c>
      <c r="T234">
        <v>2316836</v>
      </c>
      <c r="U234" t="s">
        <v>541</v>
      </c>
      <c r="V234">
        <v>2</v>
      </c>
      <c r="W234">
        <v>3</v>
      </c>
      <c r="X234">
        <v>1</v>
      </c>
      <c r="Y234" s="2" t="s">
        <v>550</v>
      </c>
      <c r="Z234" t="s">
        <v>551</v>
      </c>
      <c r="AA234">
        <v>2</v>
      </c>
      <c r="AB234">
        <v>3</v>
      </c>
      <c r="AC234">
        <v>1</v>
      </c>
      <c r="AD234">
        <f t="shared" si="9"/>
        <v>2</v>
      </c>
      <c r="AE234">
        <f t="shared" si="10"/>
        <v>3</v>
      </c>
      <c r="AF234">
        <f t="shared" si="11"/>
        <v>1</v>
      </c>
    </row>
    <row r="235" spans="1:32" x14ac:dyDescent="0.25">
      <c r="A235" t="s">
        <v>524</v>
      </c>
      <c r="B235" t="s">
        <v>525</v>
      </c>
      <c r="C235" t="s">
        <v>211</v>
      </c>
      <c r="D235" t="s">
        <v>33</v>
      </c>
      <c r="E235">
        <v>41</v>
      </c>
      <c r="F235">
        <v>7.06</v>
      </c>
      <c r="G235">
        <v>0</v>
      </c>
      <c r="H235">
        <v>1.18</v>
      </c>
      <c r="I235">
        <v>2.4</v>
      </c>
      <c r="J235">
        <v>0.17219499999999999</v>
      </c>
      <c r="K235">
        <v>0</v>
      </c>
      <c r="L235">
        <v>2.878E-2</v>
      </c>
      <c r="M235">
        <v>5.8536999999999999E-2</v>
      </c>
      <c r="N235">
        <v>29</v>
      </c>
      <c r="Q235">
        <v>0.70731699999999997</v>
      </c>
      <c r="R235">
        <v>7.3292999999999997E-2</v>
      </c>
      <c r="T235">
        <v>2059139</v>
      </c>
      <c r="U235" t="s">
        <v>542</v>
      </c>
      <c r="V235">
        <v>4</v>
      </c>
      <c r="W235">
        <v>4</v>
      </c>
      <c r="X235">
        <v>1</v>
      </c>
      <c r="Y235" s="3" t="s">
        <v>552</v>
      </c>
      <c r="Z235" t="s">
        <v>607</v>
      </c>
      <c r="AA235">
        <v>5</v>
      </c>
      <c r="AB235">
        <v>4</v>
      </c>
      <c r="AC235">
        <v>1</v>
      </c>
      <c r="AD235">
        <f t="shared" si="9"/>
        <v>5</v>
      </c>
      <c r="AE235">
        <f t="shared" si="10"/>
        <v>4</v>
      </c>
      <c r="AF235">
        <f t="shared" si="11"/>
        <v>1</v>
      </c>
    </row>
    <row r="236" spans="1:32" x14ac:dyDescent="0.25">
      <c r="A236" t="s">
        <v>526</v>
      </c>
      <c r="B236" t="s">
        <v>527</v>
      </c>
      <c r="C236" t="s">
        <v>521</v>
      </c>
      <c r="D236" t="s">
        <v>108</v>
      </c>
      <c r="E236">
        <v>194</v>
      </c>
      <c r="F236">
        <v>0.3</v>
      </c>
      <c r="G236">
        <v>15</v>
      </c>
      <c r="H236">
        <v>14.9</v>
      </c>
      <c r="J236">
        <v>1.5460000000000001E-3</v>
      </c>
      <c r="K236">
        <v>7.732E-2</v>
      </c>
      <c r="L236">
        <v>7.6803999999999997E-2</v>
      </c>
      <c r="M236">
        <v>0</v>
      </c>
      <c r="N236">
        <v>260</v>
      </c>
      <c r="Q236">
        <v>1.340206</v>
      </c>
      <c r="R236">
        <v>0.246778</v>
      </c>
      <c r="S236" t="s">
        <v>109</v>
      </c>
      <c r="T236">
        <v>2316835</v>
      </c>
      <c r="U236" t="s">
        <v>541</v>
      </c>
      <c r="V236">
        <v>2</v>
      </c>
      <c r="W236">
        <v>3</v>
      </c>
      <c r="X236">
        <v>2</v>
      </c>
      <c r="Y236" s="2" t="s">
        <v>550</v>
      </c>
      <c r="Z236" t="s">
        <v>551</v>
      </c>
      <c r="AA236">
        <v>2</v>
      </c>
      <c r="AB236">
        <v>3</v>
      </c>
      <c r="AC236">
        <v>2</v>
      </c>
      <c r="AD236">
        <f t="shared" si="9"/>
        <v>2</v>
      </c>
      <c r="AE236">
        <f t="shared" si="10"/>
        <v>3</v>
      </c>
      <c r="AF236">
        <f t="shared" si="11"/>
        <v>2</v>
      </c>
    </row>
    <row r="237" spans="1:32" x14ac:dyDescent="0.25">
      <c r="A237" t="s">
        <v>528</v>
      </c>
      <c r="B237" t="s">
        <v>529</v>
      </c>
      <c r="C237" t="s">
        <v>217</v>
      </c>
      <c r="D237" t="s">
        <v>23</v>
      </c>
      <c r="E237">
        <v>356</v>
      </c>
      <c r="F237">
        <v>71.099999999999994</v>
      </c>
      <c r="G237">
        <v>2.2200000000000002</v>
      </c>
      <c r="H237">
        <v>11.1</v>
      </c>
      <c r="I237">
        <v>15.6</v>
      </c>
      <c r="J237">
        <v>0.19971900000000001</v>
      </c>
      <c r="K237">
        <v>6.2360000000000002E-3</v>
      </c>
      <c r="L237">
        <v>3.1179999999999999E-2</v>
      </c>
      <c r="M237">
        <v>4.3819999999999998E-2</v>
      </c>
      <c r="N237">
        <v>0</v>
      </c>
      <c r="Q237">
        <v>0</v>
      </c>
      <c r="R237">
        <v>-4.0870999999999998E-2</v>
      </c>
      <c r="S237" t="s">
        <v>24</v>
      </c>
      <c r="T237">
        <v>2031314</v>
      </c>
      <c r="U237" t="s">
        <v>541</v>
      </c>
      <c r="V237">
        <v>5</v>
      </c>
      <c r="W237">
        <v>4</v>
      </c>
      <c r="X237">
        <v>4</v>
      </c>
      <c r="Y237" s="2" t="s">
        <v>550</v>
      </c>
      <c r="Z237" t="s">
        <v>551</v>
      </c>
      <c r="AA237">
        <v>5</v>
      </c>
      <c r="AB237">
        <v>4</v>
      </c>
      <c r="AC237">
        <v>4</v>
      </c>
      <c r="AD237">
        <f t="shared" si="9"/>
        <v>5</v>
      </c>
      <c r="AE237">
        <f t="shared" si="10"/>
        <v>4</v>
      </c>
      <c r="AF237">
        <f t="shared" si="11"/>
        <v>4</v>
      </c>
    </row>
    <row r="238" spans="1:32" x14ac:dyDescent="0.25">
      <c r="A238" t="s">
        <v>530</v>
      </c>
      <c r="B238" t="s">
        <v>531</v>
      </c>
      <c r="C238" t="s">
        <v>404</v>
      </c>
      <c r="D238" t="s">
        <v>33</v>
      </c>
      <c r="E238">
        <v>93</v>
      </c>
      <c r="F238">
        <v>13.3</v>
      </c>
      <c r="G238">
        <v>0</v>
      </c>
      <c r="H238">
        <v>8.67</v>
      </c>
      <c r="I238">
        <v>0</v>
      </c>
      <c r="J238">
        <v>0.143011</v>
      </c>
      <c r="K238">
        <v>0</v>
      </c>
      <c r="L238">
        <v>9.3226000000000003E-2</v>
      </c>
      <c r="M238">
        <v>0</v>
      </c>
      <c r="N238">
        <v>40</v>
      </c>
      <c r="O238">
        <v>127</v>
      </c>
      <c r="Q238">
        <v>1.7956989999999999</v>
      </c>
      <c r="R238">
        <v>0.25908100000000001</v>
      </c>
      <c r="T238">
        <v>2210361</v>
      </c>
      <c r="U238" t="s">
        <v>541</v>
      </c>
      <c r="V238">
        <v>4</v>
      </c>
      <c r="W238">
        <v>2</v>
      </c>
      <c r="X238">
        <v>1</v>
      </c>
      <c r="Y238" s="4" t="s">
        <v>555</v>
      </c>
      <c r="Z238" t="s">
        <v>617</v>
      </c>
      <c r="AA238">
        <v>4</v>
      </c>
      <c r="AB238">
        <v>3</v>
      </c>
      <c r="AC238">
        <v>2</v>
      </c>
      <c r="AD238">
        <f t="shared" si="9"/>
        <v>4</v>
      </c>
      <c r="AE238">
        <f t="shared" si="10"/>
        <v>3</v>
      </c>
      <c r="AF238">
        <f t="shared" si="11"/>
        <v>2</v>
      </c>
    </row>
    <row r="239" spans="1:32" x14ac:dyDescent="0.25">
      <c r="A239" t="s">
        <v>532</v>
      </c>
      <c r="B239" t="s">
        <v>533</v>
      </c>
      <c r="C239" t="s">
        <v>404</v>
      </c>
      <c r="D239" t="s">
        <v>33</v>
      </c>
      <c r="E239">
        <v>93</v>
      </c>
      <c r="F239">
        <v>14</v>
      </c>
      <c r="G239">
        <v>0</v>
      </c>
      <c r="H239">
        <v>8.67</v>
      </c>
      <c r="I239">
        <v>0</v>
      </c>
      <c r="J239">
        <v>0.15053800000000001</v>
      </c>
      <c r="K239">
        <v>0</v>
      </c>
      <c r="L239">
        <v>9.3226000000000003E-2</v>
      </c>
      <c r="M239">
        <v>0</v>
      </c>
      <c r="N239">
        <v>37</v>
      </c>
      <c r="O239">
        <v>120</v>
      </c>
      <c r="Q239">
        <v>1.688172</v>
      </c>
      <c r="R239">
        <v>0.24069399999999999</v>
      </c>
      <c r="T239">
        <v>2210457</v>
      </c>
      <c r="U239" t="s">
        <v>541</v>
      </c>
      <c r="V239">
        <v>4</v>
      </c>
      <c r="W239">
        <v>2</v>
      </c>
      <c r="X239">
        <v>1</v>
      </c>
      <c r="Y239" s="4" t="s">
        <v>555</v>
      </c>
      <c r="Z239" t="s">
        <v>617</v>
      </c>
      <c r="AA239">
        <v>4</v>
      </c>
      <c r="AB239">
        <v>3</v>
      </c>
      <c r="AC239">
        <v>2</v>
      </c>
      <c r="AD239">
        <f t="shared" si="9"/>
        <v>4</v>
      </c>
      <c r="AE239">
        <f t="shared" si="10"/>
        <v>3</v>
      </c>
      <c r="AF239">
        <f t="shared" si="11"/>
        <v>2</v>
      </c>
    </row>
    <row r="240" spans="1:32" x14ac:dyDescent="0.25">
      <c r="A240" t="s">
        <v>534</v>
      </c>
      <c r="B240" t="s">
        <v>535</v>
      </c>
      <c r="C240" t="s">
        <v>404</v>
      </c>
      <c r="D240" t="s">
        <v>33</v>
      </c>
      <c r="E240">
        <v>87</v>
      </c>
      <c r="F240">
        <v>12.7</v>
      </c>
      <c r="G240">
        <v>0</v>
      </c>
      <c r="H240">
        <v>9.33</v>
      </c>
      <c r="I240">
        <v>0</v>
      </c>
      <c r="J240">
        <v>0.145977</v>
      </c>
      <c r="K240">
        <v>0</v>
      </c>
      <c r="L240">
        <v>0.107241</v>
      </c>
      <c r="M240">
        <v>0</v>
      </c>
      <c r="N240">
        <v>40</v>
      </c>
      <c r="O240">
        <v>127</v>
      </c>
      <c r="Q240">
        <v>1.91954</v>
      </c>
      <c r="R240">
        <v>0.28167199999999998</v>
      </c>
      <c r="T240">
        <v>2210456</v>
      </c>
      <c r="U240" t="s">
        <v>541</v>
      </c>
      <c r="V240">
        <v>4</v>
      </c>
      <c r="W240">
        <v>3</v>
      </c>
      <c r="X240">
        <v>1</v>
      </c>
      <c r="Y240" s="3" t="s">
        <v>552</v>
      </c>
      <c r="Z240" t="s">
        <v>614</v>
      </c>
      <c r="AA240">
        <v>4</v>
      </c>
      <c r="AB240">
        <v>3</v>
      </c>
      <c r="AC240">
        <v>2</v>
      </c>
      <c r="AD240">
        <f t="shared" si="9"/>
        <v>4</v>
      </c>
      <c r="AE240">
        <f t="shared" si="10"/>
        <v>3</v>
      </c>
      <c r="AF240">
        <f t="shared" si="11"/>
        <v>2</v>
      </c>
    </row>
    <row r="241" spans="1:32" x14ac:dyDescent="0.25">
      <c r="A241" t="s">
        <v>536</v>
      </c>
      <c r="B241" t="s">
        <v>537</v>
      </c>
      <c r="C241" t="s">
        <v>214</v>
      </c>
      <c r="D241" t="s">
        <v>33</v>
      </c>
      <c r="J241">
        <v>0</v>
      </c>
      <c r="K241">
        <v>0</v>
      </c>
      <c r="L241">
        <v>0</v>
      </c>
      <c r="M241">
        <v>0</v>
      </c>
      <c r="Q241">
        <v>0</v>
      </c>
      <c r="R241">
        <v>0</v>
      </c>
      <c r="T241">
        <v>2290697</v>
      </c>
      <c r="U241" t="s">
        <v>541</v>
      </c>
      <c r="V241">
        <v>2</v>
      </c>
      <c r="W241">
        <v>1</v>
      </c>
      <c r="X241">
        <v>1</v>
      </c>
      <c r="Y241" s="2" t="s">
        <v>550</v>
      </c>
      <c r="Z241" t="s">
        <v>551</v>
      </c>
      <c r="AA241">
        <v>2</v>
      </c>
      <c r="AB241">
        <v>1</v>
      </c>
      <c r="AC241">
        <v>1</v>
      </c>
      <c r="AD241">
        <f t="shared" si="9"/>
        <v>2</v>
      </c>
      <c r="AE241">
        <f t="shared" si="10"/>
        <v>1</v>
      </c>
      <c r="AF241">
        <f t="shared" si="11"/>
        <v>1</v>
      </c>
    </row>
    <row r="242" spans="1:32" x14ac:dyDescent="0.25">
      <c r="A242" t="s">
        <v>538</v>
      </c>
      <c r="B242" t="s">
        <v>539</v>
      </c>
      <c r="C242" t="s">
        <v>404</v>
      </c>
      <c r="D242" t="s">
        <v>33</v>
      </c>
      <c r="E242">
        <v>73</v>
      </c>
      <c r="F242">
        <v>3.33</v>
      </c>
      <c r="G242">
        <v>2</v>
      </c>
      <c r="H242">
        <v>10</v>
      </c>
      <c r="I242">
        <v>0</v>
      </c>
      <c r="J242">
        <v>4.5615999999999997E-2</v>
      </c>
      <c r="K242">
        <v>2.7397000000000001E-2</v>
      </c>
      <c r="L242">
        <v>0.136986</v>
      </c>
      <c r="M242">
        <v>0</v>
      </c>
      <c r="N242">
        <v>63</v>
      </c>
      <c r="O242">
        <v>140</v>
      </c>
      <c r="Q242">
        <v>2.7808220000000001</v>
      </c>
      <c r="R242">
        <v>0.458233</v>
      </c>
      <c r="T242">
        <v>2052559</v>
      </c>
      <c r="U242" t="s">
        <v>541</v>
      </c>
      <c r="V242">
        <v>4</v>
      </c>
      <c r="W242">
        <v>4</v>
      </c>
      <c r="X242">
        <v>2</v>
      </c>
      <c r="Y242" s="2" t="s">
        <v>550</v>
      </c>
      <c r="Z242" t="s">
        <v>551</v>
      </c>
      <c r="AA242">
        <v>4</v>
      </c>
      <c r="AB242">
        <v>4</v>
      </c>
      <c r="AC242">
        <v>2</v>
      </c>
      <c r="AD242">
        <f t="shared" si="9"/>
        <v>4</v>
      </c>
      <c r="AE242">
        <f t="shared" si="10"/>
        <v>4</v>
      </c>
      <c r="AF242">
        <f t="shared" si="11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F3D0-43CC-4DB8-A4C6-A73A34084B1B}">
  <dimension ref="A1:S242"/>
  <sheetViews>
    <sheetView tabSelected="1" workbookViewId="0">
      <selection activeCell="B12" sqref="B12"/>
    </sheetView>
  </sheetViews>
  <sheetFormatPr defaultRowHeight="15" x14ac:dyDescent="0.25"/>
  <cols>
    <col min="1" max="1" width="10.85546875" bestFit="1" customWidth="1"/>
    <col min="2" max="2" width="97.85546875" customWidth="1"/>
    <col min="3" max="3" width="35.140625" bestFit="1" customWidth="1"/>
    <col min="4" max="4" width="14" bestFit="1" customWidth="1"/>
    <col min="5" max="5" width="10" bestFit="1" customWidth="1"/>
    <col min="6" max="6" width="6.28515625" bestFit="1" customWidth="1"/>
    <col min="7" max="7" width="5" bestFit="1" customWidth="1"/>
    <col min="8" max="8" width="7.5703125" bestFit="1" customWidth="1"/>
    <col min="9" max="9" width="5.5703125" bestFit="1" customWidth="1"/>
    <col min="10" max="10" width="7.85546875" bestFit="1" customWidth="1"/>
    <col min="11" max="11" width="10.42578125" bestFit="1" customWidth="1"/>
    <col min="12" max="12" width="11.28515625" bestFit="1" customWidth="1"/>
    <col min="13" max="13" width="18.5703125" bestFit="1" customWidth="1"/>
    <col min="14" max="14" width="15" bestFit="1" customWidth="1"/>
    <col min="15" max="15" width="14.140625" bestFit="1" customWidth="1"/>
    <col min="17" max="17" width="18" bestFit="1" customWidth="1"/>
    <col min="18" max="18" width="18.7109375" bestFit="1" customWidth="1"/>
    <col min="19" max="19" width="21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19</v>
      </c>
      <c r="P1" s="1" t="s">
        <v>540</v>
      </c>
      <c r="Q1" s="1" t="s">
        <v>619</v>
      </c>
      <c r="R1" s="1" t="s">
        <v>620</v>
      </c>
      <c r="S1" s="1" t="s">
        <v>621</v>
      </c>
    </row>
    <row r="2" spans="1:19" x14ac:dyDescent="0.25">
      <c r="A2" t="s">
        <v>20</v>
      </c>
      <c r="B2" t="s">
        <v>21</v>
      </c>
      <c r="C2" t="s">
        <v>22</v>
      </c>
      <c r="D2" t="s">
        <v>23</v>
      </c>
      <c r="E2" s="5">
        <v>778.57929999999999</v>
      </c>
      <c r="F2">
        <v>66.3</v>
      </c>
      <c r="G2">
        <v>6.9</v>
      </c>
      <c r="H2">
        <v>16.899999999999999</v>
      </c>
      <c r="I2">
        <v>10.6</v>
      </c>
      <c r="J2">
        <v>2</v>
      </c>
      <c r="K2">
        <v>429</v>
      </c>
      <c r="L2">
        <v>177</v>
      </c>
      <c r="M2">
        <v>0.78090999999999999</v>
      </c>
      <c r="N2" t="s">
        <v>24</v>
      </c>
      <c r="O2">
        <v>169705</v>
      </c>
      <c r="P2" t="s">
        <v>541</v>
      </c>
      <c r="Q2">
        <v>5</v>
      </c>
      <c r="R2">
        <v>3</v>
      </c>
      <c r="S2">
        <v>5</v>
      </c>
    </row>
    <row r="3" spans="1:19" x14ac:dyDescent="0.25">
      <c r="A3" t="s">
        <v>25</v>
      </c>
      <c r="B3" t="s">
        <v>26</v>
      </c>
      <c r="C3" t="s">
        <v>27</v>
      </c>
      <c r="D3" t="s">
        <v>28</v>
      </c>
      <c r="E3" s="5">
        <v>804.52959999999996</v>
      </c>
      <c r="F3">
        <v>3.37</v>
      </c>
      <c r="G3">
        <v>33.299999999999997</v>
      </c>
      <c r="H3">
        <v>22.9</v>
      </c>
      <c r="I3">
        <v>0</v>
      </c>
      <c r="J3">
        <v>653</v>
      </c>
      <c r="K3">
        <v>76</v>
      </c>
      <c r="L3">
        <v>27</v>
      </c>
      <c r="M3">
        <v>0.93967999999999996</v>
      </c>
      <c r="N3" t="s">
        <v>29</v>
      </c>
      <c r="O3">
        <v>173414</v>
      </c>
      <c r="P3" t="s">
        <v>541</v>
      </c>
      <c r="Q3">
        <v>2</v>
      </c>
      <c r="R3">
        <v>2</v>
      </c>
      <c r="S3">
        <v>3</v>
      </c>
    </row>
    <row r="4" spans="1:19" x14ac:dyDescent="0.25">
      <c r="A4" t="s">
        <v>30</v>
      </c>
      <c r="B4" t="s">
        <v>31</v>
      </c>
      <c r="C4" t="s">
        <v>32</v>
      </c>
      <c r="D4" t="s">
        <v>33</v>
      </c>
      <c r="E4" s="5">
        <v>104.1033</v>
      </c>
      <c r="F4">
        <v>13.8</v>
      </c>
      <c r="G4">
        <v>0.17</v>
      </c>
      <c r="H4">
        <v>0.26</v>
      </c>
      <c r="I4">
        <v>2.4</v>
      </c>
      <c r="J4">
        <v>1</v>
      </c>
      <c r="K4">
        <v>107</v>
      </c>
      <c r="L4">
        <v>5</v>
      </c>
      <c r="M4">
        <v>1.0854600000000001</v>
      </c>
      <c r="O4">
        <v>171688</v>
      </c>
      <c r="P4" t="s">
        <v>542</v>
      </c>
      <c r="Q4">
        <v>3</v>
      </c>
      <c r="R4">
        <v>2</v>
      </c>
      <c r="S4">
        <v>1</v>
      </c>
    </row>
    <row r="5" spans="1:19" x14ac:dyDescent="0.25">
      <c r="A5" t="s">
        <v>34</v>
      </c>
      <c r="B5" t="s">
        <v>35</v>
      </c>
      <c r="C5" t="s">
        <v>32</v>
      </c>
      <c r="D5" t="s">
        <v>33</v>
      </c>
      <c r="E5" s="5">
        <v>113.88339999999999</v>
      </c>
      <c r="F5">
        <v>13.8</v>
      </c>
      <c r="G5">
        <v>0.16</v>
      </c>
      <c r="H5">
        <v>0</v>
      </c>
      <c r="I5">
        <v>4.4000000000000004</v>
      </c>
      <c r="J5">
        <v>3</v>
      </c>
      <c r="K5">
        <v>68</v>
      </c>
      <c r="L5">
        <v>7</v>
      </c>
      <c r="M5">
        <v>0.68491100000000005</v>
      </c>
      <c r="O5">
        <v>173949</v>
      </c>
      <c r="P5" t="s">
        <v>542</v>
      </c>
      <c r="Q5">
        <v>5</v>
      </c>
      <c r="R5">
        <v>3</v>
      </c>
      <c r="S5">
        <v>1</v>
      </c>
    </row>
    <row r="6" spans="1:19" x14ac:dyDescent="0.25">
      <c r="A6" t="s">
        <v>36</v>
      </c>
      <c r="B6" t="s">
        <v>37</v>
      </c>
      <c r="C6" t="s">
        <v>38</v>
      </c>
      <c r="D6" t="s">
        <v>33</v>
      </c>
      <c r="E6" s="5">
        <v>72.328900000000004</v>
      </c>
      <c r="F6">
        <v>7.9</v>
      </c>
      <c r="G6">
        <v>0.46</v>
      </c>
      <c r="H6">
        <v>0.78</v>
      </c>
      <c r="I6">
        <v>3.3</v>
      </c>
      <c r="J6">
        <v>68</v>
      </c>
      <c r="K6">
        <v>235</v>
      </c>
      <c r="L6">
        <v>12</v>
      </c>
      <c r="M6">
        <v>4.3551060000000001</v>
      </c>
      <c r="O6">
        <v>169983</v>
      </c>
      <c r="P6" t="s">
        <v>542</v>
      </c>
      <c r="Q6">
        <v>4</v>
      </c>
      <c r="R6">
        <v>4</v>
      </c>
      <c r="S6">
        <v>1</v>
      </c>
    </row>
    <row r="7" spans="1:19" x14ac:dyDescent="0.25">
      <c r="A7" t="s">
        <v>39</v>
      </c>
      <c r="B7" t="s">
        <v>40</v>
      </c>
      <c r="C7" t="s">
        <v>32</v>
      </c>
      <c r="D7" t="s">
        <v>33</v>
      </c>
      <c r="E7" s="5">
        <v>98.474199999999996</v>
      </c>
      <c r="F7">
        <v>12.5</v>
      </c>
      <c r="G7">
        <v>0.15</v>
      </c>
      <c r="H7">
        <v>0.91</v>
      </c>
      <c r="I7">
        <v>2.2000000000000002</v>
      </c>
      <c r="J7">
        <v>1</v>
      </c>
      <c r="K7">
        <v>166</v>
      </c>
      <c r="L7">
        <v>11</v>
      </c>
      <c r="M7">
        <v>1.80758</v>
      </c>
      <c r="O7">
        <v>169917</v>
      </c>
      <c r="P7" t="s">
        <v>542</v>
      </c>
      <c r="Q7">
        <v>3</v>
      </c>
      <c r="R7">
        <v>2</v>
      </c>
      <c r="S7">
        <v>1</v>
      </c>
    </row>
    <row r="8" spans="1:19" x14ac:dyDescent="0.25">
      <c r="A8" t="s">
        <v>41</v>
      </c>
      <c r="B8" t="s">
        <v>42</v>
      </c>
      <c r="C8" t="s">
        <v>43</v>
      </c>
      <c r="D8" t="s">
        <v>33</v>
      </c>
      <c r="E8" s="5">
        <v>1175.9540999999999</v>
      </c>
      <c r="F8">
        <v>24</v>
      </c>
      <c r="G8">
        <v>49.5</v>
      </c>
      <c r="H8">
        <v>21.9</v>
      </c>
      <c r="I8">
        <v>5.7</v>
      </c>
      <c r="J8">
        <v>476</v>
      </c>
      <c r="K8">
        <v>592</v>
      </c>
      <c r="L8">
        <v>179</v>
      </c>
      <c r="M8">
        <v>1.060416</v>
      </c>
      <c r="O8">
        <v>174294</v>
      </c>
      <c r="P8" t="s">
        <v>541</v>
      </c>
      <c r="Q8">
        <v>4</v>
      </c>
      <c r="R8">
        <v>2</v>
      </c>
      <c r="S8">
        <v>4</v>
      </c>
    </row>
    <row r="9" spans="1:19" x14ac:dyDescent="0.25">
      <c r="A9" t="s">
        <v>44</v>
      </c>
      <c r="B9" t="s">
        <v>45</v>
      </c>
      <c r="C9" t="s">
        <v>32</v>
      </c>
      <c r="D9" t="s">
        <v>33</v>
      </c>
      <c r="E9" s="5">
        <v>126.0975</v>
      </c>
      <c r="F9">
        <v>15</v>
      </c>
      <c r="G9">
        <v>0.16</v>
      </c>
      <c r="H9">
        <v>0.39</v>
      </c>
      <c r="I9">
        <v>3.1</v>
      </c>
      <c r="J9">
        <v>1</v>
      </c>
      <c r="K9">
        <v>101</v>
      </c>
      <c r="L9">
        <v>6</v>
      </c>
      <c r="M9">
        <v>0.85648000000000002</v>
      </c>
      <c r="O9">
        <v>167776</v>
      </c>
      <c r="P9" t="s">
        <v>542</v>
      </c>
      <c r="Q9">
        <v>4</v>
      </c>
      <c r="R9">
        <v>2</v>
      </c>
      <c r="S9">
        <v>1</v>
      </c>
    </row>
    <row r="10" spans="1:19" x14ac:dyDescent="0.25">
      <c r="A10" t="s">
        <v>46</v>
      </c>
      <c r="B10" t="s">
        <v>47</v>
      </c>
      <c r="C10" t="s">
        <v>32</v>
      </c>
      <c r="D10" t="s">
        <v>33</v>
      </c>
      <c r="E10" s="5">
        <v>133.68260000000001</v>
      </c>
      <c r="F10">
        <v>16.100000000000001</v>
      </c>
      <c r="G10">
        <v>0.09</v>
      </c>
      <c r="H10">
        <v>0.36</v>
      </c>
      <c r="I10">
        <v>3.1</v>
      </c>
      <c r="J10">
        <v>1</v>
      </c>
      <c r="K10">
        <v>122</v>
      </c>
      <c r="L10">
        <v>7</v>
      </c>
      <c r="M10">
        <v>0.97245300000000001</v>
      </c>
      <c r="O10">
        <v>167778</v>
      </c>
      <c r="P10" t="s">
        <v>542</v>
      </c>
      <c r="Q10">
        <v>4</v>
      </c>
      <c r="R10">
        <v>2</v>
      </c>
      <c r="S10">
        <v>1</v>
      </c>
    </row>
    <row r="11" spans="1:19" x14ac:dyDescent="0.25">
      <c r="A11" t="s">
        <v>48</v>
      </c>
      <c r="B11" t="s">
        <v>49</v>
      </c>
      <c r="C11" t="s">
        <v>32</v>
      </c>
      <c r="D11" t="s">
        <v>23</v>
      </c>
      <c r="E11" s="5">
        <v>597.75720000000001</v>
      </c>
      <c r="F11">
        <v>79.3</v>
      </c>
      <c r="G11">
        <v>0.25</v>
      </c>
      <c r="H11">
        <v>3.3</v>
      </c>
      <c r="I11">
        <v>4.5</v>
      </c>
      <c r="J11">
        <v>26</v>
      </c>
      <c r="K11">
        <v>744</v>
      </c>
      <c r="L11">
        <v>36</v>
      </c>
      <c r="M11">
        <v>1.348374</v>
      </c>
      <c r="N11" t="s">
        <v>24</v>
      </c>
      <c r="O11">
        <v>168165</v>
      </c>
      <c r="P11" t="s">
        <v>542</v>
      </c>
      <c r="Q11">
        <v>3</v>
      </c>
      <c r="R11">
        <v>1</v>
      </c>
      <c r="S11">
        <v>4</v>
      </c>
    </row>
    <row r="12" spans="1:19" x14ac:dyDescent="0.25">
      <c r="A12" t="s">
        <v>50</v>
      </c>
      <c r="B12" t="s">
        <v>51</v>
      </c>
      <c r="C12" t="s">
        <v>32</v>
      </c>
      <c r="D12" t="s">
        <v>33</v>
      </c>
      <c r="E12" s="5">
        <v>126.3365</v>
      </c>
      <c r="F12">
        <v>15.2</v>
      </c>
      <c r="G12">
        <v>0.18</v>
      </c>
      <c r="H12">
        <v>0.2</v>
      </c>
      <c r="I12">
        <v>2.1</v>
      </c>
      <c r="J12">
        <v>1</v>
      </c>
      <c r="K12">
        <v>109</v>
      </c>
      <c r="L12">
        <v>5</v>
      </c>
      <c r="M12">
        <v>0.91026700000000005</v>
      </c>
      <c r="O12">
        <v>167793</v>
      </c>
      <c r="P12" t="s">
        <v>542</v>
      </c>
      <c r="Q12">
        <v>3</v>
      </c>
      <c r="R12">
        <v>1</v>
      </c>
      <c r="S12">
        <v>1</v>
      </c>
    </row>
    <row r="13" spans="1:19" x14ac:dyDescent="0.25">
      <c r="A13" t="s">
        <v>52</v>
      </c>
      <c r="B13" t="s">
        <v>53</v>
      </c>
      <c r="C13" t="s">
        <v>32</v>
      </c>
      <c r="D13" t="s">
        <v>33</v>
      </c>
      <c r="E13" s="5">
        <v>113.6444</v>
      </c>
      <c r="F13">
        <v>13.7</v>
      </c>
      <c r="G13">
        <v>0.12</v>
      </c>
      <c r="H13">
        <v>0.25</v>
      </c>
      <c r="I13">
        <v>2.2999999999999998</v>
      </c>
      <c r="J13">
        <v>1</v>
      </c>
      <c r="K13">
        <v>108</v>
      </c>
      <c r="L13">
        <v>5</v>
      </c>
      <c r="M13">
        <v>1.0031289999999999</v>
      </c>
      <c r="O13">
        <v>168204</v>
      </c>
      <c r="P13" t="s">
        <v>542</v>
      </c>
      <c r="Q13">
        <v>3</v>
      </c>
      <c r="R13">
        <v>2</v>
      </c>
      <c r="S13">
        <v>1</v>
      </c>
    </row>
    <row r="14" spans="1:19" x14ac:dyDescent="0.25">
      <c r="A14" t="s">
        <v>54</v>
      </c>
      <c r="B14" t="s">
        <v>55</v>
      </c>
      <c r="C14" t="s">
        <v>38</v>
      </c>
      <c r="D14" t="s">
        <v>33</v>
      </c>
      <c r="E14" s="5">
        <v>57.919699999999999</v>
      </c>
      <c r="F14">
        <v>5.35</v>
      </c>
      <c r="G14">
        <v>0.34</v>
      </c>
      <c r="H14">
        <v>3.06</v>
      </c>
      <c r="I14">
        <v>3</v>
      </c>
      <c r="J14">
        <v>17</v>
      </c>
      <c r="K14">
        <v>250</v>
      </c>
      <c r="L14">
        <v>16</v>
      </c>
      <c r="M14">
        <v>4.8860749999999999</v>
      </c>
      <c r="O14">
        <v>169970</v>
      </c>
      <c r="P14" t="s">
        <v>542</v>
      </c>
      <c r="Q14">
        <v>5</v>
      </c>
      <c r="R14">
        <v>5</v>
      </c>
      <c r="S14">
        <v>1</v>
      </c>
    </row>
    <row r="15" spans="1:19" x14ac:dyDescent="0.25">
      <c r="A15" t="s">
        <v>56</v>
      </c>
      <c r="B15" t="s">
        <v>57</v>
      </c>
      <c r="C15" t="s">
        <v>27</v>
      </c>
      <c r="D15" t="s">
        <v>28</v>
      </c>
      <c r="E15" s="5">
        <v>631.48760000000004</v>
      </c>
      <c r="F15">
        <v>2.67</v>
      </c>
      <c r="G15">
        <v>20.399999999999999</v>
      </c>
      <c r="H15">
        <v>27.4</v>
      </c>
      <c r="I15">
        <v>0</v>
      </c>
      <c r="J15">
        <v>628</v>
      </c>
      <c r="K15">
        <v>63</v>
      </c>
      <c r="L15">
        <v>27</v>
      </c>
      <c r="M15">
        <v>1.136998</v>
      </c>
      <c r="N15" t="s">
        <v>29</v>
      </c>
      <c r="O15">
        <v>171292</v>
      </c>
      <c r="P15" t="s">
        <v>541</v>
      </c>
      <c r="Q15">
        <v>2</v>
      </c>
      <c r="R15">
        <v>3</v>
      </c>
      <c r="S15">
        <v>3</v>
      </c>
    </row>
    <row r="16" spans="1:19" x14ac:dyDescent="0.25">
      <c r="A16" t="s">
        <v>58</v>
      </c>
      <c r="B16" t="s">
        <v>59</v>
      </c>
      <c r="C16" t="s">
        <v>22</v>
      </c>
      <c r="D16" t="s">
        <v>23</v>
      </c>
      <c r="E16" s="5">
        <v>298.37860000000001</v>
      </c>
      <c r="F16">
        <v>30.1</v>
      </c>
      <c r="G16">
        <v>1.71</v>
      </c>
      <c r="H16">
        <v>5.99</v>
      </c>
      <c r="I16">
        <v>3.9</v>
      </c>
      <c r="J16">
        <v>4</v>
      </c>
      <c r="K16">
        <v>96</v>
      </c>
      <c r="L16">
        <v>54</v>
      </c>
      <c r="M16">
        <v>0.516123</v>
      </c>
      <c r="N16" t="s">
        <v>24</v>
      </c>
      <c r="O16">
        <v>168910</v>
      </c>
      <c r="P16" t="s">
        <v>541</v>
      </c>
      <c r="Q16">
        <v>4</v>
      </c>
      <c r="R16">
        <v>3</v>
      </c>
      <c r="S16">
        <v>4</v>
      </c>
    </row>
    <row r="17" spans="1:19" x14ac:dyDescent="0.25">
      <c r="A17" t="s">
        <v>60</v>
      </c>
      <c r="B17" t="s">
        <v>61</v>
      </c>
      <c r="C17" t="s">
        <v>22</v>
      </c>
      <c r="D17" t="s">
        <v>23</v>
      </c>
      <c r="E17" s="5">
        <v>703.33839999999998</v>
      </c>
      <c r="F17">
        <v>73.400000000000006</v>
      </c>
      <c r="G17">
        <v>2.93</v>
      </c>
      <c r="H17">
        <v>13.9</v>
      </c>
      <c r="I17">
        <v>9.1999999999999993</v>
      </c>
      <c r="J17">
        <v>6</v>
      </c>
      <c r="K17">
        <v>434</v>
      </c>
      <c r="L17">
        <v>128</v>
      </c>
      <c r="M17">
        <v>0.80757699999999999</v>
      </c>
      <c r="N17" t="s">
        <v>24</v>
      </c>
      <c r="O17">
        <v>169738</v>
      </c>
      <c r="P17" t="s">
        <v>541</v>
      </c>
      <c r="Q17">
        <v>4</v>
      </c>
      <c r="R17">
        <v>3</v>
      </c>
      <c r="S17">
        <v>5</v>
      </c>
    </row>
    <row r="18" spans="1:19" x14ac:dyDescent="0.25">
      <c r="A18" t="s">
        <v>62</v>
      </c>
      <c r="B18" t="s">
        <v>63</v>
      </c>
      <c r="C18" t="s">
        <v>32</v>
      </c>
      <c r="D18" t="s">
        <v>33</v>
      </c>
      <c r="E18" s="5">
        <v>131.72659999999999</v>
      </c>
      <c r="F18">
        <v>15.8</v>
      </c>
      <c r="G18">
        <v>0.1</v>
      </c>
      <c r="H18">
        <v>0.44</v>
      </c>
      <c r="I18">
        <v>3.1</v>
      </c>
      <c r="J18">
        <v>1</v>
      </c>
      <c r="K18">
        <v>127</v>
      </c>
      <c r="L18">
        <v>7</v>
      </c>
      <c r="M18">
        <v>1.02485</v>
      </c>
      <c r="O18">
        <v>167779</v>
      </c>
      <c r="P18" t="s">
        <v>542</v>
      </c>
      <c r="Q18">
        <v>4</v>
      </c>
      <c r="R18">
        <v>2</v>
      </c>
      <c r="S18">
        <v>1</v>
      </c>
    </row>
    <row r="19" spans="1:19" x14ac:dyDescent="0.25">
      <c r="A19" t="s">
        <v>64</v>
      </c>
      <c r="B19" t="s">
        <v>65</v>
      </c>
      <c r="C19" t="s">
        <v>38</v>
      </c>
      <c r="D19" t="s">
        <v>33</v>
      </c>
      <c r="E19" s="5">
        <v>153.9598</v>
      </c>
      <c r="F19">
        <v>13.6</v>
      </c>
      <c r="G19">
        <v>0.4</v>
      </c>
      <c r="H19">
        <v>5.22</v>
      </c>
      <c r="I19">
        <v>4.5</v>
      </c>
      <c r="J19">
        <v>108</v>
      </c>
      <c r="K19">
        <v>153</v>
      </c>
      <c r="L19">
        <v>26</v>
      </c>
      <c r="M19">
        <v>1.864123</v>
      </c>
      <c r="O19">
        <v>170016</v>
      </c>
      <c r="P19" t="s">
        <v>542</v>
      </c>
      <c r="Q19">
        <v>4</v>
      </c>
      <c r="R19">
        <v>3</v>
      </c>
      <c r="S19">
        <v>2</v>
      </c>
    </row>
    <row r="20" spans="1:19" x14ac:dyDescent="0.25">
      <c r="A20" t="s">
        <v>66</v>
      </c>
      <c r="B20" t="s">
        <v>67</v>
      </c>
      <c r="C20" t="s">
        <v>38</v>
      </c>
      <c r="D20" t="s">
        <v>33</v>
      </c>
      <c r="E20" s="5">
        <v>191.84129999999999</v>
      </c>
      <c r="F20">
        <v>22.2</v>
      </c>
      <c r="G20">
        <v>0.18</v>
      </c>
      <c r="H20">
        <v>1.71</v>
      </c>
      <c r="I20">
        <v>1.7</v>
      </c>
      <c r="J20">
        <v>6</v>
      </c>
      <c r="K20">
        <v>365</v>
      </c>
      <c r="L20">
        <v>22</v>
      </c>
      <c r="M20">
        <v>2.0485679999999999</v>
      </c>
      <c r="O20">
        <v>169306</v>
      </c>
      <c r="P20" t="s">
        <v>541</v>
      </c>
      <c r="Q20">
        <v>4</v>
      </c>
      <c r="R20">
        <v>2</v>
      </c>
      <c r="S20">
        <v>3</v>
      </c>
    </row>
    <row r="21" spans="1:19" x14ac:dyDescent="0.25">
      <c r="A21" t="s">
        <v>68</v>
      </c>
      <c r="B21" t="s">
        <v>69</v>
      </c>
      <c r="C21" t="s">
        <v>38</v>
      </c>
      <c r="D21" t="s">
        <v>33</v>
      </c>
      <c r="E21" s="5">
        <v>171.8031</v>
      </c>
      <c r="F21">
        <v>20.100000000000001</v>
      </c>
      <c r="G21">
        <v>0.05</v>
      </c>
      <c r="H21">
        <v>1.57</v>
      </c>
      <c r="I21">
        <v>3</v>
      </c>
      <c r="J21">
        <v>55</v>
      </c>
      <c r="K21">
        <v>337</v>
      </c>
      <c r="L21">
        <v>25</v>
      </c>
      <c r="M21">
        <v>2.427197</v>
      </c>
      <c r="O21">
        <v>168482</v>
      </c>
      <c r="P21" t="s">
        <v>541</v>
      </c>
      <c r="Q21">
        <v>4</v>
      </c>
      <c r="R21">
        <v>2</v>
      </c>
      <c r="S21">
        <v>3</v>
      </c>
    </row>
    <row r="22" spans="1:19" x14ac:dyDescent="0.25">
      <c r="A22" t="s">
        <v>70</v>
      </c>
      <c r="B22" t="s">
        <v>71</v>
      </c>
      <c r="C22" t="s">
        <v>27</v>
      </c>
      <c r="D22" t="s">
        <v>33</v>
      </c>
      <c r="E22" s="5">
        <v>117.7954</v>
      </c>
      <c r="F22">
        <v>3.6</v>
      </c>
      <c r="G22">
        <v>0.39</v>
      </c>
      <c r="H22">
        <v>10.199999999999999</v>
      </c>
      <c r="I22">
        <v>0</v>
      </c>
      <c r="J22">
        <v>36</v>
      </c>
      <c r="K22">
        <v>141</v>
      </c>
      <c r="L22">
        <v>11</v>
      </c>
      <c r="M22">
        <v>1.595988</v>
      </c>
      <c r="O22">
        <v>170894</v>
      </c>
      <c r="P22" t="s">
        <v>541</v>
      </c>
      <c r="Q22">
        <v>4</v>
      </c>
      <c r="R22">
        <v>4</v>
      </c>
      <c r="S22">
        <v>2</v>
      </c>
    </row>
    <row r="23" spans="1:19" x14ac:dyDescent="0.25">
      <c r="A23" t="s">
        <v>72</v>
      </c>
      <c r="B23" t="s">
        <v>73</v>
      </c>
      <c r="C23" t="s">
        <v>32</v>
      </c>
      <c r="D23" t="s">
        <v>33</v>
      </c>
      <c r="E23" s="5">
        <v>115.8394</v>
      </c>
      <c r="F23">
        <v>13.6</v>
      </c>
      <c r="G23">
        <v>0.19</v>
      </c>
      <c r="H23">
        <v>0.44</v>
      </c>
      <c r="I23">
        <v>2.8</v>
      </c>
      <c r="J23">
        <v>1</v>
      </c>
      <c r="K23">
        <v>120</v>
      </c>
      <c r="L23">
        <v>5</v>
      </c>
      <c r="M23">
        <v>1.0877129999999999</v>
      </c>
      <c r="O23">
        <v>168203</v>
      </c>
      <c r="P23" t="s">
        <v>542</v>
      </c>
      <c r="Q23">
        <v>3</v>
      </c>
      <c r="R23">
        <v>2</v>
      </c>
      <c r="S23">
        <v>1</v>
      </c>
    </row>
    <row r="24" spans="1:19" x14ac:dyDescent="0.25">
      <c r="A24" t="s">
        <v>74</v>
      </c>
      <c r="B24" t="s">
        <v>75</v>
      </c>
      <c r="C24" t="s">
        <v>32</v>
      </c>
      <c r="D24" t="s">
        <v>33</v>
      </c>
      <c r="E24" s="5">
        <v>118.03440000000001</v>
      </c>
      <c r="F24">
        <v>14.1</v>
      </c>
      <c r="G24">
        <v>0.2</v>
      </c>
      <c r="H24">
        <v>0.27</v>
      </c>
      <c r="I24">
        <v>2.2999999999999998</v>
      </c>
      <c r="J24">
        <v>1</v>
      </c>
      <c r="K24">
        <v>104</v>
      </c>
      <c r="L24">
        <v>5</v>
      </c>
      <c r="M24">
        <v>0.93193199999999998</v>
      </c>
      <c r="O24">
        <v>168201</v>
      </c>
      <c r="P24" t="s">
        <v>542</v>
      </c>
      <c r="Q24">
        <v>3</v>
      </c>
      <c r="R24">
        <v>2</v>
      </c>
      <c r="S24">
        <v>1</v>
      </c>
    </row>
    <row r="25" spans="1:19" x14ac:dyDescent="0.25">
      <c r="A25" t="s">
        <v>76</v>
      </c>
      <c r="B25" t="s">
        <v>77</v>
      </c>
      <c r="C25" t="s">
        <v>43</v>
      </c>
      <c r="D25" t="s">
        <v>23</v>
      </c>
      <c r="E25" s="5">
        <v>693.55830000000003</v>
      </c>
      <c r="F25">
        <v>62.6</v>
      </c>
      <c r="G25">
        <v>1.23</v>
      </c>
      <c r="H25">
        <v>21.4</v>
      </c>
      <c r="I25">
        <v>15.5</v>
      </c>
      <c r="J25">
        <v>12</v>
      </c>
      <c r="K25">
        <v>1390</v>
      </c>
      <c r="L25">
        <v>176</v>
      </c>
      <c r="M25">
        <v>2.275223</v>
      </c>
      <c r="N25" t="s">
        <v>24</v>
      </c>
      <c r="O25">
        <v>175199</v>
      </c>
      <c r="P25" t="s">
        <v>541</v>
      </c>
      <c r="Q25">
        <v>5</v>
      </c>
      <c r="R25">
        <v>3</v>
      </c>
      <c r="S25">
        <v>5</v>
      </c>
    </row>
    <row r="26" spans="1:19" x14ac:dyDescent="0.25">
      <c r="A26" t="s">
        <v>78</v>
      </c>
      <c r="B26" t="s">
        <v>79</v>
      </c>
      <c r="C26" t="s">
        <v>27</v>
      </c>
      <c r="D26" t="s">
        <v>33</v>
      </c>
      <c r="E26" s="5">
        <v>294.22750000000002</v>
      </c>
      <c r="F26">
        <v>1.01</v>
      </c>
      <c r="G26">
        <v>9.9499999999999993</v>
      </c>
      <c r="H26">
        <v>12.3</v>
      </c>
      <c r="I26">
        <v>0</v>
      </c>
      <c r="J26">
        <v>128</v>
      </c>
      <c r="K26">
        <v>135</v>
      </c>
      <c r="L26">
        <v>9</v>
      </c>
      <c r="M26">
        <v>0.92445500000000003</v>
      </c>
      <c r="O26">
        <v>172202</v>
      </c>
      <c r="P26" t="s">
        <v>541</v>
      </c>
      <c r="Q26">
        <v>4</v>
      </c>
      <c r="R26">
        <v>3</v>
      </c>
      <c r="S26">
        <v>2</v>
      </c>
    </row>
    <row r="27" spans="1:19" x14ac:dyDescent="0.25">
      <c r="A27" t="s">
        <v>80</v>
      </c>
      <c r="B27" t="s">
        <v>81</v>
      </c>
      <c r="C27" t="s">
        <v>43</v>
      </c>
      <c r="D27" t="s">
        <v>33</v>
      </c>
      <c r="E27" s="5">
        <v>1195.5143</v>
      </c>
      <c r="F27">
        <v>22.3</v>
      </c>
      <c r="G27">
        <v>51.4</v>
      </c>
      <c r="H27">
        <v>22.2</v>
      </c>
      <c r="I27">
        <v>5</v>
      </c>
      <c r="J27">
        <v>426</v>
      </c>
      <c r="K27">
        <v>558</v>
      </c>
      <c r="L27">
        <v>168</v>
      </c>
      <c r="M27">
        <v>0.96360199999999996</v>
      </c>
      <c r="O27">
        <v>174266</v>
      </c>
      <c r="P27" t="s">
        <v>541</v>
      </c>
      <c r="Q27">
        <v>4</v>
      </c>
      <c r="R27">
        <v>2</v>
      </c>
      <c r="S27">
        <v>4</v>
      </c>
    </row>
    <row r="28" spans="1:19" x14ac:dyDescent="0.25">
      <c r="A28" t="s">
        <v>82</v>
      </c>
      <c r="B28" t="s">
        <v>83</v>
      </c>
      <c r="C28" t="s">
        <v>38</v>
      </c>
      <c r="D28" t="s">
        <v>33</v>
      </c>
      <c r="E28" s="5">
        <v>158.34989999999999</v>
      </c>
      <c r="F28">
        <v>18.100000000000001</v>
      </c>
      <c r="G28">
        <v>0.08</v>
      </c>
      <c r="H28">
        <v>2.14</v>
      </c>
      <c r="I28">
        <v>1.3</v>
      </c>
      <c r="J28">
        <v>5</v>
      </c>
      <c r="K28">
        <v>417</v>
      </c>
      <c r="L28">
        <v>23</v>
      </c>
      <c r="M28">
        <v>2.8102320000000001</v>
      </c>
      <c r="O28">
        <v>170027</v>
      </c>
      <c r="P28" t="s">
        <v>541</v>
      </c>
      <c r="Q28">
        <v>3</v>
      </c>
      <c r="R28">
        <v>2</v>
      </c>
      <c r="S28">
        <v>3</v>
      </c>
    </row>
    <row r="29" spans="1:19" x14ac:dyDescent="0.25">
      <c r="A29" t="s">
        <v>84</v>
      </c>
      <c r="B29" t="s">
        <v>85</v>
      </c>
      <c r="C29" t="s">
        <v>22</v>
      </c>
      <c r="D29" t="s">
        <v>23</v>
      </c>
      <c r="E29" s="5">
        <v>245.84889999999999</v>
      </c>
      <c r="F29">
        <v>25.6</v>
      </c>
      <c r="G29">
        <v>0.97</v>
      </c>
      <c r="H29">
        <v>2.74</v>
      </c>
      <c r="I29">
        <v>1.6</v>
      </c>
      <c r="J29">
        <v>4</v>
      </c>
      <c r="K29">
        <v>86</v>
      </c>
      <c r="L29">
        <v>39</v>
      </c>
      <c r="M29">
        <v>0.52471299999999998</v>
      </c>
      <c r="N29" t="s">
        <v>24</v>
      </c>
      <c r="O29">
        <v>169704</v>
      </c>
      <c r="P29" t="s">
        <v>541</v>
      </c>
      <c r="Q29">
        <v>4</v>
      </c>
      <c r="R29">
        <v>2</v>
      </c>
      <c r="S29">
        <v>3</v>
      </c>
    </row>
    <row r="30" spans="1:19" x14ac:dyDescent="0.25">
      <c r="A30" t="s">
        <v>86</v>
      </c>
      <c r="B30" t="s">
        <v>87</v>
      </c>
      <c r="C30" t="s">
        <v>22</v>
      </c>
      <c r="D30" t="s">
        <v>23</v>
      </c>
      <c r="E30" s="5">
        <v>732.67880000000002</v>
      </c>
      <c r="F30">
        <v>76.2</v>
      </c>
      <c r="G30">
        <v>3.2</v>
      </c>
      <c r="H30">
        <v>7.54</v>
      </c>
      <c r="I30">
        <v>3.6</v>
      </c>
      <c r="J30">
        <v>5</v>
      </c>
      <c r="K30">
        <v>250</v>
      </c>
      <c r="L30">
        <v>116</v>
      </c>
      <c r="M30">
        <v>0.50636099999999995</v>
      </c>
      <c r="N30" t="s">
        <v>24</v>
      </c>
      <c r="O30">
        <v>169703</v>
      </c>
      <c r="P30" t="s">
        <v>541</v>
      </c>
      <c r="Q30">
        <v>4</v>
      </c>
      <c r="R30">
        <v>2</v>
      </c>
      <c r="S30">
        <v>4</v>
      </c>
    </row>
    <row r="31" spans="1:19" x14ac:dyDescent="0.25">
      <c r="A31" t="s">
        <v>88</v>
      </c>
      <c r="B31" t="s">
        <v>89</v>
      </c>
      <c r="C31" t="s">
        <v>22</v>
      </c>
      <c r="D31" t="s">
        <v>33</v>
      </c>
      <c r="E31" s="5">
        <v>224.09370000000001</v>
      </c>
      <c r="F31">
        <v>23.5</v>
      </c>
      <c r="G31">
        <v>0.83</v>
      </c>
      <c r="H31">
        <v>2.3199999999999998</v>
      </c>
      <c r="I31">
        <v>1.8</v>
      </c>
      <c r="J31">
        <v>1</v>
      </c>
      <c r="K31">
        <v>79</v>
      </c>
      <c r="L31">
        <v>44</v>
      </c>
      <c r="M31">
        <v>0.55334000000000005</v>
      </c>
      <c r="O31">
        <v>168875</v>
      </c>
      <c r="P31" t="s">
        <v>541</v>
      </c>
      <c r="Q31">
        <v>4</v>
      </c>
      <c r="R31">
        <v>2</v>
      </c>
      <c r="S31">
        <v>3</v>
      </c>
    </row>
    <row r="32" spans="1:19" x14ac:dyDescent="0.25">
      <c r="A32" t="s">
        <v>90</v>
      </c>
      <c r="B32" t="s">
        <v>91</v>
      </c>
      <c r="C32" t="s">
        <v>22</v>
      </c>
      <c r="D32" t="s">
        <v>23</v>
      </c>
      <c r="E32" s="5">
        <v>725.28869999999995</v>
      </c>
      <c r="F32">
        <v>76.2</v>
      </c>
      <c r="G32">
        <v>2.68</v>
      </c>
      <c r="H32">
        <v>7.5</v>
      </c>
      <c r="I32">
        <v>3.4</v>
      </c>
      <c r="J32">
        <v>4</v>
      </c>
      <c r="K32">
        <v>268</v>
      </c>
      <c r="L32">
        <v>143</v>
      </c>
      <c r="M32">
        <v>0.57218599999999997</v>
      </c>
      <c r="N32" t="s">
        <v>24</v>
      </c>
      <c r="O32">
        <v>169706</v>
      </c>
      <c r="P32" t="s">
        <v>541</v>
      </c>
      <c r="Q32">
        <v>4</v>
      </c>
      <c r="R32">
        <v>2</v>
      </c>
      <c r="S32">
        <v>4</v>
      </c>
    </row>
    <row r="33" spans="1:19" x14ac:dyDescent="0.25">
      <c r="A33" t="s">
        <v>92</v>
      </c>
      <c r="B33" t="s">
        <v>93</v>
      </c>
      <c r="C33" t="s">
        <v>38</v>
      </c>
      <c r="D33" t="s">
        <v>33</v>
      </c>
      <c r="E33" s="5">
        <v>57.680700000000002</v>
      </c>
      <c r="F33">
        <v>4.21</v>
      </c>
      <c r="G33">
        <v>0.56999999999999995</v>
      </c>
      <c r="H33">
        <v>3.63</v>
      </c>
      <c r="I33">
        <v>2.9</v>
      </c>
      <c r="J33">
        <v>74</v>
      </c>
      <c r="K33">
        <v>346</v>
      </c>
      <c r="L33">
        <v>75</v>
      </c>
      <c r="M33">
        <v>8.5817270000000008</v>
      </c>
      <c r="O33">
        <v>169287</v>
      </c>
      <c r="P33" t="s">
        <v>542</v>
      </c>
      <c r="Q33">
        <v>5</v>
      </c>
      <c r="R33">
        <v>5</v>
      </c>
      <c r="S33">
        <v>1</v>
      </c>
    </row>
    <row r="34" spans="1:19" x14ac:dyDescent="0.25">
      <c r="A34" t="s">
        <v>94</v>
      </c>
      <c r="B34" t="s">
        <v>95</v>
      </c>
      <c r="C34" t="s">
        <v>43</v>
      </c>
      <c r="D34" t="s">
        <v>33</v>
      </c>
      <c r="E34" s="5">
        <v>170.32499999999999</v>
      </c>
      <c r="F34">
        <v>0.97</v>
      </c>
      <c r="G34">
        <v>4.1900000000000004</v>
      </c>
      <c r="H34">
        <v>10.9</v>
      </c>
      <c r="I34">
        <v>0.9</v>
      </c>
      <c r="J34">
        <v>33</v>
      </c>
      <c r="M34">
        <v>0.193747</v>
      </c>
      <c r="O34">
        <v>173788</v>
      </c>
      <c r="P34" t="s">
        <v>541</v>
      </c>
      <c r="Q34">
        <v>5</v>
      </c>
      <c r="R34">
        <v>3</v>
      </c>
      <c r="S34">
        <v>2</v>
      </c>
    </row>
    <row r="35" spans="1:19" x14ac:dyDescent="0.25">
      <c r="A35" t="s">
        <v>96</v>
      </c>
      <c r="B35" t="s">
        <v>97</v>
      </c>
      <c r="C35" t="s">
        <v>43</v>
      </c>
      <c r="D35" t="s">
        <v>33</v>
      </c>
      <c r="E35" s="5">
        <v>117.5564</v>
      </c>
      <c r="F35">
        <v>2.19</v>
      </c>
      <c r="G35">
        <v>2.71</v>
      </c>
      <c r="H35">
        <v>6.38</v>
      </c>
      <c r="I35">
        <v>0.8</v>
      </c>
      <c r="J35">
        <v>34</v>
      </c>
      <c r="M35">
        <v>0.28922300000000001</v>
      </c>
      <c r="O35">
        <v>173787</v>
      </c>
      <c r="P35" t="s">
        <v>541</v>
      </c>
      <c r="Q35">
        <v>5</v>
      </c>
      <c r="R35">
        <v>3</v>
      </c>
      <c r="S35">
        <v>2</v>
      </c>
    </row>
    <row r="36" spans="1:19" x14ac:dyDescent="0.25">
      <c r="A36" t="s">
        <v>98</v>
      </c>
      <c r="B36" t="s">
        <v>99</v>
      </c>
      <c r="C36" t="s">
        <v>43</v>
      </c>
      <c r="D36" t="s">
        <v>23</v>
      </c>
      <c r="E36" s="5">
        <v>678.38810000000001</v>
      </c>
      <c r="F36">
        <v>62.4</v>
      </c>
      <c r="G36">
        <v>1.1399999999999999</v>
      </c>
      <c r="H36">
        <v>21.9</v>
      </c>
      <c r="I36">
        <v>20.2</v>
      </c>
      <c r="J36">
        <v>14</v>
      </c>
      <c r="K36">
        <v>1390</v>
      </c>
      <c r="L36">
        <v>189</v>
      </c>
      <c r="M36">
        <v>2.3482129999999999</v>
      </c>
      <c r="N36" t="s">
        <v>24</v>
      </c>
      <c r="O36">
        <v>175190</v>
      </c>
      <c r="P36" t="s">
        <v>541</v>
      </c>
      <c r="Q36">
        <v>5</v>
      </c>
      <c r="R36">
        <v>4</v>
      </c>
      <c r="S36">
        <v>5</v>
      </c>
    </row>
    <row r="37" spans="1:19" x14ac:dyDescent="0.25">
      <c r="A37" t="s">
        <v>100</v>
      </c>
      <c r="B37" t="s">
        <v>101</v>
      </c>
      <c r="C37" t="s">
        <v>38</v>
      </c>
      <c r="D37" t="s">
        <v>33</v>
      </c>
      <c r="E37" s="5">
        <v>65.982799999999997</v>
      </c>
      <c r="F37">
        <v>7.54</v>
      </c>
      <c r="G37">
        <v>0.21</v>
      </c>
      <c r="H37">
        <v>1.79</v>
      </c>
      <c r="I37">
        <v>2.6</v>
      </c>
      <c r="J37">
        <v>3</v>
      </c>
      <c r="K37">
        <v>186</v>
      </c>
      <c r="L37">
        <v>22</v>
      </c>
      <c r="M37">
        <v>3.197803</v>
      </c>
      <c r="O37">
        <v>169962</v>
      </c>
      <c r="P37" t="s">
        <v>542</v>
      </c>
      <c r="Q37">
        <v>4</v>
      </c>
      <c r="R37">
        <v>3</v>
      </c>
      <c r="S37">
        <v>1</v>
      </c>
    </row>
    <row r="38" spans="1:19" x14ac:dyDescent="0.25">
      <c r="A38" t="s">
        <v>102</v>
      </c>
      <c r="B38" t="s">
        <v>103</v>
      </c>
      <c r="C38" t="s">
        <v>104</v>
      </c>
      <c r="D38" t="s">
        <v>33</v>
      </c>
      <c r="E38" s="5">
        <v>172.28110000000001</v>
      </c>
      <c r="F38">
        <v>0</v>
      </c>
      <c r="G38">
        <v>0.96</v>
      </c>
      <c r="H38">
        <v>19.399999999999999</v>
      </c>
      <c r="I38">
        <v>0</v>
      </c>
      <c r="J38">
        <v>247</v>
      </c>
      <c r="K38">
        <v>179</v>
      </c>
      <c r="L38">
        <v>23</v>
      </c>
      <c r="M38">
        <v>2.6062059999999998</v>
      </c>
      <c r="O38">
        <v>173709</v>
      </c>
      <c r="P38" t="s">
        <v>541</v>
      </c>
      <c r="Q38">
        <v>4</v>
      </c>
      <c r="R38">
        <v>4</v>
      </c>
      <c r="S38">
        <v>2</v>
      </c>
    </row>
    <row r="39" spans="1:19" x14ac:dyDescent="0.25">
      <c r="A39" t="s">
        <v>105</v>
      </c>
      <c r="B39" t="s">
        <v>106</v>
      </c>
      <c r="C39" t="s">
        <v>107</v>
      </c>
      <c r="D39" t="s">
        <v>108</v>
      </c>
      <c r="E39" s="5">
        <v>429.62720000000002</v>
      </c>
      <c r="F39">
        <v>0</v>
      </c>
      <c r="G39">
        <v>15</v>
      </c>
      <c r="H39">
        <v>18.600000000000001</v>
      </c>
      <c r="I39">
        <v>0</v>
      </c>
      <c r="J39">
        <v>66</v>
      </c>
      <c r="K39">
        <v>295</v>
      </c>
      <c r="L39">
        <v>18</v>
      </c>
      <c r="M39">
        <v>0.88216000000000006</v>
      </c>
      <c r="N39" t="s">
        <v>109</v>
      </c>
      <c r="O39">
        <v>171796</v>
      </c>
      <c r="P39" t="s">
        <v>541</v>
      </c>
      <c r="Q39">
        <v>2</v>
      </c>
      <c r="R39">
        <v>2</v>
      </c>
      <c r="S39">
        <v>2</v>
      </c>
    </row>
    <row r="40" spans="1:19" x14ac:dyDescent="0.25">
      <c r="A40" t="s">
        <v>110</v>
      </c>
      <c r="B40" t="s">
        <v>111</v>
      </c>
      <c r="C40" t="s">
        <v>38</v>
      </c>
      <c r="D40" t="s">
        <v>33</v>
      </c>
      <c r="E40" s="5">
        <v>121.7075</v>
      </c>
      <c r="F40">
        <v>13.9</v>
      </c>
      <c r="G40">
        <v>0.77</v>
      </c>
      <c r="H40">
        <v>1.95</v>
      </c>
      <c r="I40">
        <v>1.7</v>
      </c>
      <c r="J40">
        <v>12</v>
      </c>
      <c r="K40">
        <v>136</v>
      </c>
      <c r="L40">
        <v>15</v>
      </c>
      <c r="M40">
        <v>1.3392770000000001</v>
      </c>
      <c r="O40">
        <v>169345</v>
      </c>
      <c r="P40" t="s">
        <v>542</v>
      </c>
      <c r="Q40">
        <v>4</v>
      </c>
      <c r="R40">
        <v>2</v>
      </c>
      <c r="S40">
        <v>1</v>
      </c>
    </row>
    <row r="41" spans="1:19" x14ac:dyDescent="0.25">
      <c r="A41" t="s">
        <v>112</v>
      </c>
      <c r="B41" t="s">
        <v>113</v>
      </c>
      <c r="C41" t="s">
        <v>38</v>
      </c>
      <c r="D41" t="s">
        <v>33</v>
      </c>
      <c r="E41" s="5">
        <v>175.95410000000001</v>
      </c>
      <c r="F41">
        <v>20.7</v>
      </c>
      <c r="G41">
        <v>0.78</v>
      </c>
      <c r="H41">
        <v>3.02</v>
      </c>
      <c r="I41">
        <v>2.1</v>
      </c>
      <c r="J41">
        <v>3</v>
      </c>
      <c r="K41">
        <v>213</v>
      </c>
      <c r="L41">
        <v>18</v>
      </c>
      <c r="M41">
        <v>1.3298920000000001</v>
      </c>
      <c r="O41">
        <v>168398</v>
      </c>
      <c r="P41" t="s">
        <v>542</v>
      </c>
      <c r="Q41">
        <v>4</v>
      </c>
      <c r="R41">
        <v>2</v>
      </c>
      <c r="S41">
        <v>1</v>
      </c>
    </row>
    <row r="42" spans="1:19" x14ac:dyDescent="0.25">
      <c r="A42" t="s">
        <v>114</v>
      </c>
      <c r="B42" t="s">
        <v>115</v>
      </c>
      <c r="C42" t="s">
        <v>22</v>
      </c>
      <c r="D42" t="s">
        <v>23</v>
      </c>
      <c r="E42" s="5">
        <v>311.83170000000001</v>
      </c>
      <c r="F42">
        <v>30.9</v>
      </c>
      <c r="G42">
        <v>1.48</v>
      </c>
      <c r="H42">
        <v>5.67</v>
      </c>
      <c r="I42">
        <v>4.5</v>
      </c>
      <c r="J42">
        <v>4</v>
      </c>
      <c r="K42">
        <v>71</v>
      </c>
      <c r="L42">
        <v>41</v>
      </c>
      <c r="M42">
        <v>0.37199599999999999</v>
      </c>
      <c r="N42" t="s">
        <v>24</v>
      </c>
      <c r="O42">
        <v>172024</v>
      </c>
      <c r="P42" t="s">
        <v>541</v>
      </c>
      <c r="Q42">
        <v>4</v>
      </c>
      <c r="R42">
        <v>3</v>
      </c>
      <c r="S42">
        <v>4</v>
      </c>
    </row>
    <row r="43" spans="1:19" x14ac:dyDescent="0.25">
      <c r="A43" t="s">
        <v>116</v>
      </c>
      <c r="B43" t="s">
        <v>117</v>
      </c>
      <c r="C43" t="s">
        <v>22</v>
      </c>
      <c r="D43" t="s">
        <v>23</v>
      </c>
      <c r="E43" s="5">
        <v>721.89869999999996</v>
      </c>
      <c r="F43">
        <v>73.3</v>
      </c>
      <c r="G43">
        <v>2.5499999999999998</v>
      </c>
      <c r="H43">
        <v>13.2</v>
      </c>
      <c r="I43">
        <v>11.3</v>
      </c>
      <c r="J43">
        <v>12</v>
      </c>
      <c r="K43">
        <v>318</v>
      </c>
      <c r="L43">
        <v>94</v>
      </c>
      <c r="M43">
        <v>0.58733999999999997</v>
      </c>
      <c r="N43" t="s">
        <v>24</v>
      </c>
      <c r="O43">
        <v>172025</v>
      </c>
      <c r="P43" t="s">
        <v>541</v>
      </c>
      <c r="Q43">
        <v>5</v>
      </c>
      <c r="R43">
        <v>3</v>
      </c>
      <c r="S43">
        <v>5</v>
      </c>
    </row>
    <row r="44" spans="1:19" x14ac:dyDescent="0.25">
      <c r="A44" t="s">
        <v>118</v>
      </c>
      <c r="B44" t="s">
        <v>119</v>
      </c>
      <c r="C44" t="s">
        <v>120</v>
      </c>
      <c r="D44" t="s">
        <v>33</v>
      </c>
      <c r="E44" s="5">
        <v>239.50290000000001</v>
      </c>
      <c r="F44">
        <v>0</v>
      </c>
      <c r="G44">
        <v>2.93</v>
      </c>
      <c r="H44">
        <v>21.8</v>
      </c>
      <c r="I44">
        <v>0</v>
      </c>
      <c r="J44">
        <v>76</v>
      </c>
      <c r="K44">
        <v>359</v>
      </c>
      <c r="L44">
        <v>22</v>
      </c>
      <c r="M44">
        <v>1.9081189999999999</v>
      </c>
      <c r="O44">
        <v>167816</v>
      </c>
      <c r="P44" t="s">
        <v>541</v>
      </c>
      <c r="Q44">
        <v>2</v>
      </c>
      <c r="R44">
        <v>3</v>
      </c>
      <c r="S44">
        <v>3</v>
      </c>
    </row>
    <row r="45" spans="1:19" x14ac:dyDescent="0.25">
      <c r="A45" t="s">
        <v>121</v>
      </c>
      <c r="B45" t="s">
        <v>122</v>
      </c>
      <c r="C45" t="s">
        <v>123</v>
      </c>
      <c r="D45" t="s">
        <v>33</v>
      </c>
      <c r="E45" s="5">
        <v>1195.5143</v>
      </c>
      <c r="F45">
        <v>21</v>
      </c>
      <c r="G45">
        <v>52.5</v>
      </c>
      <c r="H45">
        <v>21</v>
      </c>
      <c r="I45">
        <v>10.9</v>
      </c>
      <c r="J45">
        <v>3</v>
      </c>
      <c r="K45">
        <v>713</v>
      </c>
      <c r="L45">
        <v>279</v>
      </c>
      <c r="M45">
        <v>0.83227799999999996</v>
      </c>
      <c r="O45">
        <v>170158</v>
      </c>
      <c r="P45" t="s">
        <v>541</v>
      </c>
      <c r="Q45">
        <v>5</v>
      </c>
      <c r="R45">
        <v>2</v>
      </c>
      <c r="S45">
        <v>4</v>
      </c>
    </row>
    <row r="46" spans="1:19" x14ac:dyDescent="0.25">
      <c r="A46" t="s">
        <v>124</v>
      </c>
      <c r="B46" t="s">
        <v>125</v>
      </c>
      <c r="C46" t="s">
        <v>126</v>
      </c>
      <c r="D46" t="s">
        <v>33</v>
      </c>
      <c r="E46" s="5">
        <v>104.34229999999999</v>
      </c>
      <c r="F46">
        <v>9.84</v>
      </c>
      <c r="G46">
        <v>1.07</v>
      </c>
      <c r="H46">
        <v>0.84</v>
      </c>
      <c r="I46">
        <v>3.2</v>
      </c>
      <c r="J46">
        <v>6</v>
      </c>
      <c r="K46">
        <v>75</v>
      </c>
      <c r="L46">
        <v>4</v>
      </c>
      <c r="M46">
        <v>0.81462599999999996</v>
      </c>
      <c r="O46">
        <v>168982</v>
      </c>
      <c r="P46" t="s">
        <v>542</v>
      </c>
      <c r="Q46">
        <v>5</v>
      </c>
      <c r="R46">
        <v>3</v>
      </c>
      <c r="S46">
        <v>1</v>
      </c>
    </row>
    <row r="47" spans="1:19" x14ac:dyDescent="0.25">
      <c r="A47" t="s">
        <v>127</v>
      </c>
      <c r="B47" t="s">
        <v>128</v>
      </c>
      <c r="C47" t="s">
        <v>126</v>
      </c>
      <c r="D47" t="s">
        <v>33</v>
      </c>
      <c r="E47" s="5">
        <v>88.455100000000002</v>
      </c>
      <c r="F47">
        <v>10.4</v>
      </c>
      <c r="G47">
        <v>0</v>
      </c>
      <c r="H47">
        <v>0.7</v>
      </c>
      <c r="M47">
        <v>0</v>
      </c>
      <c r="O47">
        <v>169799</v>
      </c>
      <c r="P47" t="s">
        <v>542</v>
      </c>
      <c r="Q47">
        <v>5</v>
      </c>
      <c r="R47">
        <v>2</v>
      </c>
      <c r="S47">
        <v>1</v>
      </c>
    </row>
    <row r="48" spans="1:19" x14ac:dyDescent="0.25">
      <c r="A48" t="s">
        <v>129</v>
      </c>
      <c r="B48" t="s">
        <v>130</v>
      </c>
      <c r="C48" t="s">
        <v>126</v>
      </c>
      <c r="D48" t="s">
        <v>33</v>
      </c>
      <c r="E48" s="5">
        <v>121.9465</v>
      </c>
      <c r="F48">
        <v>12.3</v>
      </c>
      <c r="G48">
        <v>0.76</v>
      </c>
      <c r="H48">
        <v>1.22</v>
      </c>
      <c r="I48">
        <v>2.6</v>
      </c>
      <c r="J48">
        <v>6</v>
      </c>
      <c r="K48">
        <v>75</v>
      </c>
      <c r="L48">
        <v>7</v>
      </c>
      <c r="M48">
        <v>0.72162800000000005</v>
      </c>
      <c r="O48">
        <v>167640</v>
      </c>
      <c r="P48" t="s">
        <v>542</v>
      </c>
      <c r="Q48">
        <v>5</v>
      </c>
      <c r="R48">
        <v>2</v>
      </c>
      <c r="S48">
        <v>1</v>
      </c>
    </row>
    <row r="49" spans="1:19" x14ac:dyDescent="0.25">
      <c r="A49" t="s">
        <v>131</v>
      </c>
      <c r="B49" t="s">
        <v>132</v>
      </c>
      <c r="C49" t="s">
        <v>126</v>
      </c>
      <c r="D49" t="s">
        <v>33</v>
      </c>
      <c r="E49" s="5">
        <v>292.2715</v>
      </c>
      <c r="F49">
        <v>0</v>
      </c>
      <c r="G49">
        <v>1.8</v>
      </c>
      <c r="H49">
        <v>32.5</v>
      </c>
      <c r="J49">
        <v>41</v>
      </c>
      <c r="K49">
        <v>376</v>
      </c>
      <c r="L49">
        <v>27</v>
      </c>
      <c r="M49">
        <v>1.5191349999999999</v>
      </c>
      <c r="O49">
        <v>167651</v>
      </c>
      <c r="P49" t="s">
        <v>541</v>
      </c>
      <c r="Q49">
        <v>3</v>
      </c>
      <c r="R49">
        <v>4</v>
      </c>
      <c r="S49">
        <v>3</v>
      </c>
    </row>
    <row r="50" spans="1:19" x14ac:dyDescent="0.25">
      <c r="A50" t="s">
        <v>133</v>
      </c>
      <c r="B50" t="s">
        <v>134</v>
      </c>
      <c r="C50" t="s">
        <v>126</v>
      </c>
      <c r="D50" t="s">
        <v>33</v>
      </c>
      <c r="E50" s="5">
        <v>194.51429999999999</v>
      </c>
      <c r="F50">
        <v>0</v>
      </c>
      <c r="G50">
        <v>1.3</v>
      </c>
      <c r="H50">
        <v>21.4</v>
      </c>
      <c r="J50">
        <v>43</v>
      </c>
      <c r="K50">
        <v>355</v>
      </c>
      <c r="L50">
        <v>22</v>
      </c>
      <c r="M50">
        <v>2.159224</v>
      </c>
      <c r="O50">
        <v>167649</v>
      </c>
      <c r="P50" t="s">
        <v>541</v>
      </c>
      <c r="Q50">
        <v>3</v>
      </c>
      <c r="R50">
        <v>4</v>
      </c>
      <c r="S50">
        <v>3</v>
      </c>
    </row>
    <row r="51" spans="1:19" x14ac:dyDescent="0.25">
      <c r="A51" t="s">
        <v>135</v>
      </c>
      <c r="B51" t="s">
        <v>136</v>
      </c>
      <c r="C51" t="s">
        <v>126</v>
      </c>
      <c r="D51" t="s">
        <v>33</v>
      </c>
      <c r="E51" s="5">
        <v>243.41489999999999</v>
      </c>
      <c r="F51">
        <v>0</v>
      </c>
      <c r="G51">
        <v>3.37</v>
      </c>
      <c r="H51">
        <v>22.6</v>
      </c>
      <c r="I51">
        <v>0</v>
      </c>
      <c r="J51">
        <v>52</v>
      </c>
      <c r="K51">
        <v>320</v>
      </c>
      <c r="L51">
        <v>26</v>
      </c>
      <c r="M51">
        <v>1.635068</v>
      </c>
      <c r="O51">
        <v>168050</v>
      </c>
      <c r="P51" t="s">
        <v>541</v>
      </c>
      <c r="Q51">
        <v>4</v>
      </c>
      <c r="R51">
        <v>3</v>
      </c>
      <c r="S51">
        <v>3</v>
      </c>
    </row>
    <row r="52" spans="1:19" x14ac:dyDescent="0.25">
      <c r="A52" t="s">
        <v>137</v>
      </c>
      <c r="B52" t="s">
        <v>138</v>
      </c>
      <c r="C52" t="s">
        <v>126</v>
      </c>
      <c r="D52" t="s">
        <v>33</v>
      </c>
      <c r="E52" s="5">
        <v>317.69979999999998</v>
      </c>
      <c r="F52">
        <v>0</v>
      </c>
      <c r="G52">
        <v>4.82</v>
      </c>
      <c r="H52">
        <v>28.8</v>
      </c>
      <c r="I52">
        <v>0</v>
      </c>
      <c r="J52">
        <v>45</v>
      </c>
      <c r="K52">
        <v>245</v>
      </c>
      <c r="L52">
        <v>24</v>
      </c>
      <c r="M52">
        <v>0.98835399999999995</v>
      </c>
      <c r="O52">
        <v>169822</v>
      </c>
      <c r="P52" t="s">
        <v>541</v>
      </c>
      <c r="Q52">
        <v>4</v>
      </c>
      <c r="R52">
        <v>3</v>
      </c>
      <c r="S52">
        <v>3</v>
      </c>
    </row>
    <row r="53" spans="1:19" x14ac:dyDescent="0.25">
      <c r="A53" t="s">
        <v>139</v>
      </c>
      <c r="B53" t="s">
        <v>140</v>
      </c>
      <c r="C53" t="s">
        <v>126</v>
      </c>
      <c r="D53" t="s">
        <v>23</v>
      </c>
      <c r="E53" s="5">
        <v>773.1893</v>
      </c>
      <c r="F53">
        <v>75.2</v>
      </c>
      <c r="G53">
        <v>5.18</v>
      </c>
      <c r="H53">
        <v>9.7200000000000006</v>
      </c>
      <c r="I53">
        <v>16.600000000000001</v>
      </c>
      <c r="J53">
        <v>4</v>
      </c>
      <c r="K53">
        <v>532</v>
      </c>
      <c r="L53">
        <v>123</v>
      </c>
      <c r="M53">
        <v>0.85231400000000002</v>
      </c>
      <c r="N53" t="s">
        <v>24</v>
      </c>
      <c r="O53">
        <v>168037</v>
      </c>
      <c r="P53" t="s">
        <v>541</v>
      </c>
      <c r="Q53">
        <v>4</v>
      </c>
      <c r="R53">
        <v>3</v>
      </c>
      <c r="S53">
        <v>4</v>
      </c>
    </row>
    <row r="54" spans="1:19" x14ac:dyDescent="0.25">
      <c r="A54" t="s">
        <v>141</v>
      </c>
      <c r="B54" t="s">
        <v>142</v>
      </c>
      <c r="C54" t="s">
        <v>126</v>
      </c>
      <c r="D54" t="s">
        <v>33</v>
      </c>
      <c r="E54" s="5">
        <v>110.44929999999999</v>
      </c>
      <c r="F54">
        <v>12.3</v>
      </c>
      <c r="G54">
        <v>0.2</v>
      </c>
      <c r="H54">
        <v>1.1000000000000001</v>
      </c>
      <c r="I54">
        <v>6.7</v>
      </c>
      <c r="J54">
        <v>26</v>
      </c>
      <c r="K54">
        <v>140</v>
      </c>
      <c r="M54">
        <v>1.5029520000000001</v>
      </c>
      <c r="O54">
        <v>169804</v>
      </c>
      <c r="P54" t="s">
        <v>542</v>
      </c>
      <c r="Q54">
        <v>5</v>
      </c>
      <c r="R54">
        <v>3</v>
      </c>
      <c r="S54">
        <v>1</v>
      </c>
    </row>
    <row r="55" spans="1:19" x14ac:dyDescent="0.25">
      <c r="A55" t="s">
        <v>143</v>
      </c>
      <c r="B55" t="s">
        <v>144</v>
      </c>
      <c r="C55" t="s">
        <v>126</v>
      </c>
      <c r="D55" t="s">
        <v>33</v>
      </c>
      <c r="E55" s="5">
        <v>109.9713</v>
      </c>
      <c r="F55">
        <v>12.2</v>
      </c>
      <c r="G55">
        <v>0.5</v>
      </c>
      <c r="H55">
        <v>0.4</v>
      </c>
      <c r="M55">
        <v>0</v>
      </c>
      <c r="O55">
        <v>169805</v>
      </c>
      <c r="P55" t="s">
        <v>542</v>
      </c>
      <c r="Q55">
        <v>5</v>
      </c>
      <c r="R55">
        <v>2</v>
      </c>
      <c r="S55">
        <v>1</v>
      </c>
    </row>
    <row r="56" spans="1:19" x14ac:dyDescent="0.25">
      <c r="A56" t="s">
        <v>145</v>
      </c>
      <c r="B56" t="s">
        <v>146</v>
      </c>
      <c r="C56" t="s">
        <v>126</v>
      </c>
      <c r="D56" t="s">
        <v>33</v>
      </c>
      <c r="E56" s="5">
        <v>231.6788</v>
      </c>
      <c r="F56">
        <v>0</v>
      </c>
      <c r="G56">
        <v>2.66</v>
      </c>
      <c r="H56">
        <v>21.5</v>
      </c>
      <c r="M56">
        <v>0</v>
      </c>
      <c r="O56">
        <v>167622</v>
      </c>
      <c r="P56" t="s">
        <v>541</v>
      </c>
      <c r="Q56">
        <v>4</v>
      </c>
      <c r="R56">
        <v>3</v>
      </c>
      <c r="S56">
        <v>2</v>
      </c>
    </row>
    <row r="57" spans="1:19" x14ac:dyDescent="0.25">
      <c r="A57" t="s">
        <v>147</v>
      </c>
      <c r="B57" t="s">
        <v>148</v>
      </c>
      <c r="C57" t="s">
        <v>126</v>
      </c>
      <c r="D57" t="s">
        <v>33</v>
      </c>
      <c r="E57" s="5">
        <v>285.92540000000002</v>
      </c>
      <c r="F57">
        <v>0</v>
      </c>
      <c r="G57">
        <v>2.8</v>
      </c>
      <c r="H57">
        <v>29.4</v>
      </c>
      <c r="J57">
        <v>56</v>
      </c>
      <c r="K57">
        <v>379</v>
      </c>
      <c r="L57">
        <v>26</v>
      </c>
      <c r="M57">
        <v>1.612309</v>
      </c>
      <c r="O57">
        <v>168055</v>
      </c>
      <c r="P57" t="s">
        <v>541</v>
      </c>
      <c r="Q57">
        <v>4</v>
      </c>
      <c r="R57">
        <v>4</v>
      </c>
      <c r="S57">
        <v>3</v>
      </c>
    </row>
    <row r="58" spans="1:19" x14ac:dyDescent="0.25">
      <c r="A58" t="s">
        <v>149</v>
      </c>
      <c r="B58" t="s">
        <v>150</v>
      </c>
      <c r="C58" t="s">
        <v>126</v>
      </c>
      <c r="D58" t="s">
        <v>33</v>
      </c>
      <c r="E58" s="5">
        <v>193.79730000000001</v>
      </c>
      <c r="F58">
        <v>0</v>
      </c>
      <c r="G58">
        <v>1.8</v>
      </c>
      <c r="H58">
        <v>20.100000000000001</v>
      </c>
      <c r="I58">
        <v>0</v>
      </c>
      <c r="J58">
        <v>49</v>
      </c>
      <c r="K58">
        <v>328</v>
      </c>
      <c r="L58">
        <v>22</v>
      </c>
      <c r="M58">
        <v>2.0588519999999999</v>
      </c>
      <c r="O58">
        <v>168056</v>
      </c>
      <c r="P58" t="s">
        <v>541</v>
      </c>
      <c r="Q58">
        <v>4</v>
      </c>
      <c r="R58">
        <v>4</v>
      </c>
      <c r="S58">
        <v>3</v>
      </c>
    </row>
    <row r="59" spans="1:19" x14ac:dyDescent="0.25">
      <c r="A59" t="s">
        <v>151</v>
      </c>
      <c r="B59" t="s">
        <v>152</v>
      </c>
      <c r="C59" t="s">
        <v>126</v>
      </c>
      <c r="D59" t="s">
        <v>33</v>
      </c>
      <c r="E59" s="5">
        <v>295.94459999999998</v>
      </c>
      <c r="F59">
        <v>0</v>
      </c>
      <c r="G59">
        <v>2.85</v>
      </c>
      <c r="H59">
        <v>30.6</v>
      </c>
      <c r="I59">
        <v>0</v>
      </c>
      <c r="J59">
        <v>50</v>
      </c>
      <c r="K59">
        <v>369</v>
      </c>
      <c r="L59">
        <v>26</v>
      </c>
      <c r="M59">
        <v>1.50366</v>
      </c>
      <c r="O59">
        <v>168057</v>
      </c>
      <c r="P59" t="s">
        <v>541</v>
      </c>
      <c r="Q59">
        <v>4</v>
      </c>
      <c r="R59">
        <v>4</v>
      </c>
      <c r="S59">
        <v>3</v>
      </c>
    </row>
    <row r="60" spans="1:19" x14ac:dyDescent="0.25">
      <c r="A60" t="s">
        <v>153</v>
      </c>
      <c r="B60" t="s">
        <v>154</v>
      </c>
      <c r="C60" t="s">
        <v>126</v>
      </c>
      <c r="D60" t="s">
        <v>33</v>
      </c>
      <c r="E60" s="5">
        <v>195.7533</v>
      </c>
      <c r="F60">
        <v>0</v>
      </c>
      <c r="G60">
        <v>2.1</v>
      </c>
      <c r="H60">
        <v>19.7</v>
      </c>
      <c r="I60">
        <v>0</v>
      </c>
      <c r="J60">
        <v>43</v>
      </c>
      <c r="K60">
        <v>367</v>
      </c>
      <c r="L60">
        <v>24</v>
      </c>
      <c r="M60">
        <v>2.217076</v>
      </c>
      <c r="O60">
        <v>167652</v>
      </c>
      <c r="P60" t="s">
        <v>541</v>
      </c>
      <c r="Q60">
        <v>4</v>
      </c>
      <c r="R60">
        <v>4</v>
      </c>
      <c r="S60">
        <v>2</v>
      </c>
    </row>
    <row r="61" spans="1:19" x14ac:dyDescent="0.25">
      <c r="A61" t="s">
        <v>155</v>
      </c>
      <c r="B61" t="s">
        <v>156</v>
      </c>
      <c r="C61" t="s">
        <v>126</v>
      </c>
      <c r="D61" t="s">
        <v>28</v>
      </c>
      <c r="E61" s="5">
        <v>226.0497</v>
      </c>
      <c r="F61">
        <v>0</v>
      </c>
      <c r="G61">
        <v>2.73</v>
      </c>
      <c r="H61">
        <v>22.1</v>
      </c>
      <c r="I61">
        <v>0</v>
      </c>
      <c r="J61">
        <v>86</v>
      </c>
      <c r="K61">
        <v>501</v>
      </c>
      <c r="L61">
        <v>29</v>
      </c>
      <c r="M61">
        <v>2.7250640000000002</v>
      </c>
      <c r="N61" t="s">
        <v>29</v>
      </c>
      <c r="O61">
        <v>169812</v>
      </c>
      <c r="P61" t="s">
        <v>541</v>
      </c>
      <c r="Q61">
        <v>5</v>
      </c>
      <c r="R61">
        <v>3</v>
      </c>
      <c r="S61">
        <v>3</v>
      </c>
    </row>
    <row r="62" spans="1:19" x14ac:dyDescent="0.25">
      <c r="A62" t="s">
        <v>157</v>
      </c>
      <c r="B62" t="s">
        <v>158</v>
      </c>
      <c r="C62" t="s">
        <v>126</v>
      </c>
      <c r="D62" t="s">
        <v>28</v>
      </c>
      <c r="E62" s="5">
        <v>231.6788</v>
      </c>
      <c r="F62">
        <v>1.81</v>
      </c>
      <c r="G62">
        <v>2.92</v>
      </c>
      <c r="H62">
        <v>20.5</v>
      </c>
      <c r="I62">
        <v>0</v>
      </c>
      <c r="J62">
        <v>79</v>
      </c>
      <c r="K62">
        <v>449</v>
      </c>
      <c r="L62">
        <v>26</v>
      </c>
      <c r="M62">
        <v>2.3912420000000001</v>
      </c>
      <c r="N62" t="s">
        <v>29</v>
      </c>
      <c r="O62">
        <v>167638</v>
      </c>
      <c r="P62" t="s">
        <v>541</v>
      </c>
      <c r="Q62">
        <v>5</v>
      </c>
      <c r="R62">
        <v>3</v>
      </c>
      <c r="S62">
        <v>3</v>
      </c>
    </row>
    <row r="63" spans="1:19" x14ac:dyDescent="0.25">
      <c r="A63" t="s">
        <v>159</v>
      </c>
      <c r="B63" t="s">
        <v>160</v>
      </c>
      <c r="C63" t="s">
        <v>126</v>
      </c>
      <c r="D63" t="s">
        <v>33</v>
      </c>
      <c r="E63" s="5">
        <v>231.6788</v>
      </c>
      <c r="F63">
        <v>0</v>
      </c>
      <c r="G63">
        <v>3.67</v>
      </c>
      <c r="H63">
        <v>20.7</v>
      </c>
      <c r="I63">
        <v>0</v>
      </c>
      <c r="J63">
        <v>59</v>
      </c>
      <c r="K63">
        <v>370</v>
      </c>
      <c r="L63">
        <v>26</v>
      </c>
      <c r="M63">
        <v>1.9639260000000001</v>
      </c>
      <c r="O63">
        <v>168046</v>
      </c>
      <c r="P63" t="s">
        <v>541</v>
      </c>
      <c r="Q63">
        <v>5</v>
      </c>
      <c r="R63">
        <v>3</v>
      </c>
      <c r="S63">
        <v>3</v>
      </c>
    </row>
    <row r="64" spans="1:19" x14ac:dyDescent="0.25">
      <c r="A64" t="s">
        <v>161</v>
      </c>
      <c r="B64" t="s">
        <v>162</v>
      </c>
      <c r="C64" t="s">
        <v>126</v>
      </c>
      <c r="D64" t="s">
        <v>33</v>
      </c>
      <c r="E64" s="5">
        <v>280.29640000000001</v>
      </c>
      <c r="F64">
        <v>0</v>
      </c>
      <c r="G64">
        <v>5.57</v>
      </c>
      <c r="H64">
        <v>22.6</v>
      </c>
      <c r="I64">
        <v>0</v>
      </c>
      <c r="J64">
        <v>58</v>
      </c>
      <c r="K64">
        <v>380</v>
      </c>
      <c r="L64">
        <v>28</v>
      </c>
      <c r="M64">
        <v>1.6625259999999999</v>
      </c>
      <c r="O64">
        <v>167639</v>
      </c>
      <c r="P64" t="s">
        <v>541</v>
      </c>
      <c r="Q64">
        <v>5</v>
      </c>
      <c r="R64">
        <v>3</v>
      </c>
      <c r="S64">
        <v>3</v>
      </c>
    </row>
    <row r="65" spans="1:19" x14ac:dyDescent="0.25">
      <c r="A65" t="s">
        <v>163</v>
      </c>
      <c r="B65" t="s">
        <v>164</v>
      </c>
      <c r="C65" t="s">
        <v>126</v>
      </c>
      <c r="D65" t="s">
        <v>33</v>
      </c>
      <c r="E65" s="5">
        <v>373.6635</v>
      </c>
      <c r="F65">
        <v>0</v>
      </c>
      <c r="G65">
        <v>11.7</v>
      </c>
      <c r="H65">
        <v>20.2</v>
      </c>
      <c r="I65">
        <v>0</v>
      </c>
      <c r="J65">
        <v>48</v>
      </c>
      <c r="K65">
        <v>370</v>
      </c>
      <c r="L65">
        <v>24</v>
      </c>
      <c r="M65">
        <v>1.182882</v>
      </c>
      <c r="O65">
        <v>168047</v>
      </c>
      <c r="P65" t="s">
        <v>541</v>
      </c>
      <c r="Q65">
        <v>5</v>
      </c>
      <c r="R65">
        <v>3</v>
      </c>
      <c r="S65">
        <v>3</v>
      </c>
    </row>
    <row r="66" spans="1:19" x14ac:dyDescent="0.25">
      <c r="A66" t="s">
        <v>165</v>
      </c>
      <c r="B66" t="s">
        <v>166</v>
      </c>
      <c r="C66" t="s">
        <v>126</v>
      </c>
      <c r="D66" t="s">
        <v>108</v>
      </c>
      <c r="E66" s="5">
        <v>531.29639999999995</v>
      </c>
      <c r="F66">
        <v>0</v>
      </c>
      <c r="G66">
        <v>15.9</v>
      </c>
      <c r="H66">
        <v>30.7</v>
      </c>
      <c r="M66">
        <v>0</v>
      </c>
      <c r="N66" t="s">
        <v>109</v>
      </c>
      <c r="O66">
        <v>168024</v>
      </c>
      <c r="P66" t="s">
        <v>541</v>
      </c>
      <c r="Q66">
        <v>5</v>
      </c>
      <c r="R66">
        <v>3</v>
      </c>
      <c r="S66">
        <v>3</v>
      </c>
    </row>
    <row r="67" spans="1:19" x14ac:dyDescent="0.25">
      <c r="A67" t="s">
        <v>167</v>
      </c>
      <c r="B67" t="s">
        <v>168</v>
      </c>
      <c r="C67" t="s">
        <v>126</v>
      </c>
      <c r="D67" t="s">
        <v>33</v>
      </c>
      <c r="E67" s="5">
        <v>299.85660000000001</v>
      </c>
      <c r="F67">
        <v>0</v>
      </c>
      <c r="G67">
        <v>5.9</v>
      </c>
      <c r="H67">
        <v>23.2</v>
      </c>
      <c r="M67">
        <v>0</v>
      </c>
      <c r="O67">
        <v>167614</v>
      </c>
      <c r="P67" t="s">
        <v>541</v>
      </c>
      <c r="Q67">
        <v>5</v>
      </c>
      <c r="R67">
        <v>3</v>
      </c>
      <c r="S67">
        <v>2</v>
      </c>
    </row>
    <row r="68" spans="1:19" x14ac:dyDescent="0.25">
      <c r="A68" t="s">
        <v>169</v>
      </c>
      <c r="B68" t="s">
        <v>170</v>
      </c>
      <c r="C68" t="s">
        <v>126</v>
      </c>
      <c r="D68" t="s">
        <v>28</v>
      </c>
      <c r="E68" s="5">
        <v>418.36900000000003</v>
      </c>
      <c r="F68">
        <v>0</v>
      </c>
      <c r="G68">
        <v>13</v>
      </c>
      <c r="H68">
        <v>23.2</v>
      </c>
      <c r="I68">
        <v>0</v>
      </c>
      <c r="J68">
        <v>870</v>
      </c>
      <c r="K68">
        <v>390</v>
      </c>
      <c r="L68">
        <v>29</v>
      </c>
      <c r="M68">
        <v>3.0810119999999999</v>
      </c>
      <c r="N68" t="s">
        <v>29</v>
      </c>
      <c r="O68">
        <v>167647</v>
      </c>
      <c r="P68" t="s">
        <v>541</v>
      </c>
      <c r="Q68">
        <v>5</v>
      </c>
      <c r="R68">
        <v>3</v>
      </c>
      <c r="S68">
        <v>4</v>
      </c>
    </row>
    <row r="69" spans="1:19" x14ac:dyDescent="0.25">
      <c r="A69" t="s">
        <v>171</v>
      </c>
      <c r="B69" t="s">
        <v>172</v>
      </c>
      <c r="C69" t="s">
        <v>126</v>
      </c>
      <c r="D69" t="s">
        <v>28</v>
      </c>
      <c r="E69" s="5">
        <v>412.02289999999999</v>
      </c>
      <c r="F69">
        <v>0</v>
      </c>
      <c r="G69">
        <v>7.26</v>
      </c>
      <c r="H69">
        <v>35.200000000000003</v>
      </c>
      <c r="I69">
        <v>0</v>
      </c>
      <c r="J69">
        <v>600</v>
      </c>
      <c r="K69">
        <v>470</v>
      </c>
      <c r="L69">
        <v>39</v>
      </c>
      <c r="M69">
        <v>2.6915979999999999</v>
      </c>
      <c r="N69" t="s">
        <v>29</v>
      </c>
      <c r="O69">
        <v>167645</v>
      </c>
      <c r="P69" t="s">
        <v>541</v>
      </c>
      <c r="Q69">
        <v>5</v>
      </c>
      <c r="R69">
        <v>3</v>
      </c>
      <c r="S69">
        <v>3</v>
      </c>
    </row>
    <row r="70" spans="1:19" x14ac:dyDescent="0.25">
      <c r="A70" t="s">
        <v>173</v>
      </c>
      <c r="B70" t="s">
        <v>174</v>
      </c>
      <c r="C70" t="s">
        <v>126</v>
      </c>
      <c r="D70" t="s">
        <v>28</v>
      </c>
      <c r="E70" s="5">
        <v>281.77440000000001</v>
      </c>
      <c r="F70">
        <v>0</v>
      </c>
      <c r="G70">
        <v>4.75</v>
      </c>
      <c r="H70">
        <v>24.5</v>
      </c>
      <c r="I70">
        <v>0</v>
      </c>
      <c r="J70">
        <v>460</v>
      </c>
      <c r="K70">
        <v>400</v>
      </c>
      <c r="L70">
        <v>31</v>
      </c>
      <c r="M70">
        <v>3.1621039999999998</v>
      </c>
      <c r="N70" t="s">
        <v>29</v>
      </c>
      <c r="O70">
        <v>167646</v>
      </c>
      <c r="P70" t="s">
        <v>541</v>
      </c>
      <c r="Q70">
        <v>5</v>
      </c>
      <c r="R70">
        <v>3</v>
      </c>
      <c r="S70">
        <v>3</v>
      </c>
    </row>
    <row r="71" spans="1:19" x14ac:dyDescent="0.25">
      <c r="A71" t="s">
        <v>175</v>
      </c>
      <c r="B71" t="s">
        <v>176</v>
      </c>
      <c r="C71" t="s">
        <v>126</v>
      </c>
      <c r="D71" t="s">
        <v>28</v>
      </c>
      <c r="E71" s="5">
        <v>322.0899</v>
      </c>
      <c r="F71">
        <v>0</v>
      </c>
      <c r="G71">
        <v>5.76</v>
      </c>
      <c r="H71">
        <v>27.3</v>
      </c>
      <c r="I71">
        <v>0</v>
      </c>
      <c r="J71">
        <v>390</v>
      </c>
      <c r="K71">
        <v>370</v>
      </c>
      <c r="L71">
        <v>32</v>
      </c>
      <c r="M71">
        <v>2.4589409999999998</v>
      </c>
      <c r="N71" t="s">
        <v>29</v>
      </c>
      <c r="O71">
        <v>167642</v>
      </c>
      <c r="P71" t="s">
        <v>541</v>
      </c>
      <c r="Q71">
        <v>5</v>
      </c>
      <c r="R71">
        <v>3</v>
      </c>
      <c r="S71">
        <v>3</v>
      </c>
    </row>
    <row r="72" spans="1:19" x14ac:dyDescent="0.25">
      <c r="A72" t="s">
        <v>177</v>
      </c>
      <c r="B72" t="s">
        <v>178</v>
      </c>
      <c r="C72" t="s">
        <v>126</v>
      </c>
      <c r="D72" t="s">
        <v>33</v>
      </c>
      <c r="E72" s="5">
        <v>306.20269999999999</v>
      </c>
      <c r="F72">
        <v>0</v>
      </c>
      <c r="G72">
        <v>7.28</v>
      </c>
      <c r="H72">
        <v>21.9</v>
      </c>
      <c r="I72">
        <v>0</v>
      </c>
      <c r="J72">
        <v>60</v>
      </c>
      <c r="K72">
        <v>360</v>
      </c>
      <c r="L72">
        <v>27</v>
      </c>
      <c r="M72">
        <v>1.4598169999999999</v>
      </c>
      <c r="O72">
        <v>168045</v>
      </c>
      <c r="P72" t="s">
        <v>541</v>
      </c>
      <c r="Q72">
        <v>5</v>
      </c>
      <c r="R72">
        <v>3</v>
      </c>
      <c r="S72">
        <v>3</v>
      </c>
    </row>
    <row r="73" spans="1:19" x14ac:dyDescent="0.25">
      <c r="A73" t="s">
        <v>179</v>
      </c>
      <c r="B73" t="s">
        <v>180</v>
      </c>
      <c r="C73" t="s">
        <v>126</v>
      </c>
      <c r="D73" t="s">
        <v>33</v>
      </c>
      <c r="E73" s="5">
        <v>317.93880000000001</v>
      </c>
      <c r="F73">
        <v>0</v>
      </c>
      <c r="G73">
        <v>10.6</v>
      </c>
      <c r="H73">
        <v>15.9</v>
      </c>
      <c r="M73">
        <v>0</v>
      </c>
      <c r="O73">
        <v>168023</v>
      </c>
      <c r="P73" t="s">
        <v>541</v>
      </c>
      <c r="Q73">
        <v>5</v>
      </c>
      <c r="R73">
        <v>3</v>
      </c>
      <c r="S73">
        <v>2</v>
      </c>
    </row>
    <row r="74" spans="1:19" x14ac:dyDescent="0.25">
      <c r="A74" t="s">
        <v>181</v>
      </c>
      <c r="B74" t="s">
        <v>182</v>
      </c>
      <c r="C74" t="s">
        <v>126</v>
      </c>
      <c r="D74" t="s">
        <v>33</v>
      </c>
      <c r="E74" s="5">
        <v>1256.5851</v>
      </c>
      <c r="F74">
        <v>23</v>
      </c>
      <c r="G74">
        <v>53</v>
      </c>
      <c r="H74">
        <v>14.9</v>
      </c>
      <c r="I74">
        <v>9.8000000000000007</v>
      </c>
      <c r="J74">
        <v>2</v>
      </c>
      <c r="K74">
        <v>738</v>
      </c>
      <c r="L74">
        <v>235</v>
      </c>
      <c r="M74">
        <v>0.77591200000000005</v>
      </c>
      <c r="O74">
        <v>169827</v>
      </c>
      <c r="P74" t="s">
        <v>541</v>
      </c>
      <c r="Q74">
        <v>5</v>
      </c>
      <c r="R74">
        <v>2</v>
      </c>
      <c r="S74">
        <v>4</v>
      </c>
    </row>
    <row r="75" spans="1:19" x14ac:dyDescent="0.25">
      <c r="A75" t="s">
        <v>183</v>
      </c>
      <c r="B75" t="s">
        <v>184</v>
      </c>
      <c r="C75" t="s">
        <v>126</v>
      </c>
      <c r="D75" t="s">
        <v>33</v>
      </c>
      <c r="E75" s="5">
        <v>74.284899999999993</v>
      </c>
      <c r="F75">
        <v>8.6999999999999993</v>
      </c>
      <c r="G75">
        <v>0.1</v>
      </c>
      <c r="H75">
        <v>0.4</v>
      </c>
      <c r="J75">
        <v>10</v>
      </c>
      <c r="M75">
        <v>0.13461699999999999</v>
      </c>
      <c r="O75">
        <v>169808</v>
      </c>
      <c r="P75" t="s">
        <v>542</v>
      </c>
      <c r="Q75">
        <v>5</v>
      </c>
      <c r="R75">
        <v>2</v>
      </c>
      <c r="S75">
        <v>1</v>
      </c>
    </row>
    <row r="76" spans="1:19" x14ac:dyDescent="0.25">
      <c r="A76" t="s">
        <v>185</v>
      </c>
      <c r="B76" t="s">
        <v>186</v>
      </c>
      <c r="C76" t="s">
        <v>126</v>
      </c>
      <c r="D76" t="s">
        <v>33</v>
      </c>
      <c r="E76" s="5">
        <v>205.77250000000001</v>
      </c>
      <c r="F76">
        <v>0</v>
      </c>
      <c r="G76">
        <v>1.5</v>
      </c>
      <c r="H76">
        <v>22.3</v>
      </c>
      <c r="I76">
        <v>0</v>
      </c>
      <c r="J76">
        <v>65</v>
      </c>
      <c r="K76">
        <v>317</v>
      </c>
      <c r="L76">
        <v>23</v>
      </c>
      <c r="M76">
        <v>1.9681930000000001</v>
      </c>
      <c r="O76">
        <v>167607</v>
      </c>
      <c r="P76" t="s">
        <v>541</v>
      </c>
      <c r="Q76">
        <v>4</v>
      </c>
      <c r="R76">
        <v>3</v>
      </c>
      <c r="S76">
        <v>2</v>
      </c>
    </row>
    <row r="77" spans="1:19" x14ac:dyDescent="0.25">
      <c r="A77" t="s">
        <v>187</v>
      </c>
      <c r="B77" t="s">
        <v>188</v>
      </c>
      <c r="C77" t="s">
        <v>126</v>
      </c>
      <c r="D77" t="s">
        <v>28</v>
      </c>
      <c r="E77" s="5">
        <v>467.74759999999998</v>
      </c>
      <c r="F77">
        <v>0.08</v>
      </c>
      <c r="G77">
        <v>11.1</v>
      </c>
      <c r="H77">
        <v>33.4</v>
      </c>
      <c r="J77">
        <v>135</v>
      </c>
      <c r="K77">
        <v>409</v>
      </c>
      <c r="L77">
        <v>31</v>
      </c>
      <c r="M77">
        <v>1.229295</v>
      </c>
      <c r="N77" t="s">
        <v>29</v>
      </c>
      <c r="O77">
        <v>167634</v>
      </c>
      <c r="P77" t="s">
        <v>541</v>
      </c>
      <c r="Q77">
        <v>4</v>
      </c>
      <c r="R77">
        <v>3</v>
      </c>
      <c r="S77">
        <v>3</v>
      </c>
    </row>
    <row r="78" spans="1:19" x14ac:dyDescent="0.25">
      <c r="A78" t="s">
        <v>189</v>
      </c>
      <c r="B78" t="s">
        <v>190</v>
      </c>
      <c r="C78" t="s">
        <v>126</v>
      </c>
      <c r="D78" t="s">
        <v>23</v>
      </c>
      <c r="E78" s="5">
        <v>1081.153</v>
      </c>
      <c r="F78">
        <v>51.1</v>
      </c>
      <c r="G78">
        <v>34.1</v>
      </c>
      <c r="H78">
        <v>7.41</v>
      </c>
      <c r="I78">
        <v>43.4</v>
      </c>
      <c r="J78">
        <v>310</v>
      </c>
      <c r="K78">
        <v>458</v>
      </c>
      <c r="L78">
        <v>152</v>
      </c>
      <c r="M78">
        <v>0.850943</v>
      </c>
      <c r="N78" t="s">
        <v>24</v>
      </c>
      <c r="O78">
        <v>169821</v>
      </c>
      <c r="P78" t="s">
        <v>541</v>
      </c>
      <c r="Q78">
        <v>5</v>
      </c>
      <c r="R78">
        <v>3</v>
      </c>
      <c r="S78">
        <v>4</v>
      </c>
    </row>
    <row r="79" spans="1:19" x14ac:dyDescent="0.25">
      <c r="A79" t="s">
        <v>191</v>
      </c>
      <c r="B79" t="s">
        <v>192</v>
      </c>
      <c r="C79" t="s">
        <v>126</v>
      </c>
      <c r="D79" t="s">
        <v>33</v>
      </c>
      <c r="E79" s="5">
        <v>182.06120000000001</v>
      </c>
      <c r="F79">
        <v>22</v>
      </c>
      <c r="G79">
        <v>0.17</v>
      </c>
      <c r="H79">
        <v>0.43</v>
      </c>
      <c r="I79">
        <v>6</v>
      </c>
      <c r="J79">
        <v>4</v>
      </c>
      <c r="K79">
        <v>364</v>
      </c>
      <c r="L79">
        <v>8</v>
      </c>
      <c r="M79">
        <v>2.0652400000000002</v>
      </c>
      <c r="O79">
        <v>169820</v>
      </c>
      <c r="P79" t="s">
        <v>542</v>
      </c>
      <c r="Q79">
        <v>3</v>
      </c>
      <c r="R79">
        <v>3</v>
      </c>
      <c r="S79">
        <v>1</v>
      </c>
    </row>
    <row r="80" spans="1:19" x14ac:dyDescent="0.25">
      <c r="A80" t="s">
        <v>193</v>
      </c>
      <c r="B80" t="s">
        <v>194</v>
      </c>
      <c r="C80" t="s">
        <v>126</v>
      </c>
      <c r="D80" t="s">
        <v>33</v>
      </c>
      <c r="E80" s="5">
        <v>124.3805</v>
      </c>
      <c r="F80">
        <v>13.8</v>
      </c>
      <c r="G80">
        <v>0.28000000000000003</v>
      </c>
      <c r="H80">
        <v>1.1200000000000001</v>
      </c>
      <c r="I80">
        <v>7.5</v>
      </c>
      <c r="J80">
        <v>4</v>
      </c>
      <c r="K80">
        <v>175</v>
      </c>
      <c r="L80">
        <v>26</v>
      </c>
      <c r="M80">
        <v>1.6481680000000001</v>
      </c>
      <c r="O80">
        <v>168997</v>
      </c>
      <c r="P80" t="s">
        <v>542</v>
      </c>
      <c r="Q80">
        <v>5</v>
      </c>
      <c r="R80">
        <v>4</v>
      </c>
      <c r="S80">
        <v>1</v>
      </c>
    </row>
    <row r="81" spans="1:19" x14ac:dyDescent="0.25">
      <c r="A81" t="s">
        <v>195</v>
      </c>
      <c r="B81" t="s">
        <v>196</v>
      </c>
      <c r="C81" t="s">
        <v>126</v>
      </c>
      <c r="D81" t="s">
        <v>28</v>
      </c>
      <c r="E81" s="5">
        <v>689.16830000000004</v>
      </c>
      <c r="F81">
        <v>0</v>
      </c>
      <c r="G81">
        <v>11.4</v>
      </c>
      <c r="H81">
        <v>60.6</v>
      </c>
      <c r="I81">
        <v>0</v>
      </c>
      <c r="J81">
        <v>51</v>
      </c>
      <c r="K81">
        <v>960</v>
      </c>
      <c r="L81">
        <v>58</v>
      </c>
      <c r="M81">
        <v>1.551145</v>
      </c>
      <c r="N81" t="s">
        <v>29</v>
      </c>
      <c r="O81">
        <v>169813</v>
      </c>
      <c r="P81" t="s">
        <v>541</v>
      </c>
      <c r="Q81">
        <v>5</v>
      </c>
      <c r="R81">
        <v>3</v>
      </c>
      <c r="S81">
        <v>3</v>
      </c>
    </row>
    <row r="82" spans="1:19" x14ac:dyDescent="0.25">
      <c r="A82" t="s">
        <v>197</v>
      </c>
      <c r="B82" t="s">
        <v>198</v>
      </c>
      <c r="C82" t="s">
        <v>126</v>
      </c>
      <c r="D82" t="s">
        <v>33</v>
      </c>
      <c r="E82" s="5">
        <v>31.535399999999999</v>
      </c>
      <c r="F82">
        <v>3.22</v>
      </c>
      <c r="G82">
        <v>0.15</v>
      </c>
      <c r="H82">
        <v>0.31</v>
      </c>
      <c r="I82">
        <v>1.5</v>
      </c>
      <c r="M82">
        <v>0</v>
      </c>
      <c r="O82">
        <v>167632</v>
      </c>
      <c r="P82" t="s">
        <v>542</v>
      </c>
      <c r="Q82">
        <v>4</v>
      </c>
      <c r="R82">
        <v>2</v>
      </c>
      <c r="S82">
        <v>1</v>
      </c>
    </row>
    <row r="83" spans="1:19" x14ac:dyDescent="0.25">
      <c r="A83" t="s">
        <v>199</v>
      </c>
      <c r="B83" t="s">
        <v>200</v>
      </c>
      <c r="C83" t="s">
        <v>126</v>
      </c>
      <c r="D83" t="s">
        <v>33</v>
      </c>
      <c r="E83" s="5">
        <v>52.529600000000002</v>
      </c>
      <c r="F83">
        <v>5.64</v>
      </c>
      <c r="G83">
        <v>0.2</v>
      </c>
      <c r="H83">
        <v>0.52</v>
      </c>
      <c r="J83">
        <v>20</v>
      </c>
      <c r="K83">
        <v>205</v>
      </c>
      <c r="L83">
        <v>10</v>
      </c>
      <c r="M83">
        <v>4.473668</v>
      </c>
      <c r="O83">
        <v>168040</v>
      </c>
      <c r="P83" t="s">
        <v>542</v>
      </c>
      <c r="Q83">
        <v>4</v>
      </c>
      <c r="R83">
        <v>3</v>
      </c>
      <c r="S83">
        <v>1</v>
      </c>
    </row>
    <row r="84" spans="1:19" x14ac:dyDescent="0.25">
      <c r="A84" t="s">
        <v>201</v>
      </c>
      <c r="B84" t="s">
        <v>202</v>
      </c>
      <c r="C84" t="s">
        <v>126</v>
      </c>
      <c r="D84" t="s">
        <v>28</v>
      </c>
      <c r="E84" s="5">
        <v>764.40920000000006</v>
      </c>
      <c r="F84">
        <v>0</v>
      </c>
      <c r="G84">
        <v>8.06</v>
      </c>
      <c r="H84">
        <v>77.3</v>
      </c>
      <c r="I84">
        <v>0</v>
      </c>
      <c r="J84">
        <v>2850</v>
      </c>
      <c r="K84">
        <v>1720</v>
      </c>
      <c r="L84">
        <v>84</v>
      </c>
      <c r="M84">
        <v>6.0883620000000001</v>
      </c>
      <c r="N84" t="s">
        <v>29</v>
      </c>
      <c r="O84">
        <v>168059</v>
      </c>
      <c r="P84" t="s">
        <v>541</v>
      </c>
      <c r="Q84">
        <v>5</v>
      </c>
      <c r="R84">
        <v>4</v>
      </c>
      <c r="S84">
        <v>4</v>
      </c>
    </row>
    <row r="85" spans="1:19" x14ac:dyDescent="0.25">
      <c r="A85" t="s">
        <v>203</v>
      </c>
      <c r="B85" t="s">
        <v>204</v>
      </c>
      <c r="C85" t="s">
        <v>205</v>
      </c>
      <c r="D85" t="s">
        <v>33</v>
      </c>
      <c r="E85" s="5">
        <v>57</v>
      </c>
      <c r="F85">
        <v>12.1</v>
      </c>
      <c r="G85">
        <v>0.71</v>
      </c>
      <c r="H85">
        <v>0.71</v>
      </c>
      <c r="I85">
        <v>2.9</v>
      </c>
      <c r="J85">
        <v>0</v>
      </c>
      <c r="M85">
        <v>0</v>
      </c>
      <c r="O85">
        <v>2059165</v>
      </c>
      <c r="P85" t="s">
        <v>542</v>
      </c>
      <c r="Q85">
        <v>5</v>
      </c>
      <c r="R85">
        <v>3</v>
      </c>
      <c r="S85">
        <v>1</v>
      </c>
    </row>
    <row r="86" spans="1:19" x14ac:dyDescent="0.25">
      <c r="A86" t="s">
        <v>206</v>
      </c>
      <c r="B86" t="s">
        <v>207</v>
      </c>
      <c r="C86" t="s">
        <v>208</v>
      </c>
      <c r="D86" t="s">
        <v>33</v>
      </c>
      <c r="E86" s="5">
        <v>141</v>
      </c>
      <c r="F86">
        <v>2.35</v>
      </c>
      <c r="G86">
        <v>8.24</v>
      </c>
      <c r="H86">
        <v>16.5</v>
      </c>
      <c r="I86">
        <v>2.4</v>
      </c>
      <c r="J86">
        <v>0</v>
      </c>
      <c r="K86">
        <v>165</v>
      </c>
      <c r="M86">
        <v>1.1702129999999999</v>
      </c>
      <c r="O86">
        <v>1851491</v>
      </c>
      <c r="P86" t="s">
        <v>541</v>
      </c>
      <c r="Q86">
        <v>5</v>
      </c>
      <c r="R86">
        <v>3</v>
      </c>
      <c r="S86">
        <v>2</v>
      </c>
    </row>
    <row r="87" spans="1:19" x14ac:dyDescent="0.25">
      <c r="A87" t="s">
        <v>209</v>
      </c>
      <c r="B87" t="s">
        <v>210</v>
      </c>
      <c r="C87" t="s">
        <v>211</v>
      </c>
      <c r="D87" t="s">
        <v>33</v>
      </c>
      <c r="E87" s="5">
        <v>23</v>
      </c>
      <c r="F87">
        <v>4.6500000000000004</v>
      </c>
      <c r="G87">
        <v>0</v>
      </c>
      <c r="H87">
        <v>1.1599999999999999</v>
      </c>
      <c r="I87">
        <v>1.2</v>
      </c>
      <c r="J87">
        <v>6</v>
      </c>
      <c r="M87">
        <v>0.26086999999999999</v>
      </c>
      <c r="O87">
        <v>2017109</v>
      </c>
      <c r="P87" t="s">
        <v>542</v>
      </c>
      <c r="Q87">
        <v>5</v>
      </c>
      <c r="R87">
        <v>4</v>
      </c>
      <c r="S87">
        <v>1</v>
      </c>
    </row>
    <row r="88" spans="1:19" x14ac:dyDescent="0.25">
      <c r="A88" t="s">
        <v>212</v>
      </c>
      <c r="B88" t="s">
        <v>213</v>
      </c>
      <c r="C88" t="s">
        <v>214</v>
      </c>
      <c r="D88" t="s">
        <v>28</v>
      </c>
      <c r="E88" s="5">
        <v>286</v>
      </c>
      <c r="F88">
        <v>7.14</v>
      </c>
      <c r="G88">
        <v>21.4</v>
      </c>
      <c r="H88">
        <v>14.3</v>
      </c>
      <c r="I88">
        <v>0</v>
      </c>
      <c r="J88">
        <v>1710</v>
      </c>
      <c r="M88">
        <v>5.9790210000000004</v>
      </c>
      <c r="N88" t="s">
        <v>29</v>
      </c>
      <c r="O88">
        <v>398390</v>
      </c>
      <c r="P88" t="s">
        <v>541</v>
      </c>
      <c r="Q88">
        <v>2</v>
      </c>
      <c r="R88">
        <v>3</v>
      </c>
      <c r="S88">
        <v>3</v>
      </c>
    </row>
    <row r="89" spans="1:19" x14ac:dyDescent="0.25">
      <c r="A89" t="s">
        <v>215</v>
      </c>
      <c r="B89" t="s">
        <v>216</v>
      </c>
      <c r="C89" t="s">
        <v>217</v>
      </c>
      <c r="D89" t="s">
        <v>23</v>
      </c>
      <c r="E89" s="5">
        <v>533</v>
      </c>
      <c r="F89">
        <v>30</v>
      </c>
      <c r="G89">
        <v>43.3</v>
      </c>
      <c r="H89">
        <v>16.7</v>
      </c>
      <c r="I89">
        <v>26.7</v>
      </c>
      <c r="J89">
        <v>33</v>
      </c>
      <c r="M89">
        <v>6.1913999999999997E-2</v>
      </c>
      <c r="N89" t="s">
        <v>24</v>
      </c>
      <c r="O89">
        <v>1866089</v>
      </c>
      <c r="P89" t="s">
        <v>541</v>
      </c>
      <c r="Q89">
        <v>5</v>
      </c>
      <c r="R89">
        <v>3</v>
      </c>
      <c r="S89">
        <v>4</v>
      </c>
    </row>
    <row r="90" spans="1:19" x14ac:dyDescent="0.25">
      <c r="A90" t="s">
        <v>218</v>
      </c>
      <c r="B90" t="s">
        <v>219</v>
      </c>
      <c r="C90" t="s">
        <v>211</v>
      </c>
      <c r="D90" t="s">
        <v>33</v>
      </c>
      <c r="E90" s="5">
        <v>29</v>
      </c>
      <c r="F90">
        <v>6.98</v>
      </c>
      <c r="G90">
        <v>0</v>
      </c>
      <c r="H90">
        <v>1.1599999999999999</v>
      </c>
      <c r="I90">
        <v>2.2999999999999998</v>
      </c>
      <c r="J90">
        <v>0</v>
      </c>
      <c r="K90">
        <v>209</v>
      </c>
      <c r="M90">
        <v>7.2068969999999997</v>
      </c>
      <c r="O90">
        <v>2426688</v>
      </c>
      <c r="P90" t="s">
        <v>542</v>
      </c>
      <c r="Q90">
        <v>4</v>
      </c>
      <c r="R90">
        <v>3</v>
      </c>
      <c r="S90">
        <v>1</v>
      </c>
    </row>
    <row r="91" spans="1:19" x14ac:dyDescent="0.25">
      <c r="A91" t="s">
        <v>220</v>
      </c>
      <c r="B91" t="s">
        <v>221</v>
      </c>
      <c r="C91" t="s">
        <v>211</v>
      </c>
      <c r="D91" t="s">
        <v>33</v>
      </c>
      <c r="E91" s="5">
        <v>34</v>
      </c>
      <c r="F91">
        <v>4.5999999999999996</v>
      </c>
      <c r="G91">
        <v>0</v>
      </c>
      <c r="H91">
        <v>1.1499999999999999</v>
      </c>
      <c r="I91">
        <v>2.2999999999999998</v>
      </c>
      <c r="J91">
        <v>23</v>
      </c>
      <c r="M91">
        <v>0.67647100000000004</v>
      </c>
      <c r="O91">
        <v>2059116</v>
      </c>
      <c r="P91" t="s">
        <v>542</v>
      </c>
      <c r="Q91">
        <v>5</v>
      </c>
      <c r="R91">
        <v>4</v>
      </c>
      <c r="S91">
        <v>1</v>
      </c>
    </row>
    <row r="92" spans="1:19" x14ac:dyDescent="0.25">
      <c r="A92" t="s">
        <v>222</v>
      </c>
      <c r="B92" t="s">
        <v>223</v>
      </c>
      <c r="C92" t="s">
        <v>211</v>
      </c>
      <c r="D92" t="s">
        <v>33</v>
      </c>
      <c r="E92" s="5">
        <v>53</v>
      </c>
      <c r="F92">
        <v>9.41</v>
      </c>
      <c r="G92">
        <v>0</v>
      </c>
      <c r="H92">
        <v>3.53</v>
      </c>
      <c r="I92">
        <v>3.5</v>
      </c>
      <c r="J92">
        <v>18</v>
      </c>
      <c r="M92">
        <v>0.33962300000000001</v>
      </c>
      <c r="O92">
        <v>2059114</v>
      </c>
      <c r="P92" t="s">
        <v>542</v>
      </c>
      <c r="Q92">
        <v>5</v>
      </c>
      <c r="R92">
        <v>4</v>
      </c>
      <c r="S92">
        <v>1</v>
      </c>
    </row>
    <row r="93" spans="1:19" x14ac:dyDescent="0.25">
      <c r="A93" t="s">
        <v>224</v>
      </c>
      <c r="B93" t="s">
        <v>225</v>
      </c>
      <c r="C93" t="s">
        <v>226</v>
      </c>
      <c r="D93" t="s">
        <v>28</v>
      </c>
      <c r="E93" s="5">
        <v>80</v>
      </c>
      <c r="F93">
        <v>0</v>
      </c>
      <c r="G93">
        <v>1.79</v>
      </c>
      <c r="H93">
        <v>16.100000000000001</v>
      </c>
      <c r="I93">
        <v>0</v>
      </c>
      <c r="J93">
        <v>464</v>
      </c>
      <c r="M93">
        <v>5.8</v>
      </c>
      <c r="N93" t="s">
        <v>29</v>
      </c>
      <c r="O93">
        <v>2022532</v>
      </c>
      <c r="P93" t="s">
        <v>541</v>
      </c>
      <c r="Q93">
        <v>3</v>
      </c>
      <c r="R93">
        <v>4</v>
      </c>
      <c r="S93">
        <v>2</v>
      </c>
    </row>
    <row r="94" spans="1:19" x14ac:dyDescent="0.25">
      <c r="A94" t="s">
        <v>227</v>
      </c>
      <c r="B94" t="s">
        <v>228</v>
      </c>
      <c r="C94" t="s">
        <v>208</v>
      </c>
      <c r="D94" t="s">
        <v>108</v>
      </c>
      <c r="E94" s="5">
        <v>301</v>
      </c>
      <c r="F94">
        <v>0</v>
      </c>
      <c r="G94">
        <v>26.6</v>
      </c>
      <c r="H94">
        <v>16.8</v>
      </c>
      <c r="I94">
        <v>0</v>
      </c>
      <c r="J94">
        <v>66</v>
      </c>
      <c r="M94">
        <v>0.21926899999999999</v>
      </c>
      <c r="N94" t="s">
        <v>109</v>
      </c>
      <c r="O94">
        <v>2059148</v>
      </c>
      <c r="P94" t="s">
        <v>541</v>
      </c>
      <c r="Q94">
        <v>2</v>
      </c>
      <c r="R94">
        <v>2</v>
      </c>
      <c r="S94">
        <v>2</v>
      </c>
    </row>
    <row r="95" spans="1:19" x14ac:dyDescent="0.25">
      <c r="A95" t="s">
        <v>229</v>
      </c>
      <c r="B95" t="s">
        <v>230</v>
      </c>
      <c r="C95" t="s">
        <v>214</v>
      </c>
      <c r="D95" t="s">
        <v>28</v>
      </c>
      <c r="E95" s="5">
        <v>321</v>
      </c>
      <c r="F95">
        <v>3.57</v>
      </c>
      <c r="G95">
        <v>21.4</v>
      </c>
      <c r="H95">
        <v>25</v>
      </c>
      <c r="I95">
        <v>0</v>
      </c>
      <c r="J95">
        <v>536</v>
      </c>
      <c r="M95">
        <v>1.6697820000000001</v>
      </c>
      <c r="N95" t="s">
        <v>29</v>
      </c>
      <c r="O95">
        <v>2055200</v>
      </c>
      <c r="P95" t="s">
        <v>541</v>
      </c>
      <c r="Q95">
        <v>2</v>
      </c>
      <c r="R95">
        <v>3</v>
      </c>
      <c r="S95">
        <v>3</v>
      </c>
    </row>
    <row r="96" spans="1:19" x14ac:dyDescent="0.25">
      <c r="A96" t="s">
        <v>231</v>
      </c>
      <c r="B96" t="s">
        <v>232</v>
      </c>
      <c r="C96" t="s">
        <v>214</v>
      </c>
      <c r="D96" t="s">
        <v>33</v>
      </c>
      <c r="E96" s="5"/>
      <c r="I96">
        <v>0</v>
      </c>
      <c r="M96">
        <v>0</v>
      </c>
      <c r="O96">
        <v>2290243</v>
      </c>
      <c r="P96" t="s">
        <v>541</v>
      </c>
      <c r="Q96">
        <v>2</v>
      </c>
      <c r="R96">
        <v>1</v>
      </c>
      <c r="S96">
        <v>1</v>
      </c>
    </row>
    <row r="97" spans="1:19" x14ac:dyDescent="0.25">
      <c r="A97" t="s">
        <v>233</v>
      </c>
      <c r="B97" t="s">
        <v>234</v>
      </c>
      <c r="C97" t="s">
        <v>235</v>
      </c>
      <c r="D97" t="s">
        <v>33</v>
      </c>
      <c r="E97" s="5">
        <v>48</v>
      </c>
      <c r="F97">
        <v>8</v>
      </c>
      <c r="G97">
        <v>0.4</v>
      </c>
      <c r="H97">
        <v>3.2</v>
      </c>
      <c r="I97">
        <v>2.4</v>
      </c>
      <c r="J97">
        <v>12</v>
      </c>
      <c r="K97">
        <v>84</v>
      </c>
      <c r="M97">
        <v>2</v>
      </c>
      <c r="O97">
        <v>2064991</v>
      </c>
      <c r="P97" t="s">
        <v>542</v>
      </c>
      <c r="Q97">
        <v>4</v>
      </c>
      <c r="R97">
        <v>3</v>
      </c>
      <c r="S97">
        <v>1</v>
      </c>
    </row>
    <row r="98" spans="1:19" x14ac:dyDescent="0.25">
      <c r="A98" t="s">
        <v>236</v>
      </c>
      <c r="B98" t="s">
        <v>237</v>
      </c>
      <c r="C98" t="s">
        <v>214</v>
      </c>
      <c r="D98" t="s">
        <v>28</v>
      </c>
      <c r="E98" s="5">
        <v>333</v>
      </c>
      <c r="F98">
        <v>9.52</v>
      </c>
      <c r="G98">
        <v>23.8</v>
      </c>
      <c r="H98">
        <v>14.3</v>
      </c>
      <c r="I98">
        <v>0</v>
      </c>
      <c r="J98">
        <v>1240</v>
      </c>
      <c r="M98">
        <v>3.7237239999999998</v>
      </c>
      <c r="N98" t="s">
        <v>29</v>
      </c>
      <c r="O98">
        <v>2017097</v>
      </c>
      <c r="P98" t="s">
        <v>541</v>
      </c>
      <c r="Q98">
        <v>2</v>
      </c>
      <c r="R98">
        <v>3</v>
      </c>
      <c r="S98">
        <v>3</v>
      </c>
    </row>
    <row r="99" spans="1:19" x14ac:dyDescent="0.25">
      <c r="A99" t="s">
        <v>238</v>
      </c>
      <c r="B99" t="s">
        <v>239</v>
      </c>
      <c r="C99" t="s">
        <v>240</v>
      </c>
      <c r="D99" t="s">
        <v>108</v>
      </c>
      <c r="E99" s="5">
        <v>196</v>
      </c>
      <c r="F99">
        <v>0</v>
      </c>
      <c r="G99">
        <v>15.2</v>
      </c>
      <c r="H99">
        <v>17</v>
      </c>
      <c r="I99">
        <v>0</v>
      </c>
      <c r="J99">
        <v>80</v>
      </c>
      <c r="M99">
        <v>0.408163</v>
      </c>
      <c r="N99" t="s">
        <v>109</v>
      </c>
      <c r="O99">
        <v>2040284</v>
      </c>
      <c r="P99" t="s">
        <v>541</v>
      </c>
      <c r="Q99">
        <v>3</v>
      </c>
      <c r="R99">
        <v>3</v>
      </c>
      <c r="S99">
        <v>2</v>
      </c>
    </row>
    <row r="100" spans="1:19" x14ac:dyDescent="0.25">
      <c r="A100" t="s">
        <v>241</v>
      </c>
      <c r="B100" t="s">
        <v>242</v>
      </c>
      <c r="C100" t="s">
        <v>208</v>
      </c>
      <c r="D100" t="s">
        <v>33</v>
      </c>
      <c r="E100" s="5">
        <v>71</v>
      </c>
      <c r="F100">
        <v>2.35</v>
      </c>
      <c r="G100">
        <v>3.53</v>
      </c>
      <c r="H100">
        <v>7.06</v>
      </c>
      <c r="I100">
        <v>1.2</v>
      </c>
      <c r="J100">
        <v>12</v>
      </c>
      <c r="K100">
        <v>176</v>
      </c>
      <c r="M100">
        <v>2.6478869999999999</v>
      </c>
      <c r="O100">
        <v>1856132</v>
      </c>
      <c r="P100" t="s">
        <v>541</v>
      </c>
      <c r="Q100">
        <v>5</v>
      </c>
      <c r="R100">
        <v>3</v>
      </c>
      <c r="S100">
        <v>2</v>
      </c>
    </row>
    <row r="101" spans="1:19" x14ac:dyDescent="0.25">
      <c r="A101" t="s">
        <v>243</v>
      </c>
      <c r="B101" t="s">
        <v>244</v>
      </c>
      <c r="C101" t="s">
        <v>205</v>
      </c>
      <c r="D101" t="s">
        <v>33</v>
      </c>
      <c r="E101" s="5">
        <v>50</v>
      </c>
      <c r="F101">
        <v>12.1</v>
      </c>
      <c r="G101">
        <v>0.36</v>
      </c>
      <c r="H101">
        <v>0.71</v>
      </c>
      <c r="I101">
        <v>4.3</v>
      </c>
      <c r="J101">
        <v>0</v>
      </c>
      <c r="M101">
        <v>0</v>
      </c>
      <c r="O101">
        <v>2015905</v>
      </c>
      <c r="P101" t="s">
        <v>542</v>
      </c>
      <c r="Q101">
        <v>5</v>
      </c>
      <c r="R101">
        <v>3</v>
      </c>
      <c r="S101">
        <v>1</v>
      </c>
    </row>
    <row r="102" spans="1:19" x14ac:dyDescent="0.25">
      <c r="A102" t="s">
        <v>245</v>
      </c>
      <c r="B102" t="s">
        <v>246</v>
      </c>
      <c r="C102" t="s">
        <v>247</v>
      </c>
      <c r="D102" t="s">
        <v>33</v>
      </c>
      <c r="E102" s="5">
        <v>92</v>
      </c>
      <c r="F102">
        <v>16.2</v>
      </c>
      <c r="G102">
        <v>0</v>
      </c>
      <c r="H102">
        <v>6.15</v>
      </c>
      <c r="I102">
        <v>4.5999999999999996</v>
      </c>
      <c r="J102">
        <v>331</v>
      </c>
      <c r="M102">
        <v>3.597826</v>
      </c>
      <c r="O102">
        <v>2015580</v>
      </c>
      <c r="P102" t="s">
        <v>541</v>
      </c>
      <c r="Q102">
        <v>5</v>
      </c>
      <c r="R102">
        <v>4</v>
      </c>
      <c r="S102">
        <v>3</v>
      </c>
    </row>
    <row r="103" spans="1:19" x14ac:dyDescent="0.25">
      <c r="A103" t="s">
        <v>248</v>
      </c>
      <c r="B103" t="s">
        <v>249</v>
      </c>
      <c r="C103" t="s">
        <v>214</v>
      </c>
      <c r="D103" t="s">
        <v>28</v>
      </c>
      <c r="E103" s="5">
        <v>357</v>
      </c>
      <c r="F103">
        <v>0</v>
      </c>
      <c r="G103">
        <v>28.6</v>
      </c>
      <c r="H103">
        <v>28.6</v>
      </c>
      <c r="I103">
        <v>0</v>
      </c>
      <c r="J103">
        <v>1360</v>
      </c>
      <c r="M103">
        <v>3.8095240000000001</v>
      </c>
      <c r="N103" t="s">
        <v>29</v>
      </c>
      <c r="O103">
        <v>382111</v>
      </c>
      <c r="P103" t="s">
        <v>541</v>
      </c>
      <c r="Q103">
        <v>3</v>
      </c>
      <c r="R103">
        <v>4</v>
      </c>
      <c r="S103">
        <v>3</v>
      </c>
    </row>
    <row r="104" spans="1:19" x14ac:dyDescent="0.25">
      <c r="A104" t="s">
        <v>250</v>
      </c>
      <c r="B104" t="s">
        <v>251</v>
      </c>
      <c r="C104" t="s">
        <v>214</v>
      </c>
      <c r="D104" t="s">
        <v>28</v>
      </c>
      <c r="E104" s="5">
        <v>106</v>
      </c>
      <c r="F104">
        <v>3.54</v>
      </c>
      <c r="G104">
        <v>4.42</v>
      </c>
      <c r="H104">
        <v>12.4</v>
      </c>
      <c r="I104">
        <v>0</v>
      </c>
      <c r="J104">
        <v>336</v>
      </c>
      <c r="M104">
        <v>3.1698110000000002</v>
      </c>
      <c r="N104" t="s">
        <v>29</v>
      </c>
      <c r="O104">
        <v>2016736</v>
      </c>
      <c r="P104" t="s">
        <v>541</v>
      </c>
      <c r="Q104">
        <v>4</v>
      </c>
      <c r="R104">
        <v>4</v>
      </c>
      <c r="S104">
        <v>2</v>
      </c>
    </row>
    <row r="105" spans="1:19" x14ac:dyDescent="0.25">
      <c r="A105" t="s">
        <v>252</v>
      </c>
      <c r="B105" t="s">
        <v>253</v>
      </c>
      <c r="C105" t="s">
        <v>211</v>
      </c>
      <c r="D105" t="s">
        <v>33</v>
      </c>
      <c r="E105" s="5">
        <v>30</v>
      </c>
      <c r="F105">
        <v>5.95</v>
      </c>
      <c r="G105">
        <v>0</v>
      </c>
      <c r="H105">
        <v>1.19</v>
      </c>
      <c r="I105">
        <v>3.6</v>
      </c>
      <c r="J105">
        <v>42</v>
      </c>
      <c r="M105">
        <v>1.4</v>
      </c>
      <c r="O105">
        <v>2017105</v>
      </c>
      <c r="P105" t="s">
        <v>542</v>
      </c>
      <c r="Q105">
        <v>4</v>
      </c>
      <c r="R105">
        <v>3</v>
      </c>
      <c r="S105">
        <v>1</v>
      </c>
    </row>
    <row r="106" spans="1:19" x14ac:dyDescent="0.25">
      <c r="A106" t="s">
        <v>254</v>
      </c>
      <c r="B106" t="s">
        <v>255</v>
      </c>
      <c r="C106" t="s">
        <v>214</v>
      </c>
      <c r="D106" t="s">
        <v>28</v>
      </c>
      <c r="E106" s="5">
        <v>357</v>
      </c>
      <c r="F106">
        <v>3.57</v>
      </c>
      <c r="G106">
        <v>25</v>
      </c>
      <c r="H106">
        <v>28.6</v>
      </c>
      <c r="I106">
        <v>0</v>
      </c>
      <c r="J106">
        <v>1000</v>
      </c>
      <c r="K106">
        <v>1000</v>
      </c>
      <c r="M106">
        <v>5.6022410000000002</v>
      </c>
      <c r="N106" t="s">
        <v>29</v>
      </c>
      <c r="O106">
        <v>382109</v>
      </c>
      <c r="P106" t="s">
        <v>541</v>
      </c>
      <c r="Q106">
        <v>3</v>
      </c>
      <c r="R106">
        <v>4</v>
      </c>
      <c r="S106">
        <v>3</v>
      </c>
    </row>
    <row r="107" spans="1:19" x14ac:dyDescent="0.25">
      <c r="A107" t="s">
        <v>256</v>
      </c>
      <c r="B107" t="s">
        <v>257</v>
      </c>
      <c r="C107" t="s">
        <v>214</v>
      </c>
      <c r="D107" t="s">
        <v>28</v>
      </c>
      <c r="E107" s="5">
        <v>429</v>
      </c>
      <c r="F107">
        <v>3.57</v>
      </c>
      <c r="G107">
        <v>32.1</v>
      </c>
      <c r="H107">
        <v>28.6</v>
      </c>
      <c r="I107">
        <v>0</v>
      </c>
      <c r="J107">
        <v>429</v>
      </c>
      <c r="M107">
        <v>1</v>
      </c>
      <c r="N107" t="s">
        <v>29</v>
      </c>
      <c r="O107">
        <v>382110</v>
      </c>
      <c r="P107" t="s">
        <v>541</v>
      </c>
      <c r="Q107">
        <v>3</v>
      </c>
      <c r="R107">
        <v>3</v>
      </c>
      <c r="S107">
        <v>3</v>
      </c>
    </row>
    <row r="108" spans="1:19" x14ac:dyDescent="0.25">
      <c r="A108" t="s">
        <v>258</v>
      </c>
      <c r="B108" t="s">
        <v>259</v>
      </c>
      <c r="C108" t="s">
        <v>211</v>
      </c>
      <c r="D108" t="s">
        <v>33</v>
      </c>
      <c r="E108" s="5">
        <v>71</v>
      </c>
      <c r="F108">
        <v>12.9</v>
      </c>
      <c r="G108">
        <v>0</v>
      </c>
      <c r="H108">
        <v>5.88</v>
      </c>
      <c r="I108">
        <v>4.7</v>
      </c>
      <c r="J108">
        <v>12</v>
      </c>
      <c r="M108">
        <v>0.169014</v>
      </c>
      <c r="O108">
        <v>2016064</v>
      </c>
      <c r="P108" t="s">
        <v>542</v>
      </c>
      <c r="Q108">
        <v>4</v>
      </c>
      <c r="R108">
        <v>3</v>
      </c>
      <c r="S108">
        <v>1</v>
      </c>
    </row>
    <row r="109" spans="1:19" x14ac:dyDescent="0.25">
      <c r="A109" t="s">
        <v>260</v>
      </c>
      <c r="B109" t="s">
        <v>261</v>
      </c>
      <c r="C109" t="s">
        <v>214</v>
      </c>
      <c r="D109" t="s">
        <v>28</v>
      </c>
      <c r="E109" s="5">
        <v>393</v>
      </c>
      <c r="F109">
        <v>3.57</v>
      </c>
      <c r="G109">
        <v>32.1</v>
      </c>
      <c r="H109">
        <v>25</v>
      </c>
      <c r="I109">
        <v>0</v>
      </c>
      <c r="J109">
        <v>964</v>
      </c>
      <c r="M109">
        <v>2.4529260000000002</v>
      </c>
      <c r="N109" t="s">
        <v>29</v>
      </c>
      <c r="O109">
        <v>361146</v>
      </c>
      <c r="P109" t="s">
        <v>541</v>
      </c>
      <c r="Q109">
        <v>3</v>
      </c>
      <c r="R109">
        <v>3</v>
      </c>
      <c r="S109">
        <v>3</v>
      </c>
    </row>
    <row r="110" spans="1:19" x14ac:dyDescent="0.25">
      <c r="A110" t="s">
        <v>262</v>
      </c>
      <c r="B110" t="s">
        <v>263</v>
      </c>
      <c r="C110" t="s">
        <v>264</v>
      </c>
      <c r="D110" t="s">
        <v>33</v>
      </c>
      <c r="E110" s="5">
        <v>64</v>
      </c>
      <c r="F110">
        <v>15.7</v>
      </c>
      <c r="G110">
        <v>0</v>
      </c>
      <c r="H110">
        <v>0.71</v>
      </c>
      <c r="I110">
        <v>0.7</v>
      </c>
      <c r="J110">
        <v>7</v>
      </c>
      <c r="M110">
        <v>0.109375</v>
      </c>
      <c r="O110">
        <v>2015789</v>
      </c>
      <c r="P110" t="s">
        <v>542</v>
      </c>
      <c r="Q110">
        <v>3</v>
      </c>
      <c r="R110">
        <v>1</v>
      </c>
      <c r="S110">
        <v>1</v>
      </c>
    </row>
    <row r="111" spans="1:19" x14ac:dyDescent="0.25">
      <c r="A111" t="s">
        <v>265</v>
      </c>
      <c r="B111" t="s">
        <v>266</v>
      </c>
      <c r="C111" t="s">
        <v>264</v>
      </c>
      <c r="D111" t="s">
        <v>33</v>
      </c>
      <c r="E111" s="5">
        <v>62</v>
      </c>
      <c r="F111">
        <v>15.9</v>
      </c>
      <c r="G111">
        <v>0</v>
      </c>
      <c r="H111">
        <v>0</v>
      </c>
      <c r="I111">
        <v>0.9</v>
      </c>
      <c r="J111">
        <v>9</v>
      </c>
      <c r="K111">
        <v>49</v>
      </c>
      <c r="M111">
        <v>0.93548399999999998</v>
      </c>
      <c r="O111">
        <v>2015776</v>
      </c>
      <c r="P111" t="s">
        <v>542</v>
      </c>
      <c r="Q111">
        <v>3</v>
      </c>
      <c r="R111">
        <v>1</v>
      </c>
      <c r="S111">
        <v>1</v>
      </c>
    </row>
    <row r="112" spans="1:19" x14ac:dyDescent="0.25">
      <c r="A112" t="s">
        <v>267</v>
      </c>
      <c r="B112" t="s">
        <v>268</v>
      </c>
      <c r="C112" t="s">
        <v>247</v>
      </c>
      <c r="D112" t="s">
        <v>33</v>
      </c>
      <c r="E112" s="5">
        <v>92</v>
      </c>
      <c r="F112">
        <v>15.4</v>
      </c>
      <c r="G112">
        <v>0.38</v>
      </c>
      <c r="H112">
        <v>5.38</v>
      </c>
      <c r="I112">
        <v>5.4</v>
      </c>
      <c r="J112">
        <v>292</v>
      </c>
      <c r="M112">
        <v>3.1739130000000002</v>
      </c>
      <c r="O112">
        <v>2015557</v>
      </c>
      <c r="P112" t="s">
        <v>541</v>
      </c>
      <c r="Q112">
        <v>5</v>
      </c>
      <c r="R112">
        <v>4</v>
      </c>
      <c r="S112">
        <v>3</v>
      </c>
    </row>
    <row r="113" spans="1:19" x14ac:dyDescent="0.25">
      <c r="A113" t="s">
        <v>269</v>
      </c>
      <c r="B113" t="s">
        <v>270</v>
      </c>
      <c r="C113" t="s">
        <v>247</v>
      </c>
      <c r="D113" t="s">
        <v>33</v>
      </c>
      <c r="E113" s="5">
        <v>85</v>
      </c>
      <c r="F113">
        <v>15.4</v>
      </c>
      <c r="G113">
        <v>0</v>
      </c>
      <c r="H113">
        <v>4.62</v>
      </c>
      <c r="I113">
        <v>3.8</v>
      </c>
      <c r="J113">
        <v>269</v>
      </c>
      <c r="M113">
        <v>3.1647059999999998</v>
      </c>
      <c r="O113">
        <v>2015578</v>
      </c>
      <c r="P113" t="s">
        <v>541</v>
      </c>
      <c r="Q113">
        <v>5</v>
      </c>
      <c r="R113">
        <v>4</v>
      </c>
      <c r="S113">
        <v>3</v>
      </c>
    </row>
    <row r="114" spans="1:19" x14ac:dyDescent="0.25">
      <c r="A114" t="s">
        <v>271</v>
      </c>
      <c r="B114" t="s">
        <v>272</v>
      </c>
      <c r="C114" t="s">
        <v>235</v>
      </c>
      <c r="D114" t="s">
        <v>33</v>
      </c>
      <c r="E114" s="5">
        <v>33</v>
      </c>
      <c r="F114">
        <v>6.67</v>
      </c>
      <c r="G114">
        <v>0</v>
      </c>
      <c r="H114">
        <v>0.83</v>
      </c>
      <c r="I114">
        <v>0.8</v>
      </c>
      <c r="J114">
        <v>208</v>
      </c>
      <c r="M114">
        <v>6.3030299999999997</v>
      </c>
      <c r="O114">
        <v>2015565</v>
      </c>
      <c r="P114" t="s">
        <v>542</v>
      </c>
      <c r="Q114">
        <v>4</v>
      </c>
      <c r="R114">
        <v>3</v>
      </c>
      <c r="S114">
        <v>1</v>
      </c>
    </row>
    <row r="115" spans="1:19" x14ac:dyDescent="0.25">
      <c r="A115" t="s">
        <v>273</v>
      </c>
      <c r="B115" t="s">
        <v>274</v>
      </c>
      <c r="C115" t="s">
        <v>235</v>
      </c>
      <c r="D115" t="s">
        <v>28</v>
      </c>
      <c r="E115" s="5">
        <v>25</v>
      </c>
      <c r="F115">
        <v>5</v>
      </c>
      <c r="G115">
        <v>0</v>
      </c>
      <c r="H115">
        <v>0.83</v>
      </c>
      <c r="I115">
        <v>1.7</v>
      </c>
      <c r="J115">
        <v>308</v>
      </c>
      <c r="M115">
        <v>12.32</v>
      </c>
      <c r="N115" t="s">
        <v>29</v>
      </c>
      <c r="O115">
        <v>2015547</v>
      </c>
      <c r="P115" t="s">
        <v>542</v>
      </c>
      <c r="Q115">
        <v>4</v>
      </c>
      <c r="R115">
        <v>3</v>
      </c>
      <c r="S115">
        <v>1</v>
      </c>
    </row>
    <row r="116" spans="1:19" x14ac:dyDescent="0.25">
      <c r="A116" t="s">
        <v>275</v>
      </c>
      <c r="B116" t="s">
        <v>276</v>
      </c>
      <c r="C116" t="s">
        <v>205</v>
      </c>
      <c r="D116" t="s">
        <v>33</v>
      </c>
      <c r="E116" s="5">
        <v>36</v>
      </c>
      <c r="F116">
        <v>9.2899999999999991</v>
      </c>
      <c r="G116">
        <v>0</v>
      </c>
      <c r="H116">
        <v>0.71</v>
      </c>
      <c r="I116">
        <v>1.4</v>
      </c>
      <c r="J116">
        <v>0</v>
      </c>
      <c r="M116">
        <v>0</v>
      </c>
      <c r="O116">
        <v>2016948</v>
      </c>
      <c r="P116" t="s">
        <v>542</v>
      </c>
      <c r="Q116">
        <v>4</v>
      </c>
      <c r="R116">
        <v>2</v>
      </c>
      <c r="S116">
        <v>1</v>
      </c>
    </row>
    <row r="117" spans="1:19" x14ac:dyDescent="0.25">
      <c r="A117" t="s">
        <v>277</v>
      </c>
      <c r="B117" t="s">
        <v>278</v>
      </c>
      <c r="C117" t="s">
        <v>279</v>
      </c>
      <c r="D117" t="s">
        <v>108</v>
      </c>
      <c r="E117" s="5">
        <v>200</v>
      </c>
      <c r="F117">
        <v>6.67</v>
      </c>
      <c r="G117">
        <v>16.7</v>
      </c>
      <c r="H117">
        <v>3.33</v>
      </c>
      <c r="I117">
        <v>0</v>
      </c>
      <c r="J117">
        <v>50</v>
      </c>
      <c r="M117">
        <v>0.25</v>
      </c>
      <c r="N117" t="s">
        <v>109</v>
      </c>
      <c r="O117">
        <v>2289839</v>
      </c>
      <c r="P117" t="s">
        <v>542</v>
      </c>
      <c r="Q117">
        <v>1</v>
      </c>
      <c r="R117">
        <v>2</v>
      </c>
      <c r="S117">
        <v>1</v>
      </c>
    </row>
    <row r="118" spans="1:19" x14ac:dyDescent="0.25">
      <c r="A118" t="s">
        <v>280</v>
      </c>
      <c r="B118" t="s">
        <v>281</v>
      </c>
      <c r="C118" t="s">
        <v>247</v>
      </c>
      <c r="D118" t="s">
        <v>33</v>
      </c>
      <c r="E118" s="5">
        <v>69</v>
      </c>
      <c r="F118">
        <v>13.1</v>
      </c>
      <c r="G118">
        <v>0</v>
      </c>
      <c r="H118">
        <v>4.62</v>
      </c>
      <c r="I118">
        <v>2.2999999999999998</v>
      </c>
      <c r="J118">
        <v>292</v>
      </c>
      <c r="M118">
        <v>4.231884</v>
      </c>
      <c r="O118">
        <v>2016815</v>
      </c>
      <c r="P118" t="s">
        <v>541</v>
      </c>
      <c r="Q118">
        <v>5</v>
      </c>
      <c r="R118">
        <v>4</v>
      </c>
      <c r="S118">
        <v>3</v>
      </c>
    </row>
    <row r="119" spans="1:19" x14ac:dyDescent="0.25">
      <c r="A119" t="s">
        <v>282</v>
      </c>
      <c r="B119" t="s">
        <v>283</v>
      </c>
      <c r="C119" t="s">
        <v>247</v>
      </c>
      <c r="D119" t="s">
        <v>33</v>
      </c>
      <c r="E119" s="5">
        <v>77</v>
      </c>
      <c r="F119">
        <v>13.8</v>
      </c>
      <c r="G119">
        <v>0</v>
      </c>
      <c r="H119">
        <v>5.38</v>
      </c>
      <c r="I119">
        <v>3.1</v>
      </c>
      <c r="J119">
        <v>277</v>
      </c>
      <c r="M119">
        <v>3.5974029999999999</v>
      </c>
      <c r="O119">
        <v>2016864</v>
      </c>
      <c r="P119" t="s">
        <v>541</v>
      </c>
      <c r="Q119">
        <v>5</v>
      </c>
      <c r="R119">
        <v>4</v>
      </c>
      <c r="S119">
        <v>3</v>
      </c>
    </row>
    <row r="120" spans="1:19" x14ac:dyDescent="0.25">
      <c r="A120" t="s">
        <v>284</v>
      </c>
      <c r="B120" t="s">
        <v>285</v>
      </c>
      <c r="C120" t="s">
        <v>211</v>
      </c>
      <c r="D120" t="s">
        <v>33</v>
      </c>
      <c r="E120" s="5">
        <v>37</v>
      </c>
      <c r="F120">
        <v>3.7</v>
      </c>
      <c r="G120">
        <v>0</v>
      </c>
      <c r="H120">
        <v>2.4700000000000002</v>
      </c>
      <c r="I120">
        <v>1.2</v>
      </c>
      <c r="J120">
        <v>148</v>
      </c>
      <c r="M120">
        <v>4</v>
      </c>
      <c r="O120">
        <v>2022206</v>
      </c>
      <c r="P120" t="s">
        <v>542</v>
      </c>
      <c r="Q120">
        <v>5</v>
      </c>
      <c r="R120">
        <v>4</v>
      </c>
      <c r="S120">
        <v>1</v>
      </c>
    </row>
    <row r="121" spans="1:19" x14ac:dyDescent="0.25">
      <c r="A121" t="s">
        <v>286</v>
      </c>
      <c r="B121" t="s">
        <v>287</v>
      </c>
      <c r="C121" t="s">
        <v>264</v>
      </c>
      <c r="D121" t="s">
        <v>33</v>
      </c>
      <c r="E121" s="5">
        <v>62</v>
      </c>
      <c r="F121">
        <v>15</v>
      </c>
      <c r="G121">
        <v>0</v>
      </c>
      <c r="H121">
        <v>0</v>
      </c>
      <c r="I121">
        <v>0.9</v>
      </c>
      <c r="J121">
        <v>9</v>
      </c>
      <c r="K121">
        <v>80</v>
      </c>
      <c r="M121">
        <v>1.435484</v>
      </c>
      <c r="O121">
        <v>2068224</v>
      </c>
      <c r="P121" t="s">
        <v>542</v>
      </c>
      <c r="Q121">
        <v>4</v>
      </c>
      <c r="R121">
        <v>2</v>
      </c>
      <c r="S121">
        <v>1</v>
      </c>
    </row>
    <row r="122" spans="1:19" x14ac:dyDescent="0.25">
      <c r="A122" t="s">
        <v>288</v>
      </c>
      <c r="B122" t="s">
        <v>289</v>
      </c>
      <c r="C122" t="s">
        <v>290</v>
      </c>
      <c r="D122" t="s">
        <v>33</v>
      </c>
      <c r="E122" s="5">
        <v>21</v>
      </c>
      <c r="F122">
        <v>4.13</v>
      </c>
      <c r="G122">
        <v>0</v>
      </c>
      <c r="H122">
        <v>0.83</v>
      </c>
      <c r="I122">
        <v>0.8</v>
      </c>
      <c r="J122">
        <v>17</v>
      </c>
      <c r="M122">
        <v>0.80952400000000002</v>
      </c>
      <c r="O122">
        <v>2016816</v>
      </c>
      <c r="P122" t="s">
        <v>542</v>
      </c>
      <c r="Q122">
        <v>4</v>
      </c>
      <c r="R122">
        <v>3</v>
      </c>
      <c r="S122">
        <v>1</v>
      </c>
    </row>
    <row r="123" spans="1:19" x14ac:dyDescent="0.25">
      <c r="A123" t="s">
        <v>291</v>
      </c>
      <c r="B123" t="s">
        <v>289</v>
      </c>
      <c r="C123" t="s">
        <v>290</v>
      </c>
      <c r="D123" t="s">
        <v>33</v>
      </c>
      <c r="E123" s="5">
        <v>21</v>
      </c>
      <c r="F123">
        <v>4.13</v>
      </c>
      <c r="G123">
        <v>0</v>
      </c>
      <c r="H123">
        <v>0.83</v>
      </c>
      <c r="I123">
        <v>0.8</v>
      </c>
      <c r="J123">
        <v>165</v>
      </c>
      <c r="M123">
        <v>7.8571429999999998</v>
      </c>
      <c r="O123">
        <v>2016857</v>
      </c>
      <c r="P123" t="s">
        <v>542</v>
      </c>
      <c r="Q123">
        <v>4</v>
      </c>
      <c r="R123">
        <v>3</v>
      </c>
      <c r="S123">
        <v>1</v>
      </c>
    </row>
    <row r="124" spans="1:19" x14ac:dyDescent="0.25">
      <c r="A124" t="s">
        <v>292</v>
      </c>
      <c r="B124" t="s">
        <v>293</v>
      </c>
      <c r="C124" t="s">
        <v>247</v>
      </c>
      <c r="D124" t="s">
        <v>33</v>
      </c>
      <c r="E124" s="5">
        <v>85</v>
      </c>
      <c r="F124">
        <v>15.4</v>
      </c>
      <c r="G124">
        <v>0</v>
      </c>
      <c r="H124">
        <v>4.62</v>
      </c>
      <c r="I124">
        <v>3.8</v>
      </c>
      <c r="J124">
        <v>269</v>
      </c>
      <c r="M124">
        <v>3.1647059999999998</v>
      </c>
      <c r="O124">
        <v>2016827</v>
      </c>
      <c r="P124" t="s">
        <v>541</v>
      </c>
      <c r="Q124">
        <v>5</v>
      </c>
      <c r="R124">
        <v>4</v>
      </c>
      <c r="S124">
        <v>3</v>
      </c>
    </row>
    <row r="125" spans="1:19" x14ac:dyDescent="0.25">
      <c r="A125" t="s">
        <v>294</v>
      </c>
      <c r="B125" t="s">
        <v>295</v>
      </c>
      <c r="C125" t="s">
        <v>235</v>
      </c>
      <c r="D125" t="s">
        <v>33</v>
      </c>
      <c r="E125" s="5">
        <v>33</v>
      </c>
      <c r="F125">
        <v>6.67</v>
      </c>
      <c r="G125">
        <v>0</v>
      </c>
      <c r="H125">
        <v>0.83</v>
      </c>
      <c r="I125">
        <v>0.8</v>
      </c>
      <c r="J125">
        <v>208</v>
      </c>
      <c r="M125">
        <v>6.3030299999999997</v>
      </c>
      <c r="O125">
        <v>2289815</v>
      </c>
      <c r="P125" t="s">
        <v>542</v>
      </c>
      <c r="Q125">
        <v>4</v>
      </c>
      <c r="R125">
        <v>3</v>
      </c>
      <c r="S125">
        <v>1</v>
      </c>
    </row>
    <row r="126" spans="1:19" x14ac:dyDescent="0.25">
      <c r="A126" t="s">
        <v>296</v>
      </c>
      <c r="B126" t="s">
        <v>297</v>
      </c>
      <c r="C126" t="s">
        <v>217</v>
      </c>
      <c r="D126" t="s">
        <v>28</v>
      </c>
      <c r="E126" s="5">
        <v>333</v>
      </c>
      <c r="F126">
        <v>0.67</v>
      </c>
      <c r="G126">
        <v>32.700000000000003</v>
      </c>
      <c r="H126">
        <v>20.7</v>
      </c>
      <c r="I126">
        <v>40.700000000000003</v>
      </c>
      <c r="J126">
        <v>0</v>
      </c>
      <c r="K126">
        <v>700</v>
      </c>
      <c r="L126">
        <v>393</v>
      </c>
      <c r="M126">
        <v>3.2822819999999999</v>
      </c>
      <c r="N126" t="s">
        <v>29</v>
      </c>
      <c r="O126">
        <v>2287895</v>
      </c>
      <c r="P126" t="s">
        <v>541</v>
      </c>
      <c r="Q126">
        <v>5</v>
      </c>
      <c r="R126">
        <v>4</v>
      </c>
      <c r="S126">
        <v>4</v>
      </c>
    </row>
    <row r="127" spans="1:19" x14ac:dyDescent="0.25">
      <c r="A127" t="s">
        <v>298</v>
      </c>
      <c r="B127" t="s">
        <v>299</v>
      </c>
      <c r="C127" t="s">
        <v>217</v>
      </c>
      <c r="D127" t="s">
        <v>23</v>
      </c>
      <c r="E127" s="5">
        <v>536</v>
      </c>
      <c r="F127">
        <v>28.6</v>
      </c>
      <c r="G127">
        <v>28.6</v>
      </c>
      <c r="H127">
        <v>17.899999999999999</v>
      </c>
      <c r="I127">
        <v>28.6</v>
      </c>
      <c r="J127">
        <v>32</v>
      </c>
      <c r="M127">
        <v>5.9700999999999997E-2</v>
      </c>
      <c r="N127" t="s">
        <v>24</v>
      </c>
      <c r="O127">
        <v>1522400</v>
      </c>
      <c r="P127" t="s">
        <v>541</v>
      </c>
      <c r="Q127">
        <v>5</v>
      </c>
      <c r="R127">
        <v>3</v>
      </c>
      <c r="S127">
        <v>4</v>
      </c>
    </row>
    <row r="128" spans="1:19" x14ac:dyDescent="0.25">
      <c r="A128" t="s">
        <v>300</v>
      </c>
      <c r="B128" t="s">
        <v>301</v>
      </c>
      <c r="C128" t="s">
        <v>302</v>
      </c>
      <c r="D128" t="s">
        <v>23</v>
      </c>
      <c r="E128" s="5">
        <v>594</v>
      </c>
      <c r="F128">
        <v>25</v>
      </c>
      <c r="G128">
        <v>50</v>
      </c>
      <c r="H128">
        <v>21.9</v>
      </c>
      <c r="I128">
        <v>12.5</v>
      </c>
      <c r="J128">
        <v>0</v>
      </c>
      <c r="M128">
        <v>0</v>
      </c>
      <c r="N128" t="s">
        <v>24</v>
      </c>
      <c r="O128">
        <v>2285416</v>
      </c>
      <c r="P128" t="s">
        <v>541</v>
      </c>
      <c r="Q128">
        <v>5</v>
      </c>
      <c r="R128">
        <v>2</v>
      </c>
      <c r="S128">
        <v>4</v>
      </c>
    </row>
    <row r="129" spans="1:19" x14ac:dyDescent="0.25">
      <c r="A129" t="s">
        <v>303</v>
      </c>
      <c r="B129" t="s">
        <v>304</v>
      </c>
      <c r="C129" t="s">
        <v>247</v>
      </c>
      <c r="D129" t="s">
        <v>33</v>
      </c>
      <c r="E129" s="5">
        <v>97</v>
      </c>
      <c r="F129">
        <v>17.7</v>
      </c>
      <c r="G129">
        <v>0.44</v>
      </c>
      <c r="H129">
        <v>6.19</v>
      </c>
      <c r="I129">
        <v>5.3</v>
      </c>
      <c r="J129">
        <v>336</v>
      </c>
      <c r="M129">
        <v>3.4639180000000001</v>
      </c>
      <c r="O129">
        <v>2031508</v>
      </c>
      <c r="P129" t="s">
        <v>541</v>
      </c>
      <c r="Q129">
        <v>5</v>
      </c>
      <c r="R129">
        <v>4</v>
      </c>
      <c r="S129">
        <v>3</v>
      </c>
    </row>
    <row r="130" spans="1:19" x14ac:dyDescent="0.25">
      <c r="A130" t="s">
        <v>305</v>
      </c>
      <c r="B130" t="s">
        <v>306</v>
      </c>
      <c r="C130" t="s">
        <v>214</v>
      </c>
      <c r="D130" t="s">
        <v>28</v>
      </c>
      <c r="E130" s="5">
        <v>357</v>
      </c>
      <c r="F130">
        <v>3.57</v>
      </c>
      <c r="G130">
        <v>28.6</v>
      </c>
      <c r="H130">
        <v>25</v>
      </c>
      <c r="I130">
        <v>0</v>
      </c>
      <c r="J130">
        <v>1360</v>
      </c>
      <c r="M130">
        <v>3.8095240000000001</v>
      </c>
      <c r="N130" t="s">
        <v>29</v>
      </c>
      <c r="O130">
        <v>2015648</v>
      </c>
      <c r="P130" t="s">
        <v>541</v>
      </c>
      <c r="Q130">
        <v>2</v>
      </c>
      <c r="R130">
        <v>3</v>
      </c>
      <c r="S130">
        <v>3</v>
      </c>
    </row>
    <row r="131" spans="1:19" x14ac:dyDescent="0.25">
      <c r="A131" t="s">
        <v>307</v>
      </c>
      <c r="B131" t="s">
        <v>308</v>
      </c>
      <c r="C131" t="s">
        <v>211</v>
      </c>
      <c r="D131" t="s">
        <v>33</v>
      </c>
      <c r="E131" s="5">
        <v>34</v>
      </c>
      <c r="F131">
        <v>3.45</v>
      </c>
      <c r="G131">
        <v>0</v>
      </c>
      <c r="H131">
        <v>2.2999999999999998</v>
      </c>
      <c r="I131">
        <v>2.2999999999999998</v>
      </c>
      <c r="J131">
        <v>34</v>
      </c>
      <c r="M131">
        <v>1</v>
      </c>
      <c r="O131">
        <v>2059124</v>
      </c>
      <c r="P131" t="s">
        <v>542</v>
      </c>
      <c r="Q131">
        <v>5</v>
      </c>
      <c r="R131">
        <v>4</v>
      </c>
      <c r="S131">
        <v>1</v>
      </c>
    </row>
    <row r="132" spans="1:19" x14ac:dyDescent="0.25">
      <c r="A132" t="s">
        <v>309</v>
      </c>
      <c r="B132" t="s">
        <v>310</v>
      </c>
      <c r="C132" t="s">
        <v>214</v>
      </c>
      <c r="D132" t="s">
        <v>28</v>
      </c>
      <c r="E132" s="5">
        <v>286</v>
      </c>
      <c r="F132">
        <v>3.57</v>
      </c>
      <c r="G132">
        <v>21.4</v>
      </c>
      <c r="H132">
        <v>17.899999999999999</v>
      </c>
      <c r="I132">
        <v>0</v>
      </c>
      <c r="J132">
        <v>1140</v>
      </c>
      <c r="M132">
        <v>3.9860139999999999</v>
      </c>
      <c r="N132" t="s">
        <v>29</v>
      </c>
      <c r="O132">
        <v>2055190</v>
      </c>
      <c r="P132" t="s">
        <v>541</v>
      </c>
      <c r="Q132">
        <v>2</v>
      </c>
      <c r="R132">
        <v>3</v>
      </c>
      <c r="S132">
        <v>3</v>
      </c>
    </row>
    <row r="133" spans="1:19" x14ac:dyDescent="0.25">
      <c r="A133" t="s">
        <v>311</v>
      </c>
      <c r="B133" t="s">
        <v>312</v>
      </c>
      <c r="C133" t="s">
        <v>313</v>
      </c>
      <c r="D133" t="s">
        <v>33</v>
      </c>
      <c r="E133" s="5">
        <v>238</v>
      </c>
      <c r="F133">
        <v>23.8</v>
      </c>
      <c r="G133">
        <v>11.9</v>
      </c>
      <c r="H133">
        <v>10.7</v>
      </c>
      <c r="I133">
        <v>1.2</v>
      </c>
      <c r="J133">
        <v>929</v>
      </c>
      <c r="M133">
        <v>3.9033609999999999</v>
      </c>
      <c r="O133">
        <v>2082145</v>
      </c>
      <c r="P133" t="s">
        <v>541</v>
      </c>
      <c r="Q133">
        <v>4</v>
      </c>
      <c r="R133">
        <v>3</v>
      </c>
      <c r="S133">
        <v>3</v>
      </c>
    </row>
    <row r="134" spans="1:19" x14ac:dyDescent="0.25">
      <c r="A134" t="s">
        <v>314</v>
      </c>
      <c r="B134" t="s">
        <v>315</v>
      </c>
      <c r="C134" t="s">
        <v>214</v>
      </c>
      <c r="D134" t="s">
        <v>28</v>
      </c>
      <c r="E134" s="5">
        <v>78</v>
      </c>
      <c r="F134">
        <v>5.22</v>
      </c>
      <c r="G134">
        <v>1.3</v>
      </c>
      <c r="H134">
        <v>12.2</v>
      </c>
      <c r="I134">
        <v>0</v>
      </c>
      <c r="J134">
        <v>417</v>
      </c>
      <c r="M134">
        <v>5.3461540000000003</v>
      </c>
      <c r="N134" t="s">
        <v>29</v>
      </c>
      <c r="O134">
        <v>2121378</v>
      </c>
      <c r="P134" t="s">
        <v>541</v>
      </c>
      <c r="Q134">
        <v>4</v>
      </c>
      <c r="R134">
        <v>4</v>
      </c>
      <c r="S134">
        <v>3</v>
      </c>
    </row>
    <row r="135" spans="1:19" x14ac:dyDescent="0.25">
      <c r="A135" t="s">
        <v>316</v>
      </c>
      <c r="B135" t="s">
        <v>317</v>
      </c>
      <c r="C135" t="s">
        <v>318</v>
      </c>
      <c r="D135" t="s">
        <v>33</v>
      </c>
      <c r="E135" s="5">
        <v>136</v>
      </c>
      <c r="F135">
        <v>0</v>
      </c>
      <c r="G135">
        <v>9.09</v>
      </c>
      <c r="H135">
        <v>13.6</v>
      </c>
      <c r="J135">
        <v>136</v>
      </c>
      <c r="K135">
        <v>136</v>
      </c>
      <c r="M135">
        <v>2</v>
      </c>
      <c r="O135">
        <v>1662591</v>
      </c>
      <c r="P135" t="s">
        <v>541</v>
      </c>
      <c r="Q135">
        <v>4</v>
      </c>
      <c r="R135">
        <v>3</v>
      </c>
      <c r="S135">
        <v>2</v>
      </c>
    </row>
    <row r="136" spans="1:19" x14ac:dyDescent="0.25">
      <c r="A136" t="s">
        <v>319</v>
      </c>
      <c r="B136" t="s">
        <v>320</v>
      </c>
      <c r="C136" t="s">
        <v>214</v>
      </c>
      <c r="D136" t="s">
        <v>28</v>
      </c>
      <c r="E136" s="5">
        <v>250</v>
      </c>
      <c r="F136">
        <v>3.57</v>
      </c>
      <c r="G136">
        <v>14.3</v>
      </c>
      <c r="H136">
        <v>28.6</v>
      </c>
      <c r="I136">
        <v>0</v>
      </c>
      <c r="J136">
        <v>714</v>
      </c>
      <c r="M136">
        <v>2.8559999999999999</v>
      </c>
      <c r="N136" t="s">
        <v>29</v>
      </c>
      <c r="O136">
        <v>2055211</v>
      </c>
      <c r="P136" t="s">
        <v>541</v>
      </c>
      <c r="Q136">
        <v>2</v>
      </c>
      <c r="R136">
        <v>3</v>
      </c>
      <c r="S136">
        <v>3</v>
      </c>
    </row>
    <row r="137" spans="1:19" x14ac:dyDescent="0.25">
      <c r="A137" t="s">
        <v>321</v>
      </c>
      <c r="B137" t="s">
        <v>322</v>
      </c>
      <c r="C137" t="s">
        <v>214</v>
      </c>
      <c r="D137" t="s">
        <v>28</v>
      </c>
      <c r="E137" s="5">
        <v>381</v>
      </c>
      <c r="F137">
        <v>4.76</v>
      </c>
      <c r="G137">
        <v>28.6</v>
      </c>
      <c r="H137">
        <v>23.8</v>
      </c>
      <c r="I137">
        <v>0</v>
      </c>
      <c r="J137">
        <v>857</v>
      </c>
      <c r="M137">
        <v>2.2493439999999998</v>
      </c>
      <c r="N137" t="s">
        <v>29</v>
      </c>
      <c r="O137">
        <v>2055163</v>
      </c>
      <c r="P137" t="s">
        <v>541</v>
      </c>
      <c r="Q137">
        <v>2</v>
      </c>
      <c r="R137">
        <v>3</v>
      </c>
      <c r="S137">
        <v>3</v>
      </c>
    </row>
    <row r="138" spans="1:19" x14ac:dyDescent="0.25">
      <c r="A138" t="s">
        <v>323</v>
      </c>
      <c r="B138" t="s">
        <v>324</v>
      </c>
      <c r="C138" t="s">
        <v>214</v>
      </c>
      <c r="D138" t="s">
        <v>108</v>
      </c>
      <c r="E138" s="5">
        <v>381</v>
      </c>
      <c r="F138">
        <v>4.76</v>
      </c>
      <c r="G138">
        <v>28.6</v>
      </c>
      <c r="H138">
        <v>28.6</v>
      </c>
      <c r="I138">
        <v>0</v>
      </c>
      <c r="J138">
        <v>238</v>
      </c>
      <c r="M138">
        <v>0.62467200000000001</v>
      </c>
      <c r="N138" t="s">
        <v>109</v>
      </c>
      <c r="O138">
        <v>2055161</v>
      </c>
      <c r="P138" t="s">
        <v>541</v>
      </c>
      <c r="Q138">
        <v>2</v>
      </c>
      <c r="R138">
        <v>2</v>
      </c>
      <c r="S138">
        <v>3</v>
      </c>
    </row>
    <row r="139" spans="1:19" x14ac:dyDescent="0.25">
      <c r="A139" t="s">
        <v>325</v>
      </c>
      <c r="B139" t="s">
        <v>326</v>
      </c>
      <c r="C139" t="s">
        <v>264</v>
      </c>
      <c r="D139" t="s">
        <v>33</v>
      </c>
      <c r="E139" s="5">
        <v>57</v>
      </c>
      <c r="F139">
        <v>13.9</v>
      </c>
      <c r="G139">
        <v>0</v>
      </c>
      <c r="H139">
        <v>0</v>
      </c>
      <c r="I139">
        <v>0.8</v>
      </c>
      <c r="J139">
        <v>0</v>
      </c>
      <c r="M139">
        <v>0</v>
      </c>
      <c r="O139">
        <v>2026572</v>
      </c>
      <c r="P139" t="s">
        <v>542</v>
      </c>
      <c r="Q139">
        <v>3</v>
      </c>
      <c r="R139">
        <v>2</v>
      </c>
      <c r="S139">
        <v>1</v>
      </c>
    </row>
    <row r="140" spans="1:19" x14ac:dyDescent="0.25">
      <c r="A140" t="s">
        <v>327</v>
      </c>
      <c r="B140" t="s">
        <v>328</v>
      </c>
      <c r="C140" t="s">
        <v>329</v>
      </c>
      <c r="D140" t="s">
        <v>23</v>
      </c>
      <c r="E140" s="5">
        <v>357</v>
      </c>
      <c r="F140">
        <v>73.2</v>
      </c>
      <c r="G140">
        <v>2.68</v>
      </c>
      <c r="H140">
        <v>12.5</v>
      </c>
      <c r="I140">
        <v>10.7</v>
      </c>
      <c r="J140">
        <v>9</v>
      </c>
      <c r="M140">
        <v>2.521E-2</v>
      </c>
      <c r="N140" t="s">
        <v>24</v>
      </c>
      <c r="O140">
        <v>372928</v>
      </c>
      <c r="P140" t="s">
        <v>541</v>
      </c>
      <c r="Q140">
        <v>4</v>
      </c>
      <c r="R140">
        <v>3</v>
      </c>
      <c r="S140">
        <v>4</v>
      </c>
    </row>
    <row r="141" spans="1:19" x14ac:dyDescent="0.25">
      <c r="A141" t="s">
        <v>330</v>
      </c>
      <c r="B141" t="s">
        <v>331</v>
      </c>
      <c r="C141" t="s">
        <v>208</v>
      </c>
      <c r="D141" t="s">
        <v>108</v>
      </c>
      <c r="E141" s="5">
        <v>250</v>
      </c>
      <c r="F141">
        <v>0</v>
      </c>
      <c r="G141">
        <v>19.600000000000001</v>
      </c>
      <c r="H141">
        <v>17</v>
      </c>
      <c r="I141">
        <v>0</v>
      </c>
      <c r="J141">
        <v>67</v>
      </c>
      <c r="M141">
        <v>0.26800000000000002</v>
      </c>
      <c r="N141" t="s">
        <v>109</v>
      </c>
      <c r="O141">
        <v>1662349</v>
      </c>
      <c r="P141" t="s">
        <v>541</v>
      </c>
      <c r="Q141">
        <v>2</v>
      </c>
      <c r="R141">
        <v>2</v>
      </c>
      <c r="S141">
        <v>3</v>
      </c>
    </row>
    <row r="142" spans="1:19" x14ac:dyDescent="0.25">
      <c r="A142" t="s">
        <v>332</v>
      </c>
      <c r="B142" t="s">
        <v>333</v>
      </c>
      <c r="C142" t="s">
        <v>334</v>
      </c>
      <c r="D142" t="s">
        <v>33</v>
      </c>
      <c r="E142" s="5">
        <v>42</v>
      </c>
      <c r="F142">
        <v>5.08</v>
      </c>
      <c r="G142">
        <v>1.06</v>
      </c>
      <c r="H142">
        <v>3.39</v>
      </c>
      <c r="I142">
        <v>0</v>
      </c>
      <c r="J142">
        <v>44</v>
      </c>
      <c r="K142">
        <v>157</v>
      </c>
      <c r="M142">
        <v>4.7857139999999996</v>
      </c>
      <c r="O142">
        <v>2083609</v>
      </c>
      <c r="P142" t="s">
        <v>541</v>
      </c>
      <c r="Q142">
        <v>3</v>
      </c>
      <c r="R142">
        <v>3</v>
      </c>
      <c r="S142">
        <v>1</v>
      </c>
    </row>
    <row r="143" spans="1:19" x14ac:dyDescent="0.25">
      <c r="A143" t="s">
        <v>335</v>
      </c>
      <c r="B143" t="s">
        <v>336</v>
      </c>
      <c r="C143" t="s">
        <v>217</v>
      </c>
      <c r="D143" t="s">
        <v>28</v>
      </c>
      <c r="E143" s="5">
        <v>600</v>
      </c>
      <c r="F143">
        <v>6.67</v>
      </c>
      <c r="G143">
        <v>46.7</v>
      </c>
      <c r="H143">
        <v>33.299999999999997</v>
      </c>
      <c r="I143">
        <v>6.7</v>
      </c>
      <c r="J143">
        <v>0</v>
      </c>
      <c r="K143">
        <v>1100</v>
      </c>
      <c r="L143">
        <v>533</v>
      </c>
      <c r="M143">
        <v>2.7216670000000001</v>
      </c>
      <c r="N143" t="s">
        <v>29</v>
      </c>
      <c r="O143">
        <v>1045813</v>
      </c>
      <c r="P143" t="s">
        <v>541</v>
      </c>
      <c r="Q143">
        <v>5</v>
      </c>
      <c r="R143">
        <v>3</v>
      </c>
      <c r="S143">
        <v>4</v>
      </c>
    </row>
    <row r="144" spans="1:19" x14ac:dyDescent="0.25">
      <c r="A144" t="s">
        <v>337</v>
      </c>
      <c r="B144" t="s">
        <v>338</v>
      </c>
      <c r="C144" t="s">
        <v>208</v>
      </c>
      <c r="D144" t="s">
        <v>33</v>
      </c>
      <c r="E144" s="5">
        <v>94</v>
      </c>
      <c r="F144">
        <v>3.53</v>
      </c>
      <c r="G144">
        <v>4.12</v>
      </c>
      <c r="H144">
        <v>10.6</v>
      </c>
      <c r="I144">
        <v>2.4</v>
      </c>
      <c r="J144">
        <v>12</v>
      </c>
      <c r="K144">
        <v>118</v>
      </c>
      <c r="M144">
        <v>1.382979</v>
      </c>
      <c r="O144">
        <v>2676970</v>
      </c>
      <c r="P144" t="s">
        <v>541</v>
      </c>
      <c r="Q144">
        <v>5</v>
      </c>
      <c r="R144">
        <v>3</v>
      </c>
      <c r="S144">
        <v>2</v>
      </c>
    </row>
    <row r="145" spans="1:19" x14ac:dyDescent="0.25">
      <c r="A145" t="s">
        <v>339</v>
      </c>
      <c r="B145" t="s">
        <v>340</v>
      </c>
      <c r="C145" t="s">
        <v>247</v>
      </c>
      <c r="D145" t="s">
        <v>33</v>
      </c>
      <c r="E145" s="5">
        <v>85</v>
      </c>
      <c r="F145">
        <v>15.4</v>
      </c>
      <c r="G145">
        <v>0.77</v>
      </c>
      <c r="H145">
        <v>5.38</v>
      </c>
      <c r="I145">
        <v>5.4</v>
      </c>
      <c r="J145">
        <v>269</v>
      </c>
      <c r="M145">
        <v>3.1647059999999998</v>
      </c>
      <c r="O145">
        <v>2015573</v>
      </c>
      <c r="P145" t="s">
        <v>541</v>
      </c>
      <c r="Q145">
        <v>5</v>
      </c>
      <c r="R145">
        <v>4</v>
      </c>
      <c r="S145">
        <v>3</v>
      </c>
    </row>
    <row r="146" spans="1:19" x14ac:dyDescent="0.25">
      <c r="A146" t="s">
        <v>341</v>
      </c>
      <c r="B146" t="s">
        <v>342</v>
      </c>
      <c r="C146" t="s">
        <v>302</v>
      </c>
      <c r="D146" t="s">
        <v>33</v>
      </c>
      <c r="E146" s="5">
        <v>594</v>
      </c>
      <c r="F146">
        <v>21.9</v>
      </c>
      <c r="G146">
        <v>50</v>
      </c>
      <c r="H146">
        <v>21.9</v>
      </c>
      <c r="I146">
        <v>6.2</v>
      </c>
      <c r="J146">
        <v>469</v>
      </c>
      <c r="M146">
        <v>0.78956199999999999</v>
      </c>
      <c r="O146">
        <v>2016331</v>
      </c>
      <c r="P146" t="s">
        <v>541</v>
      </c>
      <c r="Q146">
        <v>4</v>
      </c>
      <c r="R146">
        <v>3</v>
      </c>
      <c r="S146">
        <v>4</v>
      </c>
    </row>
    <row r="147" spans="1:19" x14ac:dyDescent="0.25">
      <c r="A147" t="s">
        <v>343</v>
      </c>
      <c r="B147" t="s">
        <v>344</v>
      </c>
      <c r="C147" t="s">
        <v>211</v>
      </c>
      <c r="D147" t="s">
        <v>33</v>
      </c>
      <c r="E147" s="5">
        <v>41</v>
      </c>
      <c r="F147">
        <v>9.41</v>
      </c>
      <c r="G147">
        <v>0</v>
      </c>
      <c r="H147">
        <v>1.18</v>
      </c>
      <c r="I147">
        <v>2.4</v>
      </c>
      <c r="J147">
        <v>35</v>
      </c>
      <c r="M147">
        <v>0.85365899999999995</v>
      </c>
      <c r="O147">
        <v>2016070</v>
      </c>
      <c r="P147" t="s">
        <v>542</v>
      </c>
      <c r="Q147">
        <v>5</v>
      </c>
      <c r="R147">
        <v>3</v>
      </c>
      <c r="S147">
        <v>1</v>
      </c>
    </row>
    <row r="148" spans="1:19" x14ac:dyDescent="0.25">
      <c r="A148" t="s">
        <v>345</v>
      </c>
      <c r="B148" t="s">
        <v>346</v>
      </c>
      <c r="C148" t="s">
        <v>302</v>
      </c>
      <c r="D148" t="s">
        <v>33</v>
      </c>
      <c r="E148" s="5">
        <v>594</v>
      </c>
      <c r="F148">
        <v>21.9</v>
      </c>
      <c r="G148">
        <v>50</v>
      </c>
      <c r="H148">
        <v>21.9</v>
      </c>
      <c r="I148">
        <v>6.2</v>
      </c>
      <c r="J148">
        <v>375</v>
      </c>
      <c r="M148">
        <v>0.63131300000000001</v>
      </c>
      <c r="O148">
        <v>2016327</v>
      </c>
      <c r="P148" t="s">
        <v>541</v>
      </c>
      <c r="Q148">
        <v>4</v>
      </c>
      <c r="R148">
        <v>2</v>
      </c>
      <c r="S148">
        <v>3</v>
      </c>
    </row>
    <row r="149" spans="1:19" x14ac:dyDescent="0.25">
      <c r="A149" t="s">
        <v>347</v>
      </c>
      <c r="B149" t="s">
        <v>348</v>
      </c>
      <c r="C149" t="s">
        <v>235</v>
      </c>
      <c r="D149" t="s">
        <v>33</v>
      </c>
      <c r="E149" s="5">
        <v>17</v>
      </c>
      <c r="F149">
        <v>3.33</v>
      </c>
      <c r="G149">
        <v>0</v>
      </c>
      <c r="H149">
        <v>0.83</v>
      </c>
      <c r="I149">
        <v>1.7</v>
      </c>
      <c r="J149">
        <v>12</v>
      </c>
      <c r="M149">
        <v>0.70588200000000001</v>
      </c>
      <c r="O149">
        <v>2015633</v>
      </c>
      <c r="P149" t="s">
        <v>542</v>
      </c>
      <c r="Q149">
        <v>5</v>
      </c>
      <c r="R149">
        <v>3</v>
      </c>
      <c r="S149">
        <v>1</v>
      </c>
    </row>
    <row r="150" spans="1:19" x14ac:dyDescent="0.25">
      <c r="A150" t="s">
        <v>349</v>
      </c>
      <c r="B150" t="s">
        <v>348</v>
      </c>
      <c r="C150" t="s">
        <v>211</v>
      </c>
      <c r="D150" t="s">
        <v>33</v>
      </c>
      <c r="E150" s="5">
        <v>37</v>
      </c>
      <c r="F150">
        <v>7.41</v>
      </c>
      <c r="G150">
        <v>0</v>
      </c>
      <c r="H150">
        <v>1.23</v>
      </c>
      <c r="I150">
        <v>2.5</v>
      </c>
      <c r="J150">
        <v>0</v>
      </c>
      <c r="M150">
        <v>0</v>
      </c>
      <c r="O150">
        <v>2016056</v>
      </c>
      <c r="P150" t="s">
        <v>542</v>
      </c>
      <c r="Q150">
        <v>2</v>
      </c>
      <c r="R150">
        <v>3</v>
      </c>
      <c r="S150">
        <v>1</v>
      </c>
    </row>
    <row r="151" spans="1:19" x14ac:dyDescent="0.25">
      <c r="A151" t="s">
        <v>350</v>
      </c>
      <c r="B151" t="s">
        <v>351</v>
      </c>
      <c r="C151" t="s">
        <v>235</v>
      </c>
      <c r="D151" t="s">
        <v>33</v>
      </c>
      <c r="E151" s="5">
        <v>21</v>
      </c>
      <c r="F151">
        <v>4.17</v>
      </c>
      <c r="G151">
        <v>0</v>
      </c>
      <c r="H151">
        <v>0.83</v>
      </c>
      <c r="I151">
        <v>1.7</v>
      </c>
      <c r="J151">
        <v>292</v>
      </c>
      <c r="M151">
        <v>13.904762</v>
      </c>
      <c r="O151">
        <v>2015636</v>
      </c>
      <c r="P151" t="s">
        <v>542</v>
      </c>
      <c r="Q151">
        <v>2</v>
      </c>
      <c r="R151">
        <v>3</v>
      </c>
      <c r="S151">
        <v>1</v>
      </c>
    </row>
    <row r="152" spans="1:19" x14ac:dyDescent="0.25">
      <c r="A152" t="s">
        <v>352</v>
      </c>
      <c r="B152" t="s">
        <v>353</v>
      </c>
      <c r="C152" t="s">
        <v>235</v>
      </c>
      <c r="D152" t="s">
        <v>28</v>
      </c>
      <c r="E152" s="5">
        <v>17</v>
      </c>
      <c r="F152">
        <v>2.5</v>
      </c>
      <c r="G152">
        <v>0</v>
      </c>
      <c r="H152">
        <v>1.67</v>
      </c>
      <c r="I152">
        <v>0.8</v>
      </c>
      <c r="J152">
        <v>300</v>
      </c>
      <c r="M152">
        <v>17.647058999999999</v>
      </c>
      <c r="N152" t="s">
        <v>29</v>
      </c>
      <c r="O152">
        <v>2015558</v>
      </c>
      <c r="P152" t="s">
        <v>542</v>
      </c>
      <c r="Q152">
        <v>5</v>
      </c>
      <c r="R152">
        <v>3</v>
      </c>
      <c r="S152">
        <v>1</v>
      </c>
    </row>
    <row r="153" spans="1:19" x14ac:dyDescent="0.25">
      <c r="A153" t="s">
        <v>354</v>
      </c>
      <c r="B153" t="s">
        <v>355</v>
      </c>
      <c r="C153" t="s">
        <v>214</v>
      </c>
      <c r="D153" t="s">
        <v>28</v>
      </c>
      <c r="E153" s="5">
        <v>80</v>
      </c>
      <c r="F153">
        <v>3.54</v>
      </c>
      <c r="G153">
        <v>0.88</v>
      </c>
      <c r="H153">
        <v>13.3</v>
      </c>
      <c r="I153">
        <v>0</v>
      </c>
      <c r="J153">
        <v>319</v>
      </c>
      <c r="M153">
        <v>3.9874999999999998</v>
      </c>
      <c r="N153" t="s">
        <v>29</v>
      </c>
      <c r="O153">
        <v>2017308</v>
      </c>
      <c r="P153" t="s">
        <v>541</v>
      </c>
      <c r="Q153">
        <v>4</v>
      </c>
      <c r="R153">
        <v>4</v>
      </c>
      <c r="S153">
        <v>2</v>
      </c>
    </row>
    <row r="154" spans="1:19" x14ac:dyDescent="0.25">
      <c r="A154" t="s">
        <v>356</v>
      </c>
      <c r="B154" t="s">
        <v>357</v>
      </c>
      <c r="C154" t="s">
        <v>235</v>
      </c>
      <c r="D154" t="s">
        <v>33</v>
      </c>
      <c r="E154" s="5">
        <v>56</v>
      </c>
      <c r="F154">
        <v>9.6</v>
      </c>
      <c r="G154">
        <v>0.4</v>
      </c>
      <c r="H154">
        <v>3.2</v>
      </c>
      <c r="I154">
        <v>2.4</v>
      </c>
      <c r="J154">
        <v>256</v>
      </c>
      <c r="M154">
        <v>4.5714290000000002</v>
      </c>
      <c r="O154">
        <v>2015631</v>
      </c>
      <c r="P154" t="s">
        <v>542</v>
      </c>
      <c r="Q154">
        <v>4</v>
      </c>
      <c r="R154">
        <v>3</v>
      </c>
      <c r="S154">
        <v>1</v>
      </c>
    </row>
    <row r="155" spans="1:19" x14ac:dyDescent="0.25">
      <c r="A155" t="s">
        <v>358</v>
      </c>
      <c r="B155" t="s">
        <v>359</v>
      </c>
      <c r="C155" t="s">
        <v>235</v>
      </c>
      <c r="D155" t="s">
        <v>33</v>
      </c>
      <c r="E155" s="5">
        <v>32</v>
      </c>
      <c r="F155">
        <v>6.4</v>
      </c>
      <c r="G155">
        <v>0</v>
      </c>
      <c r="H155">
        <v>0.8</v>
      </c>
      <c r="I155">
        <v>0.8</v>
      </c>
      <c r="J155">
        <v>208</v>
      </c>
      <c r="M155">
        <v>6.5</v>
      </c>
      <c r="O155">
        <v>2290128</v>
      </c>
      <c r="P155" t="s">
        <v>542</v>
      </c>
      <c r="Q155">
        <v>4</v>
      </c>
      <c r="R155">
        <v>3</v>
      </c>
      <c r="S155">
        <v>1</v>
      </c>
    </row>
    <row r="156" spans="1:19" x14ac:dyDescent="0.25">
      <c r="A156" t="s">
        <v>360</v>
      </c>
      <c r="B156" t="s">
        <v>361</v>
      </c>
      <c r="C156" t="s">
        <v>214</v>
      </c>
      <c r="D156" t="s">
        <v>108</v>
      </c>
      <c r="E156" s="5">
        <v>357</v>
      </c>
      <c r="F156">
        <v>3.57</v>
      </c>
      <c r="G156">
        <v>28.6</v>
      </c>
      <c r="H156">
        <v>28.6</v>
      </c>
      <c r="I156">
        <v>0</v>
      </c>
      <c r="J156">
        <v>36</v>
      </c>
      <c r="M156">
        <v>0.10084</v>
      </c>
      <c r="N156" t="s">
        <v>109</v>
      </c>
      <c r="O156">
        <v>361145</v>
      </c>
      <c r="P156" t="s">
        <v>541</v>
      </c>
      <c r="Q156">
        <v>3</v>
      </c>
      <c r="R156">
        <v>2</v>
      </c>
      <c r="S156">
        <v>1</v>
      </c>
    </row>
    <row r="157" spans="1:19" x14ac:dyDescent="0.25">
      <c r="A157" t="s">
        <v>362</v>
      </c>
      <c r="B157" t="s">
        <v>363</v>
      </c>
      <c r="C157" t="s">
        <v>214</v>
      </c>
      <c r="D157" t="s">
        <v>28</v>
      </c>
      <c r="E157" s="5">
        <v>70</v>
      </c>
      <c r="F157">
        <v>5.26</v>
      </c>
      <c r="G157">
        <v>0</v>
      </c>
      <c r="H157">
        <v>11.4</v>
      </c>
      <c r="I157">
        <v>0</v>
      </c>
      <c r="J157">
        <v>368</v>
      </c>
      <c r="M157">
        <v>5.2571430000000001</v>
      </c>
      <c r="N157" t="s">
        <v>29</v>
      </c>
      <c r="O157">
        <v>2017302</v>
      </c>
      <c r="P157" t="s">
        <v>541</v>
      </c>
      <c r="Q157">
        <v>4</v>
      </c>
      <c r="R157">
        <v>4</v>
      </c>
      <c r="S157">
        <v>3</v>
      </c>
    </row>
    <row r="158" spans="1:19" x14ac:dyDescent="0.25">
      <c r="A158" t="s">
        <v>364</v>
      </c>
      <c r="B158" t="s">
        <v>365</v>
      </c>
      <c r="C158" t="s">
        <v>211</v>
      </c>
      <c r="D158" t="s">
        <v>33</v>
      </c>
      <c r="E158" s="5">
        <v>59</v>
      </c>
      <c r="F158">
        <v>10.6</v>
      </c>
      <c r="G158">
        <v>0</v>
      </c>
      <c r="H158">
        <v>2.35</v>
      </c>
      <c r="I158">
        <v>3.5</v>
      </c>
      <c r="J158">
        <v>24</v>
      </c>
      <c r="M158">
        <v>0.40677999999999997</v>
      </c>
      <c r="O158">
        <v>2016066</v>
      </c>
      <c r="P158" t="s">
        <v>542</v>
      </c>
      <c r="Q158">
        <v>5</v>
      </c>
      <c r="R158">
        <v>4</v>
      </c>
      <c r="S158">
        <v>2</v>
      </c>
    </row>
    <row r="159" spans="1:19" x14ac:dyDescent="0.25">
      <c r="A159" t="s">
        <v>366</v>
      </c>
      <c r="B159" t="s">
        <v>367</v>
      </c>
      <c r="C159" t="s">
        <v>205</v>
      </c>
      <c r="D159" t="s">
        <v>33</v>
      </c>
      <c r="E159" s="5">
        <v>50</v>
      </c>
      <c r="F159">
        <v>12.1</v>
      </c>
      <c r="G159">
        <v>0</v>
      </c>
      <c r="H159">
        <v>1.43</v>
      </c>
      <c r="I159">
        <v>6.4</v>
      </c>
      <c r="J159">
        <v>0</v>
      </c>
      <c r="M159">
        <v>0</v>
      </c>
      <c r="O159">
        <v>2456156</v>
      </c>
      <c r="P159" t="s">
        <v>542</v>
      </c>
      <c r="Q159">
        <v>5</v>
      </c>
      <c r="R159">
        <v>3</v>
      </c>
      <c r="S159">
        <v>1</v>
      </c>
    </row>
    <row r="160" spans="1:19" x14ac:dyDescent="0.25">
      <c r="A160" t="s">
        <v>368</v>
      </c>
      <c r="B160" t="s">
        <v>369</v>
      </c>
      <c r="C160" t="s">
        <v>247</v>
      </c>
      <c r="D160" t="s">
        <v>33</v>
      </c>
      <c r="E160" s="5">
        <v>85</v>
      </c>
      <c r="F160">
        <v>14.6</v>
      </c>
      <c r="G160">
        <v>0</v>
      </c>
      <c r="H160">
        <v>6.15</v>
      </c>
      <c r="I160">
        <v>4.5999999999999996</v>
      </c>
      <c r="J160">
        <v>292</v>
      </c>
      <c r="M160">
        <v>3.4352939999999998</v>
      </c>
      <c r="O160">
        <v>2015576</v>
      </c>
      <c r="P160" t="s">
        <v>541</v>
      </c>
      <c r="Q160">
        <v>4</v>
      </c>
      <c r="R160">
        <v>5</v>
      </c>
      <c r="S160">
        <v>3</v>
      </c>
    </row>
    <row r="161" spans="1:19" x14ac:dyDescent="0.25">
      <c r="A161" t="s">
        <v>370</v>
      </c>
      <c r="B161" t="s">
        <v>371</v>
      </c>
      <c r="C161" t="s">
        <v>214</v>
      </c>
      <c r="D161" t="s">
        <v>28</v>
      </c>
      <c r="E161" s="5">
        <v>321</v>
      </c>
      <c r="F161">
        <v>3.57</v>
      </c>
      <c r="G161">
        <v>25</v>
      </c>
      <c r="H161">
        <v>28.6</v>
      </c>
      <c r="I161">
        <v>0</v>
      </c>
      <c r="J161">
        <v>1570</v>
      </c>
      <c r="M161">
        <v>4.8909659999999997</v>
      </c>
      <c r="N161" t="s">
        <v>29</v>
      </c>
      <c r="O161">
        <v>382112</v>
      </c>
      <c r="P161" t="s">
        <v>541</v>
      </c>
      <c r="Q161">
        <v>3</v>
      </c>
      <c r="R161">
        <v>4</v>
      </c>
      <c r="S161">
        <v>1</v>
      </c>
    </row>
    <row r="162" spans="1:19" x14ac:dyDescent="0.25">
      <c r="A162" t="s">
        <v>372</v>
      </c>
      <c r="B162" t="s">
        <v>373</v>
      </c>
      <c r="C162" t="s">
        <v>214</v>
      </c>
      <c r="D162" t="s">
        <v>28</v>
      </c>
      <c r="E162" s="5">
        <v>286</v>
      </c>
      <c r="F162">
        <v>3.57</v>
      </c>
      <c r="G162">
        <v>21.4</v>
      </c>
      <c r="H162">
        <v>25</v>
      </c>
      <c r="I162">
        <v>0</v>
      </c>
      <c r="J162">
        <v>536</v>
      </c>
      <c r="M162">
        <v>1.874126</v>
      </c>
      <c r="N162" t="s">
        <v>29</v>
      </c>
      <c r="O162">
        <v>2016891</v>
      </c>
      <c r="P162" t="s">
        <v>541</v>
      </c>
      <c r="Q162">
        <v>3</v>
      </c>
      <c r="R162">
        <v>3</v>
      </c>
      <c r="S162">
        <v>1</v>
      </c>
    </row>
    <row r="163" spans="1:19" x14ac:dyDescent="0.25">
      <c r="A163" t="s">
        <v>374</v>
      </c>
      <c r="B163" t="s">
        <v>375</v>
      </c>
      <c r="C163" t="s">
        <v>235</v>
      </c>
      <c r="D163" t="s">
        <v>28</v>
      </c>
      <c r="E163" s="5">
        <v>17</v>
      </c>
      <c r="F163">
        <v>2.61</v>
      </c>
      <c r="G163">
        <v>0</v>
      </c>
      <c r="H163">
        <v>1.74</v>
      </c>
      <c r="I163">
        <v>0.9</v>
      </c>
      <c r="J163">
        <v>339</v>
      </c>
      <c r="M163">
        <v>19.941175999999999</v>
      </c>
      <c r="N163" t="s">
        <v>29</v>
      </c>
      <c r="O163">
        <v>2015554</v>
      </c>
      <c r="P163" t="s">
        <v>542</v>
      </c>
      <c r="Q163">
        <v>5</v>
      </c>
      <c r="R163">
        <v>3</v>
      </c>
      <c r="S163">
        <v>1</v>
      </c>
    </row>
    <row r="164" spans="1:19" x14ac:dyDescent="0.25">
      <c r="A164" t="s">
        <v>376</v>
      </c>
      <c r="B164" t="s">
        <v>377</v>
      </c>
      <c r="C164" t="s">
        <v>235</v>
      </c>
      <c r="D164" t="s">
        <v>28</v>
      </c>
      <c r="E164" s="5">
        <v>25</v>
      </c>
      <c r="F164">
        <v>3.33</v>
      </c>
      <c r="G164">
        <v>0</v>
      </c>
      <c r="H164">
        <v>2.5</v>
      </c>
      <c r="I164">
        <v>1.7</v>
      </c>
      <c r="J164">
        <v>367</v>
      </c>
      <c r="M164">
        <v>14.68</v>
      </c>
      <c r="N164" t="s">
        <v>29</v>
      </c>
      <c r="O164">
        <v>2015553</v>
      </c>
      <c r="P164" t="s">
        <v>542</v>
      </c>
      <c r="Q164">
        <v>5</v>
      </c>
      <c r="R164">
        <v>4</v>
      </c>
      <c r="S164">
        <v>2</v>
      </c>
    </row>
    <row r="165" spans="1:19" x14ac:dyDescent="0.25">
      <c r="A165" t="s">
        <v>378</v>
      </c>
      <c r="B165" t="s">
        <v>379</v>
      </c>
      <c r="C165" t="s">
        <v>290</v>
      </c>
      <c r="D165" t="s">
        <v>33</v>
      </c>
      <c r="E165" s="5">
        <v>21</v>
      </c>
      <c r="F165">
        <v>4.13</v>
      </c>
      <c r="G165">
        <v>0</v>
      </c>
      <c r="H165">
        <v>0.83</v>
      </c>
      <c r="I165">
        <v>0.8</v>
      </c>
      <c r="J165">
        <v>149</v>
      </c>
      <c r="M165">
        <v>7.0952380000000002</v>
      </c>
      <c r="O165">
        <v>2015386</v>
      </c>
      <c r="P165" t="s">
        <v>542</v>
      </c>
      <c r="Q165">
        <v>4</v>
      </c>
      <c r="R165">
        <v>3</v>
      </c>
      <c r="S165">
        <v>2</v>
      </c>
    </row>
    <row r="166" spans="1:19" x14ac:dyDescent="0.25">
      <c r="A166" t="s">
        <v>380</v>
      </c>
      <c r="B166" t="s">
        <v>381</v>
      </c>
      <c r="C166" t="s">
        <v>302</v>
      </c>
      <c r="D166" t="s">
        <v>23</v>
      </c>
      <c r="E166" s="5">
        <v>594</v>
      </c>
      <c r="F166">
        <v>25</v>
      </c>
      <c r="G166">
        <v>50</v>
      </c>
      <c r="H166">
        <v>21.9</v>
      </c>
      <c r="I166">
        <v>6.2</v>
      </c>
      <c r="J166">
        <v>344</v>
      </c>
      <c r="M166">
        <v>0.579125</v>
      </c>
      <c r="N166" t="s">
        <v>24</v>
      </c>
      <c r="O166">
        <v>2022421</v>
      </c>
      <c r="P166" t="s">
        <v>541</v>
      </c>
      <c r="Q166">
        <v>4</v>
      </c>
      <c r="R166">
        <v>3</v>
      </c>
      <c r="S166">
        <v>3</v>
      </c>
    </row>
    <row r="167" spans="1:19" x14ac:dyDescent="0.25">
      <c r="A167" t="s">
        <v>382</v>
      </c>
      <c r="B167" t="s">
        <v>383</v>
      </c>
      <c r="C167" t="s">
        <v>247</v>
      </c>
      <c r="D167" t="s">
        <v>33</v>
      </c>
      <c r="E167" s="5">
        <v>85</v>
      </c>
      <c r="F167">
        <v>16.2</v>
      </c>
      <c r="G167">
        <v>0</v>
      </c>
      <c r="H167">
        <v>5.38</v>
      </c>
      <c r="I167">
        <v>5.4</v>
      </c>
      <c r="J167">
        <v>277</v>
      </c>
      <c r="M167">
        <v>3.2588240000000002</v>
      </c>
      <c r="O167">
        <v>2016849</v>
      </c>
      <c r="P167" t="s">
        <v>541</v>
      </c>
      <c r="Q167">
        <v>5</v>
      </c>
      <c r="R167">
        <v>3</v>
      </c>
      <c r="S167">
        <v>4</v>
      </c>
    </row>
    <row r="168" spans="1:19" x14ac:dyDescent="0.25">
      <c r="A168" t="s">
        <v>384</v>
      </c>
      <c r="B168" t="s">
        <v>385</v>
      </c>
      <c r="C168" t="s">
        <v>290</v>
      </c>
      <c r="D168" t="s">
        <v>33</v>
      </c>
      <c r="E168" s="5">
        <v>21</v>
      </c>
      <c r="F168">
        <v>4.13</v>
      </c>
      <c r="G168">
        <v>0</v>
      </c>
      <c r="H168">
        <v>0.83</v>
      </c>
      <c r="I168">
        <v>0.8</v>
      </c>
      <c r="J168">
        <v>149</v>
      </c>
      <c r="M168">
        <v>7.0952380000000002</v>
      </c>
      <c r="O168">
        <v>2016856</v>
      </c>
      <c r="P168" t="s">
        <v>542</v>
      </c>
      <c r="Q168">
        <v>4</v>
      </c>
      <c r="R168">
        <v>2</v>
      </c>
      <c r="S168">
        <v>1</v>
      </c>
    </row>
    <row r="169" spans="1:19" x14ac:dyDescent="0.25">
      <c r="A169" t="s">
        <v>386</v>
      </c>
      <c r="B169" t="s">
        <v>387</v>
      </c>
      <c r="C169" t="s">
        <v>235</v>
      </c>
      <c r="D169" t="s">
        <v>33</v>
      </c>
      <c r="E169" s="5">
        <v>17</v>
      </c>
      <c r="F169">
        <v>3.33</v>
      </c>
      <c r="G169">
        <v>0</v>
      </c>
      <c r="H169">
        <v>0.83</v>
      </c>
      <c r="I169">
        <v>1.7</v>
      </c>
      <c r="J169">
        <v>242</v>
      </c>
      <c r="M169">
        <v>14.235294</v>
      </c>
      <c r="O169">
        <v>2016841</v>
      </c>
      <c r="P169" t="s">
        <v>542</v>
      </c>
      <c r="Q169">
        <v>2</v>
      </c>
      <c r="R169">
        <v>3</v>
      </c>
      <c r="S169">
        <v>1</v>
      </c>
    </row>
    <row r="170" spans="1:19" x14ac:dyDescent="0.25">
      <c r="A170" t="s">
        <v>388</v>
      </c>
      <c r="B170" t="s">
        <v>389</v>
      </c>
      <c r="C170" t="s">
        <v>235</v>
      </c>
      <c r="D170" t="s">
        <v>33</v>
      </c>
      <c r="E170" s="5">
        <v>64</v>
      </c>
      <c r="F170">
        <v>13.6</v>
      </c>
      <c r="G170">
        <v>0.8</v>
      </c>
      <c r="H170">
        <v>1.6</v>
      </c>
      <c r="I170">
        <v>1.6</v>
      </c>
      <c r="J170">
        <v>240</v>
      </c>
      <c r="M170">
        <v>3.75</v>
      </c>
      <c r="O170">
        <v>2289817</v>
      </c>
      <c r="P170" t="s">
        <v>542</v>
      </c>
      <c r="Q170">
        <v>2</v>
      </c>
      <c r="R170">
        <v>2</v>
      </c>
      <c r="S170">
        <v>2</v>
      </c>
    </row>
    <row r="171" spans="1:19" x14ac:dyDescent="0.25">
      <c r="A171" t="s">
        <v>390</v>
      </c>
      <c r="B171" t="s">
        <v>391</v>
      </c>
      <c r="C171" t="s">
        <v>217</v>
      </c>
      <c r="D171" t="s">
        <v>23</v>
      </c>
      <c r="E171" s="5">
        <v>354</v>
      </c>
      <c r="F171">
        <v>64.599999999999994</v>
      </c>
      <c r="G171">
        <v>4.17</v>
      </c>
      <c r="H171">
        <v>10.4</v>
      </c>
      <c r="I171">
        <v>6.2</v>
      </c>
      <c r="J171">
        <v>1460</v>
      </c>
      <c r="M171">
        <v>4.1242939999999999</v>
      </c>
      <c r="N171" t="s">
        <v>24</v>
      </c>
      <c r="O171">
        <v>2031300</v>
      </c>
      <c r="P171" t="s">
        <v>541</v>
      </c>
      <c r="Q171">
        <v>4</v>
      </c>
      <c r="R171">
        <v>3</v>
      </c>
      <c r="S171">
        <v>3</v>
      </c>
    </row>
    <row r="172" spans="1:19" x14ac:dyDescent="0.25">
      <c r="A172" t="s">
        <v>392</v>
      </c>
      <c r="B172" t="s">
        <v>393</v>
      </c>
      <c r="C172" t="s">
        <v>217</v>
      </c>
      <c r="D172" t="s">
        <v>23</v>
      </c>
      <c r="E172" s="5">
        <v>500</v>
      </c>
      <c r="F172">
        <v>34.1</v>
      </c>
      <c r="G172">
        <v>34.1</v>
      </c>
      <c r="H172">
        <v>18.2</v>
      </c>
      <c r="I172">
        <v>27.3</v>
      </c>
      <c r="J172">
        <v>34</v>
      </c>
      <c r="M172">
        <v>6.8000000000000005E-2</v>
      </c>
      <c r="N172" t="s">
        <v>24</v>
      </c>
      <c r="O172">
        <v>2037321</v>
      </c>
      <c r="P172" t="s">
        <v>541</v>
      </c>
      <c r="Q172">
        <v>4</v>
      </c>
      <c r="R172">
        <v>4</v>
      </c>
      <c r="S172">
        <v>3</v>
      </c>
    </row>
    <row r="173" spans="1:19" x14ac:dyDescent="0.25">
      <c r="A173" t="s">
        <v>394</v>
      </c>
      <c r="B173" t="s">
        <v>395</v>
      </c>
      <c r="C173" t="s">
        <v>247</v>
      </c>
      <c r="D173" t="s">
        <v>33</v>
      </c>
      <c r="E173" s="5">
        <v>185</v>
      </c>
      <c r="F173">
        <v>15.9</v>
      </c>
      <c r="G173">
        <v>11.5</v>
      </c>
      <c r="H173">
        <v>5.3</v>
      </c>
      <c r="I173">
        <v>3.5</v>
      </c>
      <c r="J173">
        <v>132</v>
      </c>
      <c r="M173">
        <v>0.71351399999999998</v>
      </c>
      <c r="O173">
        <v>2442157</v>
      </c>
      <c r="P173" t="s">
        <v>541</v>
      </c>
      <c r="Q173">
        <v>5</v>
      </c>
      <c r="R173">
        <v>3</v>
      </c>
      <c r="S173">
        <v>3</v>
      </c>
    </row>
    <row r="174" spans="1:19" x14ac:dyDescent="0.25">
      <c r="A174" t="s">
        <v>396</v>
      </c>
      <c r="B174" t="s">
        <v>397</v>
      </c>
      <c r="C174" t="s">
        <v>214</v>
      </c>
      <c r="D174" t="s">
        <v>28</v>
      </c>
      <c r="E174" s="5">
        <v>393</v>
      </c>
      <c r="F174">
        <v>0</v>
      </c>
      <c r="G174">
        <v>35.700000000000003</v>
      </c>
      <c r="H174">
        <v>25</v>
      </c>
      <c r="I174">
        <v>0</v>
      </c>
      <c r="J174">
        <v>643</v>
      </c>
      <c r="M174">
        <v>1.6361319999999999</v>
      </c>
      <c r="N174" t="s">
        <v>29</v>
      </c>
      <c r="O174">
        <v>2054662</v>
      </c>
      <c r="P174" t="s">
        <v>541</v>
      </c>
      <c r="Q174">
        <v>3</v>
      </c>
      <c r="R174">
        <v>2</v>
      </c>
      <c r="S174">
        <v>1</v>
      </c>
    </row>
    <row r="175" spans="1:19" x14ac:dyDescent="0.25">
      <c r="A175" t="s">
        <v>398</v>
      </c>
      <c r="B175" t="s">
        <v>399</v>
      </c>
      <c r="C175" t="s">
        <v>329</v>
      </c>
      <c r="D175" t="s">
        <v>23</v>
      </c>
      <c r="E175" s="5">
        <v>306</v>
      </c>
      <c r="F175">
        <v>56.5</v>
      </c>
      <c r="G175">
        <v>2.35</v>
      </c>
      <c r="H175">
        <v>11.8</v>
      </c>
      <c r="I175">
        <v>3.5</v>
      </c>
      <c r="J175">
        <v>18</v>
      </c>
      <c r="M175">
        <v>5.8824000000000001E-2</v>
      </c>
      <c r="N175" t="s">
        <v>24</v>
      </c>
      <c r="O175">
        <v>2069465</v>
      </c>
      <c r="P175" t="s">
        <v>541</v>
      </c>
      <c r="Q175">
        <v>4</v>
      </c>
      <c r="R175">
        <v>3</v>
      </c>
      <c r="S175">
        <v>3</v>
      </c>
    </row>
    <row r="176" spans="1:19" x14ac:dyDescent="0.25">
      <c r="A176" t="s">
        <v>400</v>
      </c>
      <c r="B176" t="s">
        <v>401</v>
      </c>
      <c r="C176" t="s">
        <v>329</v>
      </c>
      <c r="D176" t="s">
        <v>23</v>
      </c>
      <c r="E176" s="5">
        <v>306</v>
      </c>
      <c r="F176">
        <v>56.5</v>
      </c>
      <c r="G176">
        <v>2.35</v>
      </c>
      <c r="H176">
        <v>11.8</v>
      </c>
      <c r="I176">
        <v>3.5</v>
      </c>
      <c r="J176">
        <v>18</v>
      </c>
      <c r="M176">
        <v>5.8824000000000001E-2</v>
      </c>
      <c r="N176" t="s">
        <v>24</v>
      </c>
      <c r="O176">
        <v>2051848</v>
      </c>
      <c r="P176" t="s">
        <v>541</v>
      </c>
      <c r="Q176">
        <v>3</v>
      </c>
      <c r="R176">
        <v>4</v>
      </c>
      <c r="S176">
        <v>3</v>
      </c>
    </row>
    <row r="177" spans="1:19" x14ac:dyDescent="0.25">
      <c r="A177" t="s">
        <v>402</v>
      </c>
      <c r="B177" t="s">
        <v>403</v>
      </c>
      <c r="C177" t="s">
        <v>404</v>
      </c>
      <c r="D177" t="s">
        <v>33</v>
      </c>
      <c r="E177" s="5">
        <v>73</v>
      </c>
      <c r="F177">
        <v>9.33</v>
      </c>
      <c r="G177">
        <v>0</v>
      </c>
      <c r="H177">
        <v>9.33</v>
      </c>
      <c r="I177">
        <v>0</v>
      </c>
      <c r="J177">
        <v>60</v>
      </c>
      <c r="K177">
        <v>133</v>
      </c>
      <c r="M177">
        <v>2.6438359999999999</v>
      </c>
      <c r="O177">
        <v>2210362</v>
      </c>
      <c r="P177" t="s">
        <v>541</v>
      </c>
      <c r="Q177">
        <v>4</v>
      </c>
      <c r="R177">
        <v>4</v>
      </c>
      <c r="S177">
        <v>2</v>
      </c>
    </row>
    <row r="178" spans="1:19" x14ac:dyDescent="0.25">
      <c r="A178" t="s">
        <v>405</v>
      </c>
      <c r="B178" t="s">
        <v>406</v>
      </c>
      <c r="C178" t="s">
        <v>302</v>
      </c>
      <c r="D178" t="s">
        <v>23</v>
      </c>
      <c r="E178" s="5">
        <v>567</v>
      </c>
      <c r="F178">
        <v>30</v>
      </c>
      <c r="G178">
        <v>43.3</v>
      </c>
      <c r="H178">
        <v>20</v>
      </c>
      <c r="I178">
        <v>10</v>
      </c>
      <c r="J178">
        <v>0</v>
      </c>
      <c r="M178">
        <v>0</v>
      </c>
      <c r="N178" t="s">
        <v>24</v>
      </c>
      <c r="O178">
        <v>2052702</v>
      </c>
      <c r="P178" t="s">
        <v>541</v>
      </c>
      <c r="Q178">
        <v>5</v>
      </c>
      <c r="R178">
        <v>3</v>
      </c>
      <c r="S178">
        <v>3</v>
      </c>
    </row>
    <row r="179" spans="1:19" x14ac:dyDescent="0.25">
      <c r="A179" t="s">
        <v>407</v>
      </c>
      <c r="B179" t="s">
        <v>408</v>
      </c>
      <c r="C179" t="s">
        <v>302</v>
      </c>
      <c r="D179" t="s">
        <v>33</v>
      </c>
      <c r="E179" s="5">
        <v>625</v>
      </c>
      <c r="F179">
        <v>18.8</v>
      </c>
      <c r="G179">
        <v>50</v>
      </c>
      <c r="H179">
        <v>21.9</v>
      </c>
      <c r="I179">
        <v>6.2</v>
      </c>
      <c r="J179">
        <v>438</v>
      </c>
      <c r="M179">
        <v>0.70079999999999998</v>
      </c>
      <c r="O179">
        <v>2455889</v>
      </c>
      <c r="P179" t="s">
        <v>541</v>
      </c>
      <c r="Q179">
        <v>4</v>
      </c>
      <c r="R179">
        <v>2</v>
      </c>
      <c r="S179">
        <v>4</v>
      </c>
    </row>
    <row r="180" spans="1:19" x14ac:dyDescent="0.25">
      <c r="A180" t="s">
        <v>409</v>
      </c>
      <c r="B180" t="s">
        <v>410</v>
      </c>
      <c r="C180" t="s">
        <v>214</v>
      </c>
      <c r="D180" t="s">
        <v>28</v>
      </c>
      <c r="E180" s="5">
        <v>286</v>
      </c>
      <c r="F180">
        <v>7.14</v>
      </c>
      <c r="G180">
        <v>21.4</v>
      </c>
      <c r="H180">
        <v>14.3</v>
      </c>
      <c r="I180">
        <v>0</v>
      </c>
      <c r="J180">
        <v>1710</v>
      </c>
      <c r="M180">
        <v>5.9790210000000004</v>
      </c>
      <c r="N180" t="s">
        <v>29</v>
      </c>
      <c r="O180">
        <v>399073</v>
      </c>
      <c r="P180" t="s">
        <v>541</v>
      </c>
      <c r="Q180">
        <v>3</v>
      </c>
      <c r="R180">
        <v>3</v>
      </c>
      <c r="S180">
        <v>3</v>
      </c>
    </row>
    <row r="181" spans="1:19" x14ac:dyDescent="0.25">
      <c r="A181" t="s">
        <v>411</v>
      </c>
      <c r="B181" t="s">
        <v>412</v>
      </c>
      <c r="C181" t="s">
        <v>211</v>
      </c>
      <c r="D181" t="s">
        <v>33</v>
      </c>
      <c r="E181" s="5">
        <v>82</v>
      </c>
      <c r="F181">
        <v>14.1</v>
      </c>
      <c r="G181">
        <v>0</v>
      </c>
      <c r="H181">
        <v>4.71</v>
      </c>
      <c r="I181">
        <v>5.9</v>
      </c>
      <c r="J181">
        <v>88</v>
      </c>
      <c r="M181">
        <v>1.0731710000000001</v>
      </c>
      <c r="O181">
        <v>2035111</v>
      </c>
      <c r="P181" t="s">
        <v>542</v>
      </c>
      <c r="Q181">
        <v>4</v>
      </c>
      <c r="R181">
        <v>3</v>
      </c>
      <c r="S181">
        <v>2</v>
      </c>
    </row>
    <row r="182" spans="1:19" x14ac:dyDescent="0.25">
      <c r="A182" t="s">
        <v>413</v>
      </c>
      <c r="B182" t="s">
        <v>414</v>
      </c>
      <c r="C182" t="s">
        <v>318</v>
      </c>
      <c r="D182" t="s">
        <v>33</v>
      </c>
      <c r="E182" s="5">
        <v>140</v>
      </c>
      <c r="F182">
        <v>0</v>
      </c>
      <c r="G182">
        <v>10</v>
      </c>
      <c r="H182">
        <v>12</v>
      </c>
      <c r="J182">
        <v>140</v>
      </c>
      <c r="K182">
        <v>140</v>
      </c>
      <c r="M182">
        <v>2</v>
      </c>
      <c r="O182">
        <v>1662573</v>
      </c>
      <c r="P182" t="s">
        <v>541</v>
      </c>
      <c r="Q182">
        <v>4</v>
      </c>
      <c r="R182">
        <v>3</v>
      </c>
      <c r="S182">
        <v>2</v>
      </c>
    </row>
    <row r="183" spans="1:19" x14ac:dyDescent="0.25">
      <c r="A183" t="s">
        <v>415</v>
      </c>
      <c r="B183" t="s">
        <v>416</v>
      </c>
      <c r="C183" t="s">
        <v>214</v>
      </c>
      <c r="D183" t="s">
        <v>28</v>
      </c>
      <c r="E183" s="5">
        <v>286</v>
      </c>
      <c r="F183">
        <v>3.57</v>
      </c>
      <c r="G183">
        <v>21.4</v>
      </c>
      <c r="H183">
        <v>25</v>
      </c>
      <c r="I183">
        <v>0</v>
      </c>
      <c r="J183">
        <v>536</v>
      </c>
      <c r="M183">
        <v>1.874126</v>
      </c>
      <c r="N183" t="s">
        <v>29</v>
      </c>
      <c r="O183">
        <v>2055222</v>
      </c>
      <c r="P183" t="s">
        <v>541</v>
      </c>
      <c r="Q183">
        <v>3</v>
      </c>
      <c r="R183">
        <v>3</v>
      </c>
      <c r="S183">
        <v>3</v>
      </c>
    </row>
    <row r="184" spans="1:19" x14ac:dyDescent="0.25">
      <c r="A184" t="s">
        <v>417</v>
      </c>
      <c r="B184" t="s">
        <v>418</v>
      </c>
      <c r="C184" t="s">
        <v>214</v>
      </c>
      <c r="D184" t="s">
        <v>28</v>
      </c>
      <c r="E184" s="5">
        <v>393</v>
      </c>
      <c r="F184">
        <v>3.57</v>
      </c>
      <c r="G184">
        <v>32.1</v>
      </c>
      <c r="H184">
        <v>25</v>
      </c>
      <c r="I184">
        <v>0</v>
      </c>
      <c r="J184">
        <v>643</v>
      </c>
      <c r="M184">
        <v>1.6361319999999999</v>
      </c>
      <c r="N184" t="s">
        <v>29</v>
      </c>
      <c r="O184">
        <v>2055196</v>
      </c>
      <c r="P184" t="s">
        <v>541</v>
      </c>
      <c r="Q184">
        <v>3</v>
      </c>
      <c r="R184">
        <v>4</v>
      </c>
      <c r="S184">
        <v>3</v>
      </c>
    </row>
    <row r="185" spans="1:19" x14ac:dyDescent="0.25">
      <c r="A185" t="s">
        <v>419</v>
      </c>
      <c r="B185" t="s">
        <v>420</v>
      </c>
      <c r="C185" t="s">
        <v>313</v>
      </c>
      <c r="D185" t="s">
        <v>33</v>
      </c>
      <c r="E185" s="5">
        <v>71</v>
      </c>
      <c r="F185">
        <v>0</v>
      </c>
      <c r="G185">
        <v>0.88</v>
      </c>
      <c r="H185">
        <v>15</v>
      </c>
      <c r="I185">
        <v>0</v>
      </c>
      <c r="J185">
        <v>62</v>
      </c>
      <c r="M185">
        <v>0.87323899999999999</v>
      </c>
      <c r="O185">
        <v>2274789</v>
      </c>
      <c r="P185" t="s">
        <v>541</v>
      </c>
      <c r="Q185">
        <v>4</v>
      </c>
      <c r="R185">
        <v>3</v>
      </c>
      <c r="S185">
        <v>3</v>
      </c>
    </row>
    <row r="186" spans="1:19" x14ac:dyDescent="0.25">
      <c r="A186" t="s">
        <v>421</v>
      </c>
      <c r="B186" t="s">
        <v>422</v>
      </c>
      <c r="C186" t="s">
        <v>217</v>
      </c>
      <c r="D186" t="s">
        <v>108</v>
      </c>
      <c r="E186" s="5">
        <v>580</v>
      </c>
      <c r="F186">
        <v>8</v>
      </c>
      <c r="G186">
        <v>46</v>
      </c>
      <c r="H186">
        <v>36</v>
      </c>
      <c r="I186">
        <v>4</v>
      </c>
      <c r="J186">
        <v>0</v>
      </c>
      <c r="M186">
        <v>0</v>
      </c>
      <c r="N186" t="s">
        <v>109</v>
      </c>
      <c r="O186">
        <v>2289434</v>
      </c>
      <c r="P186" t="s">
        <v>541</v>
      </c>
      <c r="Q186">
        <v>5</v>
      </c>
      <c r="R186">
        <v>3</v>
      </c>
      <c r="S186">
        <v>4</v>
      </c>
    </row>
    <row r="187" spans="1:19" x14ac:dyDescent="0.25">
      <c r="A187" t="s">
        <v>423</v>
      </c>
      <c r="B187" t="s">
        <v>424</v>
      </c>
      <c r="C187" t="s">
        <v>217</v>
      </c>
      <c r="D187" t="s">
        <v>28</v>
      </c>
      <c r="E187" s="5">
        <v>600</v>
      </c>
      <c r="F187">
        <v>3.33</v>
      </c>
      <c r="G187">
        <v>50</v>
      </c>
      <c r="H187">
        <v>33.299999999999997</v>
      </c>
      <c r="I187">
        <v>3.3</v>
      </c>
      <c r="J187">
        <v>0</v>
      </c>
      <c r="K187">
        <v>1200</v>
      </c>
      <c r="L187">
        <v>667</v>
      </c>
      <c r="M187">
        <v>3.1116670000000002</v>
      </c>
      <c r="N187" t="s">
        <v>29</v>
      </c>
      <c r="O187">
        <v>2051146</v>
      </c>
      <c r="P187" t="s">
        <v>541</v>
      </c>
      <c r="Q187">
        <v>4</v>
      </c>
      <c r="R187">
        <v>3</v>
      </c>
      <c r="S187">
        <v>3</v>
      </c>
    </row>
    <row r="188" spans="1:19" x14ac:dyDescent="0.25">
      <c r="A188" t="s">
        <v>425</v>
      </c>
      <c r="B188" t="s">
        <v>426</v>
      </c>
      <c r="C188" t="s">
        <v>214</v>
      </c>
      <c r="D188" t="s">
        <v>28</v>
      </c>
      <c r="E188" s="5">
        <v>393</v>
      </c>
      <c r="F188">
        <v>3.57</v>
      </c>
      <c r="G188">
        <v>32.1</v>
      </c>
      <c r="H188">
        <v>25</v>
      </c>
      <c r="I188">
        <v>0</v>
      </c>
      <c r="J188">
        <v>643</v>
      </c>
      <c r="M188">
        <v>1.6361319999999999</v>
      </c>
      <c r="N188" t="s">
        <v>29</v>
      </c>
      <c r="O188">
        <v>1856643</v>
      </c>
      <c r="P188" t="s">
        <v>541</v>
      </c>
      <c r="Q188">
        <v>3</v>
      </c>
      <c r="R188">
        <v>2</v>
      </c>
      <c r="S188">
        <v>1</v>
      </c>
    </row>
    <row r="189" spans="1:19" x14ac:dyDescent="0.25">
      <c r="A189" t="s">
        <v>427</v>
      </c>
      <c r="B189" t="s">
        <v>428</v>
      </c>
      <c r="C189" t="s">
        <v>214</v>
      </c>
      <c r="D189" t="s">
        <v>28</v>
      </c>
      <c r="E189" s="5">
        <v>393</v>
      </c>
      <c r="F189">
        <v>3.57</v>
      </c>
      <c r="G189">
        <v>32.1</v>
      </c>
      <c r="H189">
        <v>25</v>
      </c>
      <c r="I189">
        <v>0</v>
      </c>
      <c r="J189">
        <v>643</v>
      </c>
      <c r="M189">
        <v>1.6361319999999999</v>
      </c>
      <c r="N189" t="s">
        <v>29</v>
      </c>
      <c r="O189">
        <v>2016890</v>
      </c>
      <c r="P189" t="s">
        <v>541</v>
      </c>
      <c r="Q189">
        <v>2</v>
      </c>
      <c r="R189">
        <v>3</v>
      </c>
      <c r="S189">
        <v>3</v>
      </c>
    </row>
    <row r="190" spans="1:19" x14ac:dyDescent="0.25">
      <c r="A190" t="s">
        <v>429</v>
      </c>
      <c r="B190" t="s">
        <v>430</v>
      </c>
      <c r="C190" t="s">
        <v>247</v>
      </c>
      <c r="D190" t="s">
        <v>33</v>
      </c>
      <c r="E190" s="5">
        <v>85</v>
      </c>
      <c r="F190">
        <v>14.6</v>
      </c>
      <c r="G190">
        <v>0</v>
      </c>
      <c r="H190">
        <v>5.38</v>
      </c>
      <c r="I190">
        <v>4.5999999999999996</v>
      </c>
      <c r="J190">
        <v>277</v>
      </c>
      <c r="M190">
        <v>3.2588240000000002</v>
      </c>
      <c r="O190">
        <v>2290129</v>
      </c>
      <c r="P190" t="s">
        <v>541</v>
      </c>
      <c r="Q190">
        <v>5</v>
      </c>
      <c r="R190">
        <v>3</v>
      </c>
      <c r="S190">
        <v>3</v>
      </c>
    </row>
    <row r="191" spans="1:19" x14ac:dyDescent="0.25">
      <c r="A191" t="s">
        <v>431</v>
      </c>
      <c r="B191" t="s">
        <v>432</v>
      </c>
      <c r="C191" t="s">
        <v>404</v>
      </c>
      <c r="D191" t="s">
        <v>33</v>
      </c>
      <c r="E191" s="5">
        <v>88</v>
      </c>
      <c r="F191">
        <v>16.5</v>
      </c>
      <c r="G191">
        <v>0.88</v>
      </c>
      <c r="H191">
        <v>3.53</v>
      </c>
      <c r="I191">
        <v>0</v>
      </c>
      <c r="J191">
        <v>47</v>
      </c>
      <c r="K191">
        <v>135</v>
      </c>
      <c r="M191">
        <v>2.0681820000000002</v>
      </c>
      <c r="O191">
        <v>1856239</v>
      </c>
      <c r="P191" t="s">
        <v>541</v>
      </c>
      <c r="Q191">
        <v>3</v>
      </c>
      <c r="R191">
        <v>2</v>
      </c>
      <c r="S191">
        <v>2</v>
      </c>
    </row>
    <row r="192" spans="1:19" x14ac:dyDescent="0.25">
      <c r="A192" t="s">
        <v>433</v>
      </c>
      <c r="B192" t="s">
        <v>434</v>
      </c>
      <c r="C192" t="s">
        <v>214</v>
      </c>
      <c r="D192" t="s">
        <v>28</v>
      </c>
      <c r="E192" s="5">
        <v>357</v>
      </c>
      <c r="F192">
        <v>3.57</v>
      </c>
      <c r="G192">
        <v>28.6</v>
      </c>
      <c r="H192">
        <v>21.4</v>
      </c>
      <c r="I192">
        <v>0</v>
      </c>
      <c r="J192">
        <v>679</v>
      </c>
      <c r="M192">
        <v>1.901961</v>
      </c>
      <c r="N192" t="s">
        <v>29</v>
      </c>
      <c r="O192">
        <v>2016896</v>
      </c>
      <c r="P192" t="s">
        <v>541</v>
      </c>
      <c r="Q192">
        <v>3</v>
      </c>
      <c r="R192">
        <v>2</v>
      </c>
      <c r="S192">
        <v>3</v>
      </c>
    </row>
    <row r="193" spans="1:19" x14ac:dyDescent="0.25">
      <c r="A193" t="s">
        <v>435</v>
      </c>
      <c r="B193" t="s">
        <v>436</v>
      </c>
      <c r="C193" t="s">
        <v>214</v>
      </c>
      <c r="D193" t="s">
        <v>28</v>
      </c>
      <c r="E193" s="5">
        <v>393</v>
      </c>
      <c r="F193">
        <v>3.57</v>
      </c>
      <c r="G193">
        <v>32.1</v>
      </c>
      <c r="H193">
        <v>25</v>
      </c>
      <c r="I193">
        <v>0</v>
      </c>
      <c r="J193">
        <v>643</v>
      </c>
      <c r="M193">
        <v>1.6361319999999999</v>
      </c>
      <c r="N193" t="s">
        <v>29</v>
      </c>
      <c r="O193">
        <v>2016911</v>
      </c>
      <c r="P193" t="s">
        <v>541</v>
      </c>
      <c r="Q193">
        <v>3</v>
      </c>
      <c r="R193">
        <v>3</v>
      </c>
      <c r="S193">
        <v>3</v>
      </c>
    </row>
    <row r="194" spans="1:19" x14ac:dyDescent="0.25">
      <c r="A194" t="s">
        <v>437</v>
      </c>
      <c r="B194" t="s">
        <v>438</v>
      </c>
      <c r="C194" t="s">
        <v>214</v>
      </c>
      <c r="D194" t="s">
        <v>33</v>
      </c>
      <c r="E194" s="5">
        <v>129</v>
      </c>
      <c r="F194">
        <v>3.23</v>
      </c>
      <c r="G194">
        <v>8.06</v>
      </c>
      <c r="H194">
        <v>8.06</v>
      </c>
      <c r="I194">
        <v>0</v>
      </c>
      <c r="J194">
        <v>129</v>
      </c>
      <c r="M194">
        <v>1</v>
      </c>
      <c r="O194">
        <v>2016784</v>
      </c>
      <c r="P194" t="s">
        <v>541</v>
      </c>
      <c r="Q194">
        <v>3</v>
      </c>
      <c r="R194">
        <v>3</v>
      </c>
      <c r="S194">
        <v>3</v>
      </c>
    </row>
    <row r="195" spans="1:19" x14ac:dyDescent="0.25">
      <c r="A195" t="s">
        <v>439</v>
      </c>
      <c r="B195" t="s">
        <v>440</v>
      </c>
      <c r="C195" t="s">
        <v>211</v>
      </c>
      <c r="D195" t="s">
        <v>23</v>
      </c>
      <c r="E195" s="5">
        <v>133</v>
      </c>
      <c r="F195">
        <v>25.3</v>
      </c>
      <c r="G195">
        <v>0</v>
      </c>
      <c r="H195">
        <v>7.23</v>
      </c>
      <c r="I195">
        <v>6</v>
      </c>
      <c r="J195">
        <v>30</v>
      </c>
      <c r="M195">
        <v>0.22556399999999999</v>
      </c>
      <c r="N195" t="s">
        <v>24</v>
      </c>
      <c r="O195">
        <v>2016061</v>
      </c>
      <c r="P195" t="s">
        <v>541</v>
      </c>
      <c r="Q195">
        <v>5</v>
      </c>
      <c r="R195">
        <v>3</v>
      </c>
      <c r="S195">
        <v>3</v>
      </c>
    </row>
    <row r="196" spans="1:19" x14ac:dyDescent="0.25">
      <c r="A196" t="s">
        <v>441</v>
      </c>
      <c r="B196" t="s">
        <v>442</v>
      </c>
      <c r="C196" t="s">
        <v>214</v>
      </c>
      <c r="D196" t="s">
        <v>33</v>
      </c>
      <c r="E196" s="5">
        <v>161</v>
      </c>
      <c r="F196">
        <v>3.23</v>
      </c>
      <c r="G196">
        <v>12.9</v>
      </c>
      <c r="H196">
        <v>8.06</v>
      </c>
      <c r="I196">
        <v>0</v>
      </c>
      <c r="J196">
        <v>129</v>
      </c>
      <c r="M196">
        <v>0.80124200000000001</v>
      </c>
      <c r="O196">
        <v>2016778</v>
      </c>
      <c r="P196" t="s">
        <v>541</v>
      </c>
      <c r="Q196">
        <v>3</v>
      </c>
      <c r="R196">
        <v>3</v>
      </c>
      <c r="S196">
        <v>1</v>
      </c>
    </row>
    <row r="197" spans="1:19" x14ac:dyDescent="0.25">
      <c r="A197" t="s">
        <v>443</v>
      </c>
      <c r="B197" t="s">
        <v>444</v>
      </c>
      <c r="C197" t="s">
        <v>235</v>
      </c>
      <c r="D197" t="s">
        <v>33</v>
      </c>
      <c r="E197" s="5">
        <v>48</v>
      </c>
      <c r="F197">
        <v>8</v>
      </c>
      <c r="G197">
        <v>0</v>
      </c>
      <c r="H197">
        <v>2.4</v>
      </c>
      <c r="I197">
        <v>2.4</v>
      </c>
      <c r="J197">
        <v>256</v>
      </c>
      <c r="M197">
        <v>5.3333329999999997</v>
      </c>
      <c r="O197">
        <v>2015574</v>
      </c>
      <c r="P197" t="s">
        <v>542</v>
      </c>
      <c r="Q197">
        <v>4</v>
      </c>
      <c r="R197">
        <v>3</v>
      </c>
      <c r="S197">
        <v>1</v>
      </c>
    </row>
    <row r="198" spans="1:19" x14ac:dyDescent="0.25">
      <c r="A198" t="s">
        <v>445</v>
      </c>
      <c r="B198" t="s">
        <v>446</v>
      </c>
      <c r="C198" t="s">
        <v>214</v>
      </c>
      <c r="D198" t="s">
        <v>28</v>
      </c>
      <c r="E198" s="5">
        <v>267</v>
      </c>
      <c r="F198">
        <v>3.33</v>
      </c>
      <c r="G198">
        <v>20</v>
      </c>
      <c r="H198">
        <v>20</v>
      </c>
      <c r="I198">
        <v>0</v>
      </c>
      <c r="J198">
        <v>600</v>
      </c>
      <c r="M198">
        <v>2.2471909999999999</v>
      </c>
      <c r="N198" t="s">
        <v>29</v>
      </c>
      <c r="O198">
        <v>2016903</v>
      </c>
      <c r="P198" t="s">
        <v>541</v>
      </c>
      <c r="Q198">
        <v>3</v>
      </c>
      <c r="R198">
        <v>3</v>
      </c>
      <c r="S198">
        <v>1</v>
      </c>
    </row>
    <row r="199" spans="1:19" x14ac:dyDescent="0.25">
      <c r="A199" t="s">
        <v>447</v>
      </c>
      <c r="B199" t="s">
        <v>448</v>
      </c>
      <c r="C199" t="s">
        <v>302</v>
      </c>
      <c r="D199" t="s">
        <v>33</v>
      </c>
      <c r="E199" s="5">
        <v>562</v>
      </c>
      <c r="F199">
        <v>18.8</v>
      </c>
      <c r="G199">
        <v>50</v>
      </c>
      <c r="H199">
        <v>21.9</v>
      </c>
      <c r="I199">
        <v>12.5</v>
      </c>
      <c r="J199">
        <v>0</v>
      </c>
      <c r="M199">
        <v>0</v>
      </c>
      <c r="O199">
        <v>1868843</v>
      </c>
      <c r="P199" t="s">
        <v>541</v>
      </c>
      <c r="Q199">
        <v>4</v>
      </c>
      <c r="R199">
        <v>3</v>
      </c>
      <c r="S199">
        <v>3</v>
      </c>
    </row>
    <row r="200" spans="1:19" x14ac:dyDescent="0.25">
      <c r="A200" t="s">
        <v>449</v>
      </c>
      <c r="B200" t="s">
        <v>450</v>
      </c>
      <c r="C200" t="s">
        <v>451</v>
      </c>
      <c r="D200" t="s">
        <v>28</v>
      </c>
      <c r="E200" s="5">
        <v>89</v>
      </c>
      <c r="F200">
        <v>0</v>
      </c>
      <c r="G200">
        <v>0.89</v>
      </c>
      <c r="H200">
        <v>19.600000000000001</v>
      </c>
      <c r="I200">
        <v>0</v>
      </c>
      <c r="J200">
        <v>321</v>
      </c>
      <c r="M200">
        <v>3.6067420000000001</v>
      </c>
      <c r="N200" t="s">
        <v>29</v>
      </c>
      <c r="O200">
        <v>2020673</v>
      </c>
      <c r="P200" t="s">
        <v>541</v>
      </c>
      <c r="Q200">
        <v>4</v>
      </c>
      <c r="R200">
        <v>3</v>
      </c>
      <c r="S200">
        <v>3</v>
      </c>
    </row>
    <row r="201" spans="1:19" x14ac:dyDescent="0.25">
      <c r="A201" t="s">
        <v>452</v>
      </c>
      <c r="B201" t="s">
        <v>453</v>
      </c>
      <c r="C201" t="s">
        <v>247</v>
      </c>
      <c r="D201" t="s">
        <v>33</v>
      </c>
      <c r="E201" s="5">
        <v>85</v>
      </c>
      <c r="F201">
        <v>14.6</v>
      </c>
      <c r="G201">
        <v>0</v>
      </c>
      <c r="H201">
        <v>5.38</v>
      </c>
      <c r="I201">
        <v>4.5999999999999996</v>
      </c>
      <c r="J201">
        <v>277</v>
      </c>
      <c r="M201">
        <v>3.2588240000000002</v>
      </c>
      <c r="O201">
        <v>2016860</v>
      </c>
      <c r="P201" t="s">
        <v>541</v>
      </c>
      <c r="Q201">
        <v>5</v>
      </c>
      <c r="R201">
        <v>3</v>
      </c>
      <c r="S201">
        <v>4</v>
      </c>
    </row>
    <row r="202" spans="1:19" x14ac:dyDescent="0.25">
      <c r="A202" t="s">
        <v>454</v>
      </c>
      <c r="B202" t="s">
        <v>455</v>
      </c>
      <c r="C202" t="s">
        <v>235</v>
      </c>
      <c r="D202" t="s">
        <v>33</v>
      </c>
      <c r="E202" s="5">
        <v>17</v>
      </c>
      <c r="F202">
        <v>3.33</v>
      </c>
      <c r="G202">
        <v>0</v>
      </c>
      <c r="H202">
        <v>0.83</v>
      </c>
      <c r="I202">
        <v>1.7</v>
      </c>
      <c r="J202">
        <v>242</v>
      </c>
      <c r="M202">
        <v>14.235294</v>
      </c>
      <c r="O202">
        <v>2016858</v>
      </c>
      <c r="P202" t="s">
        <v>542</v>
      </c>
      <c r="Q202">
        <v>4</v>
      </c>
      <c r="R202">
        <v>3</v>
      </c>
      <c r="S202">
        <v>1</v>
      </c>
    </row>
    <row r="203" spans="1:19" x14ac:dyDescent="0.25">
      <c r="A203" t="s">
        <v>456</v>
      </c>
      <c r="B203" t="s">
        <v>457</v>
      </c>
      <c r="C203" t="s">
        <v>458</v>
      </c>
      <c r="D203" t="s">
        <v>23</v>
      </c>
      <c r="E203" s="5">
        <v>357</v>
      </c>
      <c r="F203">
        <v>76.2</v>
      </c>
      <c r="G203">
        <v>2.38</v>
      </c>
      <c r="H203">
        <v>7.14</v>
      </c>
      <c r="I203">
        <v>2.4</v>
      </c>
      <c r="J203">
        <v>0</v>
      </c>
      <c r="M203">
        <v>0</v>
      </c>
      <c r="N203" t="s">
        <v>24</v>
      </c>
      <c r="O203">
        <v>2060713</v>
      </c>
      <c r="P203" t="s">
        <v>541</v>
      </c>
      <c r="Q203">
        <v>4</v>
      </c>
      <c r="R203">
        <v>3</v>
      </c>
      <c r="S203">
        <v>3</v>
      </c>
    </row>
    <row r="204" spans="1:19" x14ac:dyDescent="0.25">
      <c r="A204" t="s">
        <v>459</v>
      </c>
      <c r="B204" t="s">
        <v>460</v>
      </c>
      <c r="C204" t="s">
        <v>235</v>
      </c>
      <c r="D204" t="s">
        <v>33</v>
      </c>
      <c r="E204" s="5">
        <v>64</v>
      </c>
      <c r="F204">
        <v>12</v>
      </c>
      <c r="G204">
        <v>0.8</v>
      </c>
      <c r="H204">
        <v>1.6</v>
      </c>
      <c r="I204">
        <v>1.6</v>
      </c>
      <c r="J204">
        <v>240</v>
      </c>
      <c r="M204">
        <v>3.75</v>
      </c>
      <c r="O204">
        <v>2016795</v>
      </c>
      <c r="P204" t="s">
        <v>542</v>
      </c>
      <c r="Q204">
        <v>3</v>
      </c>
      <c r="R204">
        <v>3</v>
      </c>
      <c r="S204">
        <v>2</v>
      </c>
    </row>
    <row r="205" spans="1:19" x14ac:dyDescent="0.25">
      <c r="A205" t="s">
        <v>461</v>
      </c>
      <c r="B205" t="s">
        <v>462</v>
      </c>
      <c r="C205" t="s">
        <v>214</v>
      </c>
      <c r="D205" t="s">
        <v>108</v>
      </c>
      <c r="E205" s="5">
        <v>393</v>
      </c>
      <c r="F205">
        <v>0</v>
      </c>
      <c r="G205">
        <v>32.1</v>
      </c>
      <c r="H205">
        <v>25</v>
      </c>
      <c r="I205">
        <v>0</v>
      </c>
      <c r="J205">
        <v>196</v>
      </c>
      <c r="M205">
        <v>0.498728</v>
      </c>
      <c r="N205" t="s">
        <v>109</v>
      </c>
      <c r="O205">
        <v>2020424</v>
      </c>
      <c r="P205" t="s">
        <v>541</v>
      </c>
      <c r="Q205">
        <v>3</v>
      </c>
      <c r="R205">
        <v>3</v>
      </c>
      <c r="S205">
        <v>3</v>
      </c>
    </row>
    <row r="206" spans="1:19" x14ac:dyDescent="0.25">
      <c r="A206" t="s">
        <v>463</v>
      </c>
      <c r="B206" t="s">
        <v>464</v>
      </c>
      <c r="C206" t="s">
        <v>302</v>
      </c>
      <c r="D206" t="s">
        <v>108</v>
      </c>
      <c r="E206" s="5">
        <v>522</v>
      </c>
      <c r="F206">
        <v>12.5</v>
      </c>
      <c r="G206">
        <v>40.6</v>
      </c>
      <c r="H206">
        <v>34.4</v>
      </c>
      <c r="I206">
        <v>3.1</v>
      </c>
      <c r="J206">
        <v>125</v>
      </c>
      <c r="M206">
        <v>0.23946400000000001</v>
      </c>
      <c r="N206" t="s">
        <v>109</v>
      </c>
      <c r="O206">
        <v>1937404</v>
      </c>
      <c r="P206" t="s">
        <v>541</v>
      </c>
      <c r="Q206">
        <v>5</v>
      </c>
      <c r="R206">
        <v>3</v>
      </c>
      <c r="S206">
        <v>4</v>
      </c>
    </row>
    <row r="207" spans="1:19" x14ac:dyDescent="0.25">
      <c r="A207" t="s">
        <v>465</v>
      </c>
      <c r="B207" t="s">
        <v>466</v>
      </c>
      <c r="C207" t="s">
        <v>302</v>
      </c>
      <c r="D207" t="s">
        <v>33</v>
      </c>
      <c r="E207" s="5">
        <v>584</v>
      </c>
      <c r="F207">
        <v>18.8</v>
      </c>
      <c r="G207">
        <v>50</v>
      </c>
      <c r="H207">
        <v>21.9</v>
      </c>
      <c r="I207">
        <v>9.4</v>
      </c>
      <c r="J207">
        <v>125</v>
      </c>
      <c r="M207">
        <v>0.21404100000000001</v>
      </c>
      <c r="O207">
        <v>2069866</v>
      </c>
      <c r="P207" t="s">
        <v>541</v>
      </c>
      <c r="Q207">
        <v>4</v>
      </c>
      <c r="R207">
        <v>4</v>
      </c>
      <c r="S207">
        <v>3</v>
      </c>
    </row>
    <row r="208" spans="1:19" x14ac:dyDescent="0.25">
      <c r="A208" t="s">
        <v>467</v>
      </c>
      <c r="B208" t="s">
        <v>468</v>
      </c>
      <c r="C208" t="s">
        <v>214</v>
      </c>
      <c r="D208" t="s">
        <v>28</v>
      </c>
      <c r="E208" s="5">
        <v>286</v>
      </c>
      <c r="F208">
        <v>3.57</v>
      </c>
      <c r="G208">
        <v>21.4</v>
      </c>
      <c r="H208">
        <v>17.899999999999999</v>
      </c>
      <c r="I208">
        <v>0</v>
      </c>
      <c r="J208">
        <v>1140</v>
      </c>
      <c r="M208">
        <v>3.9860139999999999</v>
      </c>
      <c r="N208" t="s">
        <v>29</v>
      </c>
      <c r="O208">
        <v>2054663</v>
      </c>
      <c r="P208" t="s">
        <v>541</v>
      </c>
      <c r="Q208">
        <v>3</v>
      </c>
      <c r="R208">
        <v>4</v>
      </c>
      <c r="S208">
        <v>3</v>
      </c>
    </row>
    <row r="209" spans="1:19" x14ac:dyDescent="0.25">
      <c r="A209" t="s">
        <v>469</v>
      </c>
      <c r="B209" t="s">
        <v>470</v>
      </c>
      <c r="C209" t="s">
        <v>235</v>
      </c>
      <c r="D209" t="s">
        <v>28</v>
      </c>
      <c r="E209" s="5">
        <v>25</v>
      </c>
      <c r="F209">
        <v>4.58</v>
      </c>
      <c r="G209">
        <v>0</v>
      </c>
      <c r="H209">
        <v>1.67</v>
      </c>
      <c r="I209">
        <v>3.8</v>
      </c>
      <c r="J209">
        <v>338</v>
      </c>
      <c r="K209">
        <v>192</v>
      </c>
      <c r="M209">
        <v>21.2</v>
      </c>
      <c r="N209" t="s">
        <v>29</v>
      </c>
      <c r="O209">
        <v>2405559</v>
      </c>
      <c r="P209" t="s">
        <v>542</v>
      </c>
      <c r="Q209">
        <v>4</v>
      </c>
      <c r="R209">
        <v>3</v>
      </c>
      <c r="S209">
        <v>1</v>
      </c>
    </row>
    <row r="210" spans="1:19" x14ac:dyDescent="0.25">
      <c r="A210" t="s">
        <v>471</v>
      </c>
      <c r="B210" t="s">
        <v>472</v>
      </c>
      <c r="C210" t="s">
        <v>473</v>
      </c>
      <c r="D210" t="s">
        <v>28</v>
      </c>
      <c r="E210" s="5">
        <v>123</v>
      </c>
      <c r="F210">
        <v>0</v>
      </c>
      <c r="G210">
        <v>4.3899999999999997</v>
      </c>
      <c r="H210">
        <v>22.8</v>
      </c>
      <c r="I210">
        <v>0</v>
      </c>
      <c r="J210">
        <v>1050</v>
      </c>
      <c r="M210">
        <v>8.5365850000000005</v>
      </c>
      <c r="N210" t="s">
        <v>29</v>
      </c>
      <c r="O210">
        <v>2051810</v>
      </c>
      <c r="P210" t="s">
        <v>541</v>
      </c>
      <c r="Q210">
        <v>5</v>
      </c>
      <c r="R210">
        <v>4</v>
      </c>
      <c r="S210">
        <v>3</v>
      </c>
    </row>
    <row r="211" spans="1:19" x14ac:dyDescent="0.25">
      <c r="A211" t="s">
        <v>474</v>
      </c>
      <c r="B211" t="s">
        <v>475</v>
      </c>
      <c r="C211" t="s">
        <v>211</v>
      </c>
      <c r="D211" t="s">
        <v>33</v>
      </c>
      <c r="E211" s="5">
        <v>49</v>
      </c>
      <c r="F211">
        <v>7.69</v>
      </c>
      <c r="G211">
        <v>1.1000000000000001</v>
      </c>
      <c r="H211">
        <v>3.3</v>
      </c>
      <c r="I211">
        <v>3.3</v>
      </c>
      <c r="J211">
        <v>33</v>
      </c>
      <c r="K211">
        <v>44</v>
      </c>
      <c r="M211">
        <v>1.571429</v>
      </c>
      <c r="O211">
        <v>2052345</v>
      </c>
      <c r="P211" t="s">
        <v>542</v>
      </c>
      <c r="Q211">
        <v>4</v>
      </c>
      <c r="R211">
        <v>3</v>
      </c>
      <c r="S211">
        <v>2</v>
      </c>
    </row>
    <row r="212" spans="1:19" x14ac:dyDescent="0.25">
      <c r="A212" t="s">
        <v>476</v>
      </c>
      <c r="B212" t="s">
        <v>477</v>
      </c>
      <c r="C212" t="s">
        <v>318</v>
      </c>
      <c r="D212" t="s">
        <v>33</v>
      </c>
      <c r="E212" s="5">
        <v>156</v>
      </c>
      <c r="F212">
        <v>0</v>
      </c>
      <c r="G212">
        <v>8.89</v>
      </c>
      <c r="H212">
        <v>13.3</v>
      </c>
      <c r="I212">
        <v>0</v>
      </c>
      <c r="J212">
        <v>122</v>
      </c>
      <c r="M212">
        <v>0.78205100000000005</v>
      </c>
      <c r="O212">
        <v>2031800</v>
      </c>
      <c r="P212" t="s">
        <v>541</v>
      </c>
      <c r="Q212">
        <v>4</v>
      </c>
      <c r="R212">
        <v>3</v>
      </c>
      <c r="S212">
        <v>3</v>
      </c>
    </row>
    <row r="213" spans="1:19" x14ac:dyDescent="0.25">
      <c r="A213" t="s">
        <v>478</v>
      </c>
      <c r="B213" t="s">
        <v>479</v>
      </c>
      <c r="C213" t="s">
        <v>313</v>
      </c>
      <c r="D213" t="s">
        <v>33</v>
      </c>
      <c r="E213" s="5">
        <v>107</v>
      </c>
      <c r="F213">
        <v>0.89</v>
      </c>
      <c r="G213">
        <v>1.79</v>
      </c>
      <c r="H213">
        <v>20.5</v>
      </c>
      <c r="I213">
        <v>0</v>
      </c>
      <c r="J213">
        <v>152</v>
      </c>
      <c r="M213">
        <v>1.420561</v>
      </c>
      <c r="O213">
        <v>2442444</v>
      </c>
      <c r="P213" t="s">
        <v>541</v>
      </c>
      <c r="Q213">
        <v>4</v>
      </c>
      <c r="R213">
        <v>3</v>
      </c>
      <c r="S213">
        <v>3</v>
      </c>
    </row>
    <row r="214" spans="1:19" x14ac:dyDescent="0.25">
      <c r="A214" t="s">
        <v>480</v>
      </c>
      <c r="B214" t="s">
        <v>481</v>
      </c>
      <c r="C214" t="s">
        <v>329</v>
      </c>
      <c r="D214" t="s">
        <v>23</v>
      </c>
      <c r="E214" s="5">
        <v>357</v>
      </c>
      <c r="F214">
        <v>71.400000000000006</v>
      </c>
      <c r="G214">
        <v>2.38</v>
      </c>
      <c r="H214">
        <v>14.3</v>
      </c>
      <c r="I214">
        <v>4.8</v>
      </c>
      <c r="J214">
        <v>95</v>
      </c>
      <c r="M214">
        <v>0.26610600000000001</v>
      </c>
      <c r="N214" t="s">
        <v>24</v>
      </c>
      <c r="O214">
        <v>2111907</v>
      </c>
      <c r="P214" t="s">
        <v>541</v>
      </c>
      <c r="Q214">
        <v>4</v>
      </c>
      <c r="R214">
        <v>3</v>
      </c>
      <c r="S214">
        <v>3</v>
      </c>
    </row>
    <row r="215" spans="1:19" x14ac:dyDescent="0.25">
      <c r="A215" t="s">
        <v>482</v>
      </c>
      <c r="B215" t="s">
        <v>483</v>
      </c>
      <c r="C215" t="s">
        <v>214</v>
      </c>
      <c r="D215" t="s">
        <v>28</v>
      </c>
      <c r="E215" s="5">
        <v>321</v>
      </c>
      <c r="F215">
        <v>3.57</v>
      </c>
      <c r="G215">
        <v>21.4</v>
      </c>
      <c r="H215">
        <v>25</v>
      </c>
      <c r="I215">
        <v>0</v>
      </c>
      <c r="J215">
        <v>857</v>
      </c>
      <c r="M215">
        <v>2.6697820000000001</v>
      </c>
      <c r="N215" t="s">
        <v>29</v>
      </c>
      <c r="O215">
        <v>2055194</v>
      </c>
      <c r="P215" t="s">
        <v>541</v>
      </c>
      <c r="Q215">
        <v>3</v>
      </c>
      <c r="R215">
        <v>2</v>
      </c>
      <c r="S215">
        <v>1</v>
      </c>
    </row>
    <row r="216" spans="1:19" x14ac:dyDescent="0.25">
      <c r="A216" t="s">
        <v>484</v>
      </c>
      <c r="B216" t="s">
        <v>485</v>
      </c>
      <c r="C216" t="s">
        <v>404</v>
      </c>
      <c r="D216" t="s">
        <v>33</v>
      </c>
      <c r="E216" s="5">
        <v>94</v>
      </c>
      <c r="F216">
        <v>17.600000000000001</v>
      </c>
      <c r="G216">
        <v>0.88</v>
      </c>
      <c r="H216">
        <v>3.53</v>
      </c>
      <c r="I216">
        <v>0</v>
      </c>
      <c r="J216">
        <v>47</v>
      </c>
      <c r="K216">
        <v>129</v>
      </c>
      <c r="M216">
        <v>1.8723399999999999</v>
      </c>
      <c r="O216">
        <v>1856234</v>
      </c>
      <c r="P216" t="s">
        <v>541</v>
      </c>
      <c r="Q216">
        <v>3</v>
      </c>
      <c r="R216">
        <v>2</v>
      </c>
      <c r="S216">
        <v>2</v>
      </c>
    </row>
    <row r="217" spans="1:19" x14ac:dyDescent="0.25">
      <c r="A217" t="s">
        <v>486</v>
      </c>
      <c r="B217" t="s">
        <v>487</v>
      </c>
      <c r="C217" t="s">
        <v>404</v>
      </c>
      <c r="D217" t="s">
        <v>33</v>
      </c>
      <c r="E217" s="5">
        <v>94</v>
      </c>
      <c r="F217">
        <v>17.600000000000001</v>
      </c>
      <c r="G217">
        <v>0.88</v>
      </c>
      <c r="H217">
        <v>3.53</v>
      </c>
      <c r="I217">
        <v>0</v>
      </c>
      <c r="J217">
        <v>47</v>
      </c>
      <c r="K217">
        <v>141</v>
      </c>
      <c r="M217">
        <v>2</v>
      </c>
      <c r="O217">
        <v>1855151</v>
      </c>
      <c r="P217" t="s">
        <v>541</v>
      </c>
      <c r="Q217">
        <v>3</v>
      </c>
      <c r="R217">
        <v>2</v>
      </c>
      <c r="S217">
        <v>2</v>
      </c>
    </row>
    <row r="218" spans="1:19" x14ac:dyDescent="0.25">
      <c r="A218" t="s">
        <v>488</v>
      </c>
      <c r="B218" t="s">
        <v>489</v>
      </c>
      <c r="C218" t="s">
        <v>211</v>
      </c>
      <c r="D218" t="s">
        <v>33</v>
      </c>
      <c r="E218" s="5">
        <v>112</v>
      </c>
      <c r="F218">
        <v>23.6</v>
      </c>
      <c r="G218">
        <v>1.1200000000000001</v>
      </c>
      <c r="H218">
        <v>3.37</v>
      </c>
      <c r="I218">
        <v>2.2000000000000002</v>
      </c>
      <c r="J218">
        <v>6</v>
      </c>
      <c r="M218">
        <v>5.3571000000000001E-2</v>
      </c>
      <c r="O218">
        <v>2016055</v>
      </c>
      <c r="P218" t="s">
        <v>542</v>
      </c>
      <c r="Q218">
        <v>4</v>
      </c>
      <c r="R218">
        <v>2</v>
      </c>
      <c r="S218">
        <v>1</v>
      </c>
    </row>
    <row r="219" spans="1:19" x14ac:dyDescent="0.25">
      <c r="A219" t="s">
        <v>490</v>
      </c>
      <c r="B219" t="s">
        <v>491</v>
      </c>
      <c r="C219" t="s">
        <v>214</v>
      </c>
      <c r="D219" t="s">
        <v>28</v>
      </c>
      <c r="E219" s="5">
        <v>286</v>
      </c>
      <c r="F219">
        <v>0</v>
      </c>
      <c r="G219">
        <v>21.4</v>
      </c>
      <c r="H219">
        <v>28.6</v>
      </c>
      <c r="I219">
        <v>0</v>
      </c>
      <c r="J219">
        <v>607</v>
      </c>
      <c r="M219">
        <v>2.1223779999999999</v>
      </c>
      <c r="N219" t="s">
        <v>29</v>
      </c>
      <c r="O219">
        <v>2016741</v>
      </c>
      <c r="P219" t="s">
        <v>541</v>
      </c>
      <c r="Q219">
        <v>3</v>
      </c>
      <c r="R219">
        <v>3</v>
      </c>
      <c r="S219">
        <v>3</v>
      </c>
    </row>
    <row r="220" spans="1:19" x14ac:dyDescent="0.25">
      <c r="A220" t="s">
        <v>492</v>
      </c>
      <c r="B220" t="s">
        <v>493</v>
      </c>
      <c r="C220" t="s">
        <v>214</v>
      </c>
      <c r="D220" t="s">
        <v>28</v>
      </c>
      <c r="E220" s="5">
        <v>357</v>
      </c>
      <c r="F220">
        <v>3.57</v>
      </c>
      <c r="G220">
        <v>28.6</v>
      </c>
      <c r="H220">
        <v>25</v>
      </c>
      <c r="I220">
        <v>0</v>
      </c>
      <c r="J220">
        <v>607</v>
      </c>
      <c r="M220">
        <v>1.70028</v>
      </c>
      <c r="N220" t="s">
        <v>29</v>
      </c>
      <c r="O220">
        <v>2289798</v>
      </c>
      <c r="P220" t="s">
        <v>541</v>
      </c>
      <c r="Q220">
        <v>2</v>
      </c>
      <c r="R220">
        <v>3</v>
      </c>
      <c r="S220">
        <v>2</v>
      </c>
    </row>
    <row r="221" spans="1:19" x14ac:dyDescent="0.25">
      <c r="A221" t="s">
        <v>494</v>
      </c>
      <c r="B221" t="s">
        <v>495</v>
      </c>
      <c r="C221" t="s">
        <v>451</v>
      </c>
      <c r="D221" t="s">
        <v>28</v>
      </c>
      <c r="E221" s="5">
        <v>107</v>
      </c>
      <c r="F221">
        <v>0</v>
      </c>
      <c r="G221">
        <v>0.89</v>
      </c>
      <c r="H221">
        <v>23.2</v>
      </c>
      <c r="I221">
        <v>0</v>
      </c>
      <c r="J221">
        <v>393</v>
      </c>
      <c r="M221">
        <v>3.6728969999999999</v>
      </c>
      <c r="N221" t="s">
        <v>29</v>
      </c>
      <c r="O221">
        <v>2015532</v>
      </c>
      <c r="P221" t="s">
        <v>541</v>
      </c>
      <c r="Q221">
        <v>4</v>
      </c>
      <c r="R221">
        <v>3</v>
      </c>
      <c r="S221">
        <v>2</v>
      </c>
    </row>
    <row r="222" spans="1:19" x14ac:dyDescent="0.25">
      <c r="A222" t="s">
        <v>496</v>
      </c>
      <c r="B222" t="s">
        <v>497</v>
      </c>
      <c r="C222" t="s">
        <v>235</v>
      </c>
      <c r="D222" t="s">
        <v>33</v>
      </c>
      <c r="E222" s="5">
        <v>64</v>
      </c>
      <c r="F222">
        <v>13.6</v>
      </c>
      <c r="G222">
        <v>0.8</v>
      </c>
      <c r="H222">
        <v>1.6</v>
      </c>
      <c r="I222">
        <v>1.6</v>
      </c>
      <c r="J222">
        <v>12</v>
      </c>
      <c r="M222">
        <v>0.1875</v>
      </c>
      <c r="O222">
        <v>2015640</v>
      </c>
      <c r="P222" t="s">
        <v>542</v>
      </c>
      <c r="Q222">
        <v>4</v>
      </c>
      <c r="R222">
        <v>3</v>
      </c>
      <c r="S222">
        <v>1</v>
      </c>
    </row>
    <row r="223" spans="1:19" x14ac:dyDescent="0.25">
      <c r="A223" t="s">
        <v>498</v>
      </c>
      <c r="B223" t="s">
        <v>499</v>
      </c>
      <c r="C223" t="s">
        <v>226</v>
      </c>
      <c r="D223" t="s">
        <v>28</v>
      </c>
      <c r="E223" s="5">
        <v>125</v>
      </c>
      <c r="F223">
        <v>0</v>
      </c>
      <c r="G223">
        <v>1.79</v>
      </c>
      <c r="H223">
        <v>23.2</v>
      </c>
      <c r="I223">
        <v>0</v>
      </c>
      <c r="J223">
        <v>321</v>
      </c>
      <c r="M223">
        <v>2.5680000000000001</v>
      </c>
      <c r="N223" t="s">
        <v>29</v>
      </c>
      <c r="O223">
        <v>2008643</v>
      </c>
      <c r="P223" t="s">
        <v>541</v>
      </c>
      <c r="Q223">
        <v>3</v>
      </c>
      <c r="R223">
        <v>4</v>
      </c>
      <c r="S223">
        <v>2</v>
      </c>
    </row>
    <row r="224" spans="1:19" x14ac:dyDescent="0.25">
      <c r="A224" t="s">
        <v>500</v>
      </c>
      <c r="B224" t="s">
        <v>501</v>
      </c>
      <c r="C224" t="s">
        <v>404</v>
      </c>
      <c r="D224" t="s">
        <v>33</v>
      </c>
      <c r="E224" s="5">
        <v>87</v>
      </c>
      <c r="F224">
        <v>13.3</v>
      </c>
      <c r="G224">
        <v>0</v>
      </c>
      <c r="H224">
        <v>8.67</v>
      </c>
      <c r="I224">
        <v>0</v>
      </c>
      <c r="J224">
        <v>60</v>
      </c>
      <c r="K224">
        <v>127</v>
      </c>
      <c r="M224">
        <v>2.1494249999999999</v>
      </c>
      <c r="O224">
        <v>1882897</v>
      </c>
      <c r="P224" t="s">
        <v>541</v>
      </c>
      <c r="Q224">
        <v>4</v>
      </c>
      <c r="R224">
        <v>3</v>
      </c>
      <c r="S224">
        <v>2</v>
      </c>
    </row>
    <row r="225" spans="1:19" x14ac:dyDescent="0.25">
      <c r="A225" t="s">
        <v>502</v>
      </c>
      <c r="B225" t="s">
        <v>503</v>
      </c>
      <c r="C225" t="s">
        <v>214</v>
      </c>
      <c r="D225" t="s">
        <v>28</v>
      </c>
      <c r="E225" s="5">
        <v>293</v>
      </c>
      <c r="F225">
        <v>0</v>
      </c>
      <c r="G225">
        <v>21.4</v>
      </c>
      <c r="H225">
        <v>17.899999999999999</v>
      </c>
      <c r="I225">
        <v>0</v>
      </c>
      <c r="J225">
        <v>650</v>
      </c>
      <c r="M225">
        <v>2.2184300000000001</v>
      </c>
      <c r="N225" t="s">
        <v>29</v>
      </c>
      <c r="O225">
        <v>455117</v>
      </c>
      <c r="P225" t="s">
        <v>541</v>
      </c>
      <c r="Q225">
        <v>3</v>
      </c>
      <c r="R225">
        <v>2</v>
      </c>
      <c r="S225">
        <v>1</v>
      </c>
    </row>
    <row r="226" spans="1:19" x14ac:dyDescent="0.25">
      <c r="A226" t="s">
        <v>504</v>
      </c>
      <c r="B226" t="s">
        <v>505</v>
      </c>
      <c r="C226" t="s">
        <v>329</v>
      </c>
      <c r="D226" t="s">
        <v>23</v>
      </c>
      <c r="E226" s="5">
        <v>294</v>
      </c>
      <c r="F226">
        <v>51.8</v>
      </c>
      <c r="G226">
        <v>2.35</v>
      </c>
      <c r="H226">
        <v>12.9</v>
      </c>
      <c r="I226">
        <v>2.4</v>
      </c>
      <c r="J226">
        <v>41</v>
      </c>
      <c r="M226">
        <v>0.139456</v>
      </c>
      <c r="N226" t="s">
        <v>24</v>
      </c>
      <c r="O226">
        <v>2069629</v>
      </c>
      <c r="P226" t="s">
        <v>541</v>
      </c>
      <c r="Q226">
        <v>4</v>
      </c>
      <c r="R226">
        <v>2</v>
      </c>
      <c r="S226">
        <v>3</v>
      </c>
    </row>
    <row r="227" spans="1:19" x14ac:dyDescent="0.25">
      <c r="A227" t="s">
        <v>506</v>
      </c>
      <c r="B227" t="s">
        <v>507</v>
      </c>
      <c r="C227" t="s">
        <v>313</v>
      </c>
      <c r="D227" t="s">
        <v>28</v>
      </c>
      <c r="E227" s="5">
        <v>107</v>
      </c>
      <c r="F227">
        <v>0.89</v>
      </c>
      <c r="G227">
        <v>1.79</v>
      </c>
      <c r="H227">
        <v>25.9</v>
      </c>
      <c r="I227">
        <v>0</v>
      </c>
      <c r="J227">
        <v>326</v>
      </c>
      <c r="M227">
        <v>3.046729</v>
      </c>
      <c r="N227" t="s">
        <v>29</v>
      </c>
      <c r="O227">
        <v>2442421</v>
      </c>
      <c r="P227" t="s">
        <v>541</v>
      </c>
      <c r="Q227">
        <v>4</v>
      </c>
      <c r="R227">
        <v>3</v>
      </c>
      <c r="S227">
        <v>3</v>
      </c>
    </row>
    <row r="228" spans="1:19" x14ac:dyDescent="0.25">
      <c r="A228" t="s">
        <v>508</v>
      </c>
      <c r="B228" t="s">
        <v>509</v>
      </c>
      <c r="C228" t="s">
        <v>290</v>
      </c>
      <c r="D228" t="s">
        <v>33</v>
      </c>
      <c r="E228" s="5">
        <v>24</v>
      </c>
      <c r="F228">
        <v>4.92</v>
      </c>
      <c r="G228">
        <v>0</v>
      </c>
      <c r="H228">
        <v>0.82</v>
      </c>
      <c r="I228">
        <v>0.8</v>
      </c>
      <c r="J228">
        <v>40</v>
      </c>
      <c r="M228">
        <v>1.6666669999999999</v>
      </c>
      <c r="O228">
        <v>2012881</v>
      </c>
      <c r="P228" t="s">
        <v>542</v>
      </c>
      <c r="Q228">
        <v>4</v>
      </c>
      <c r="R228">
        <v>1</v>
      </c>
      <c r="S228">
        <v>1</v>
      </c>
    </row>
    <row r="229" spans="1:19" x14ac:dyDescent="0.25">
      <c r="A229" t="s">
        <v>510</v>
      </c>
      <c r="B229" t="s">
        <v>511</v>
      </c>
      <c r="C229" t="s">
        <v>290</v>
      </c>
      <c r="D229" t="s">
        <v>33</v>
      </c>
      <c r="E229" s="5">
        <v>24</v>
      </c>
      <c r="F229">
        <v>4.92</v>
      </c>
      <c r="G229">
        <v>0</v>
      </c>
      <c r="H229">
        <v>0.82</v>
      </c>
      <c r="I229">
        <v>0.8</v>
      </c>
      <c r="J229">
        <v>40</v>
      </c>
      <c r="M229">
        <v>1.6666669999999999</v>
      </c>
      <c r="O229">
        <v>2012873</v>
      </c>
      <c r="P229" t="s">
        <v>542</v>
      </c>
      <c r="Q229">
        <v>4</v>
      </c>
      <c r="R229">
        <v>4</v>
      </c>
      <c r="S229">
        <v>2</v>
      </c>
    </row>
    <row r="230" spans="1:19" x14ac:dyDescent="0.25">
      <c r="A230" t="s">
        <v>512</v>
      </c>
      <c r="B230" t="s">
        <v>513</v>
      </c>
      <c r="C230" t="s">
        <v>514</v>
      </c>
      <c r="D230" t="s">
        <v>28</v>
      </c>
      <c r="E230" s="5">
        <v>143</v>
      </c>
      <c r="F230">
        <v>0</v>
      </c>
      <c r="G230">
        <v>7.94</v>
      </c>
      <c r="H230">
        <v>19</v>
      </c>
      <c r="I230">
        <v>0</v>
      </c>
      <c r="J230">
        <v>429</v>
      </c>
      <c r="M230">
        <v>3</v>
      </c>
      <c r="N230" t="s">
        <v>29</v>
      </c>
      <c r="O230">
        <v>1855429</v>
      </c>
      <c r="P230" t="s">
        <v>541</v>
      </c>
      <c r="Q230">
        <v>5</v>
      </c>
      <c r="R230">
        <v>4</v>
      </c>
      <c r="S230">
        <v>2</v>
      </c>
    </row>
    <row r="231" spans="1:19" x14ac:dyDescent="0.25">
      <c r="A231" t="s">
        <v>515</v>
      </c>
      <c r="B231" t="s">
        <v>516</v>
      </c>
      <c r="C231" t="s">
        <v>404</v>
      </c>
      <c r="D231" t="s">
        <v>33</v>
      </c>
      <c r="E231" s="5">
        <v>88</v>
      </c>
      <c r="F231">
        <v>16.5</v>
      </c>
      <c r="G231">
        <v>0.88</v>
      </c>
      <c r="H231">
        <v>3.53</v>
      </c>
      <c r="I231">
        <v>0</v>
      </c>
      <c r="J231">
        <v>47</v>
      </c>
      <c r="M231">
        <v>0.53409099999999998</v>
      </c>
      <c r="O231">
        <v>2185850</v>
      </c>
      <c r="P231" t="s">
        <v>541</v>
      </c>
      <c r="Q231">
        <v>3</v>
      </c>
      <c r="R231">
        <v>2</v>
      </c>
      <c r="S231">
        <v>2</v>
      </c>
    </row>
    <row r="232" spans="1:19" x14ac:dyDescent="0.25">
      <c r="A232" t="s">
        <v>517</v>
      </c>
      <c r="B232" t="s">
        <v>518</v>
      </c>
      <c r="C232" t="s">
        <v>217</v>
      </c>
      <c r="D232" t="s">
        <v>108</v>
      </c>
      <c r="E232" s="5">
        <v>567</v>
      </c>
      <c r="F232">
        <v>10</v>
      </c>
      <c r="G232">
        <v>43.3</v>
      </c>
      <c r="H232">
        <v>33.299999999999997</v>
      </c>
      <c r="I232">
        <v>10</v>
      </c>
      <c r="J232">
        <v>0</v>
      </c>
      <c r="L232">
        <v>600</v>
      </c>
      <c r="M232">
        <v>1.0582009999999999</v>
      </c>
      <c r="N232" t="s">
        <v>109</v>
      </c>
      <c r="O232">
        <v>2665901</v>
      </c>
      <c r="P232" t="s">
        <v>541</v>
      </c>
      <c r="Q232">
        <v>5</v>
      </c>
      <c r="R232">
        <v>4</v>
      </c>
      <c r="S232">
        <v>3</v>
      </c>
    </row>
    <row r="233" spans="1:19" x14ac:dyDescent="0.25">
      <c r="A233" t="s">
        <v>519</v>
      </c>
      <c r="B233" t="s">
        <v>520</v>
      </c>
      <c r="C233" t="s">
        <v>521</v>
      </c>
      <c r="D233" t="s">
        <v>108</v>
      </c>
      <c r="E233" s="5">
        <v>194</v>
      </c>
      <c r="F233">
        <v>0.3</v>
      </c>
      <c r="G233">
        <v>15</v>
      </c>
      <c r="H233">
        <v>14.9</v>
      </c>
      <c r="J233">
        <v>260</v>
      </c>
      <c r="M233">
        <v>1.340206</v>
      </c>
      <c r="N233" t="s">
        <v>109</v>
      </c>
      <c r="O233">
        <v>2316837</v>
      </c>
      <c r="P233" t="s">
        <v>541</v>
      </c>
      <c r="Q233">
        <v>2</v>
      </c>
      <c r="R233">
        <v>3</v>
      </c>
      <c r="S233">
        <v>2</v>
      </c>
    </row>
    <row r="234" spans="1:19" x14ac:dyDescent="0.25">
      <c r="A234" t="s">
        <v>522</v>
      </c>
      <c r="B234" t="s">
        <v>523</v>
      </c>
      <c r="C234" t="s">
        <v>521</v>
      </c>
      <c r="D234" t="s">
        <v>108</v>
      </c>
      <c r="E234" s="5">
        <v>233</v>
      </c>
      <c r="F234">
        <v>4</v>
      </c>
      <c r="G234">
        <v>26.3</v>
      </c>
      <c r="H234">
        <v>9.36</v>
      </c>
      <c r="J234">
        <v>291</v>
      </c>
      <c r="M234">
        <v>1.2489269999999999</v>
      </c>
      <c r="N234" t="s">
        <v>109</v>
      </c>
      <c r="O234">
        <v>2316836</v>
      </c>
      <c r="P234" t="s">
        <v>541</v>
      </c>
      <c r="Q234">
        <v>2</v>
      </c>
      <c r="R234">
        <v>3</v>
      </c>
      <c r="S234">
        <v>1</v>
      </c>
    </row>
    <row r="235" spans="1:19" x14ac:dyDescent="0.25">
      <c r="A235" t="s">
        <v>524</v>
      </c>
      <c r="B235" t="s">
        <v>525</v>
      </c>
      <c r="C235" t="s">
        <v>211</v>
      </c>
      <c r="D235" t="s">
        <v>33</v>
      </c>
      <c r="E235" s="5">
        <v>41</v>
      </c>
      <c r="F235">
        <v>7.06</v>
      </c>
      <c r="G235">
        <v>0</v>
      </c>
      <c r="H235">
        <v>1.18</v>
      </c>
      <c r="I235">
        <v>2.4</v>
      </c>
      <c r="J235">
        <v>29</v>
      </c>
      <c r="M235">
        <v>0.70731699999999997</v>
      </c>
      <c r="O235">
        <v>2059139</v>
      </c>
      <c r="P235" t="s">
        <v>542</v>
      </c>
      <c r="Q235">
        <v>5</v>
      </c>
      <c r="R235">
        <v>4</v>
      </c>
      <c r="S235">
        <v>1</v>
      </c>
    </row>
    <row r="236" spans="1:19" x14ac:dyDescent="0.25">
      <c r="A236" t="s">
        <v>526</v>
      </c>
      <c r="B236" t="s">
        <v>527</v>
      </c>
      <c r="C236" t="s">
        <v>521</v>
      </c>
      <c r="D236" t="s">
        <v>108</v>
      </c>
      <c r="E236" s="5">
        <v>194</v>
      </c>
      <c r="F236">
        <v>0.3</v>
      </c>
      <c r="G236">
        <v>15</v>
      </c>
      <c r="H236">
        <v>14.9</v>
      </c>
      <c r="J236">
        <v>260</v>
      </c>
      <c r="M236">
        <v>1.340206</v>
      </c>
      <c r="N236" t="s">
        <v>109</v>
      </c>
      <c r="O236">
        <v>2316835</v>
      </c>
      <c r="P236" t="s">
        <v>541</v>
      </c>
      <c r="Q236">
        <v>2</v>
      </c>
      <c r="R236">
        <v>3</v>
      </c>
      <c r="S236">
        <v>2</v>
      </c>
    </row>
    <row r="237" spans="1:19" x14ac:dyDescent="0.25">
      <c r="A237" t="s">
        <v>528</v>
      </c>
      <c r="B237" t="s">
        <v>529</v>
      </c>
      <c r="C237" t="s">
        <v>217</v>
      </c>
      <c r="D237" t="s">
        <v>23</v>
      </c>
      <c r="E237" s="5">
        <v>356</v>
      </c>
      <c r="F237">
        <v>71.099999999999994</v>
      </c>
      <c r="G237">
        <v>2.2200000000000002</v>
      </c>
      <c r="H237">
        <v>11.1</v>
      </c>
      <c r="I237">
        <v>15.6</v>
      </c>
      <c r="J237">
        <v>0</v>
      </c>
      <c r="M237">
        <v>0</v>
      </c>
      <c r="N237" t="s">
        <v>24</v>
      </c>
      <c r="O237">
        <v>2031314</v>
      </c>
      <c r="P237" t="s">
        <v>541</v>
      </c>
      <c r="Q237">
        <v>5</v>
      </c>
      <c r="R237">
        <v>4</v>
      </c>
      <c r="S237">
        <v>4</v>
      </c>
    </row>
    <row r="238" spans="1:19" x14ac:dyDescent="0.25">
      <c r="A238" t="s">
        <v>530</v>
      </c>
      <c r="B238" t="s">
        <v>531</v>
      </c>
      <c r="C238" t="s">
        <v>404</v>
      </c>
      <c r="D238" t="s">
        <v>33</v>
      </c>
      <c r="E238" s="5">
        <v>93</v>
      </c>
      <c r="F238">
        <v>13.3</v>
      </c>
      <c r="G238">
        <v>0</v>
      </c>
      <c r="H238">
        <v>8.67</v>
      </c>
      <c r="I238">
        <v>0</v>
      </c>
      <c r="J238">
        <v>40</v>
      </c>
      <c r="K238">
        <v>127</v>
      </c>
      <c r="M238">
        <v>1.7956989999999999</v>
      </c>
      <c r="O238">
        <v>2210361</v>
      </c>
      <c r="P238" t="s">
        <v>541</v>
      </c>
      <c r="Q238">
        <v>4</v>
      </c>
      <c r="R238">
        <v>3</v>
      </c>
      <c r="S238">
        <v>2</v>
      </c>
    </row>
    <row r="239" spans="1:19" x14ac:dyDescent="0.25">
      <c r="A239" t="s">
        <v>532</v>
      </c>
      <c r="B239" t="s">
        <v>533</v>
      </c>
      <c r="C239" t="s">
        <v>404</v>
      </c>
      <c r="D239" t="s">
        <v>33</v>
      </c>
      <c r="E239" s="5">
        <v>93</v>
      </c>
      <c r="F239">
        <v>14</v>
      </c>
      <c r="G239">
        <v>0</v>
      </c>
      <c r="H239">
        <v>8.67</v>
      </c>
      <c r="I239">
        <v>0</v>
      </c>
      <c r="J239">
        <v>37</v>
      </c>
      <c r="K239">
        <v>120</v>
      </c>
      <c r="M239">
        <v>1.688172</v>
      </c>
      <c r="O239">
        <v>2210457</v>
      </c>
      <c r="P239" t="s">
        <v>541</v>
      </c>
      <c r="Q239">
        <v>4</v>
      </c>
      <c r="R239">
        <v>3</v>
      </c>
      <c r="S239">
        <v>2</v>
      </c>
    </row>
    <row r="240" spans="1:19" x14ac:dyDescent="0.25">
      <c r="A240" t="s">
        <v>534</v>
      </c>
      <c r="B240" t="s">
        <v>535</v>
      </c>
      <c r="C240" t="s">
        <v>404</v>
      </c>
      <c r="D240" t="s">
        <v>33</v>
      </c>
      <c r="E240" s="5">
        <v>87</v>
      </c>
      <c r="F240">
        <v>12.7</v>
      </c>
      <c r="G240">
        <v>0</v>
      </c>
      <c r="H240">
        <v>9.33</v>
      </c>
      <c r="I240">
        <v>0</v>
      </c>
      <c r="J240">
        <v>40</v>
      </c>
      <c r="K240">
        <v>127</v>
      </c>
      <c r="M240">
        <v>1.91954</v>
      </c>
      <c r="O240">
        <v>2210456</v>
      </c>
      <c r="P240" t="s">
        <v>541</v>
      </c>
      <c r="Q240">
        <v>4</v>
      </c>
      <c r="R240">
        <v>3</v>
      </c>
      <c r="S240">
        <v>2</v>
      </c>
    </row>
    <row r="241" spans="1:19" x14ac:dyDescent="0.25">
      <c r="A241" t="s">
        <v>536</v>
      </c>
      <c r="B241" t="s">
        <v>537</v>
      </c>
      <c r="C241" t="s">
        <v>214</v>
      </c>
      <c r="D241" t="s">
        <v>33</v>
      </c>
      <c r="E241" s="5"/>
      <c r="M241">
        <v>0</v>
      </c>
      <c r="O241">
        <v>2290697</v>
      </c>
      <c r="P241" t="s">
        <v>541</v>
      </c>
      <c r="Q241">
        <v>2</v>
      </c>
      <c r="R241">
        <v>1</v>
      </c>
      <c r="S241">
        <v>1</v>
      </c>
    </row>
    <row r="242" spans="1:19" x14ac:dyDescent="0.25">
      <c r="A242" t="s">
        <v>538</v>
      </c>
      <c r="B242" t="s">
        <v>539</v>
      </c>
      <c r="C242" t="s">
        <v>404</v>
      </c>
      <c r="D242" t="s">
        <v>33</v>
      </c>
      <c r="E242" s="5">
        <v>73</v>
      </c>
      <c r="F242">
        <v>3.33</v>
      </c>
      <c r="G242">
        <v>2</v>
      </c>
      <c r="H242">
        <v>10</v>
      </c>
      <c r="I242">
        <v>0</v>
      </c>
      <c r="J242">
        <v>63</v>
      </c>
      <c r="K242">
        <v>140</v>
      </c>
      <c r="M242">
        <v>2.7808220000000001</v>
      </c>
      <c r="O242">
        <v>2052559</v>
      </c>
      <c r="P242" t="s">
        <v>541</v>
      </c>
      <c r="Q242">
        <v>4</v>
      </c>
      <c r="R242">
        <v>4</v>
      </c>
      <c r="S24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90B0-C30E-4998-B5AC-8DC426F5B280}">
  <dimension ref="A1:H113"/>
  <sheetViews>
    <sheetView workbookViewId="0">
      <selection activeCell="G7" sqref="G7"/>
    </sheetView>
  </sheetViews>
  <sheetFormatPr defaultRowHeight="15" x14ac:dyDescent="0.25"/>
  <cols>
    <col min="1" max="1" width="18" style="9" bestFit="1" customWidth="1"/>
    <col min="2" max="5" width="18" style="7" customWidth="1"/>
    <col min="6" max="6" width="18" style="7" bestFit="1" customWidth="1"/>
    <col min="7" max="7" width="18.7109375" style="7" bestFit="1" customWidth="1"/>
    <col min="8" max="8" width="21.42578125" style="7" bestFit="1" customWidth="1"/>
  </cols>
  <sheetData>
    <row r="1" spans="1:8" x14ac:dyDescent="0.25">
      <c r="A1" s="8" t="s">
        <v>643</v>
      </c>
      <c r="B1" s="6" t="s">
        <v>540</v>
      </c>
      <c r="C1" s="6" t="s">
        <v>672</v>
      </c>
      <c r="D1" s="6" t="s">
        <v>3</v>
      </c>
      <c r="E1" s="6" t="s">
        <v>4</v>
      </c>
      <c r="F1" s="6" t="s">
        <v>619</v>
      </c>
      <c r="G1" s="6" t="s">
        <v>620</v>
      </c>
      <c r="H1" s="6" t="s">
        <v>621</v>
      </c>
    </row>
    <row r="2" spans="1:8" x14ac:dyDescent="0.25">
      <c r="A2" s="9" t="s">
        <v>668</v>
      </c>
      <c r="B2" s="7" t="s">
        <v>541</v>
      </c>
      <c r="C2" s="7" t="s">
        <v>29</v>
      </c>
      <c r="D2" s="7" t="s">
        <v>28</v>
      </c>
      <c r="E2" s="5">
        <v>143</v>
      </c>
      <c r="F2" s="7">
        <v>5</v>
      </c>
      <c r="G2" s="7">
        <v>4</v>
      </c>
      <c r="H2" s="7">
        <v>2</v>
      </c>
    </row>
    <row r="3" spans="1:8" x14ac:dyDescent="0.25">
      <c r="A3" s="9" t="s">
        <v>638</v>
      </c>
      <c r="B3" s="7" t="s">
        <v>541</v>
      </c>
      <c r="C3" s="7" t="s">
        <v>24</v>
      </c>
      <c r="D3" s="7" t="s">
        <v>23</v>
      </c>
      <c r="E3" s="5">
        <v>594</v>
      </c>
      <c r="F3" s="7">
        <v>5</v>
      </c>
      <c r="G3" s="7">
        <v>2</v>
      </c>
      <c r="H3" s="7">
        <v>4</v>
      </c>
    </row>
    <row r="4" spans="1:8" x14ac:dyDescent="0.25">
      <c r="A4" s="9" t="s">
        <v>645</v>
      </c>
      <c r="B4" s="7" t="s">
        <v>541</v>
      </c>
      <c r="C4" s="7" t="s">
        <v>24</v>
      </c>
      <c r="D4" s="7" t="s">
        <v>23</v>
      </c>
      <c r="E4" s="5">
        <v>693.55830000000003</v>
      </c>
      <c r="F4" s="7">
        <v>5</v>
      </c>
      <c r="G4" s="7">
        <v>3</v>
      </c>
      <c r="H4" s="7">
        <v>5</v>
      </c>
    </row>
    <row r="5" spans="1:8" x14ac:dyDescent="0.25">
      <c r="A5" s="9" t="s">
        <v>657</v>
      </c>
      <c r="B5" s="7" t="s">
        <v>541</v>
      </c>
      <c r="C5" s="7">
        <v>0</v>
      </c>
      <c r="D5" s="7" t="s">
        <v>33</v>
      </c>
      <c r="E5" s="5">
        <v>69</v>
      </c>
      <c r="F5" s="7">
        <v>5</v>
      </c>
      <c r="G5" s="7">
        <v>4</v>
      </c>
      <c r="H5" s="7">
        <v>3</v>
      </c>
    </row>
    <row r="6" spans="1:8" x14ac:dyDescent="0.25">
      <c r="A6" s="9" t="s">
        <v>637</v>
      </c>
      <c r="B6" s="7" t="s">
        <v>541</v>
      </c>
      <c r="C6" s="7">
        <v>0</v>
      </c>
      <c r="D6" s="7" t="s">
        <v>33</v>
      </c>
      <c r="E6" s="5">
        <v>77</v>
      </c>
      <c r="F6" s="7">
        <v>5</v>
      </c>
      <c r="G6" s="7">
        <v>4</v>
      </c>
      <c r="H6" s="7">
        <v>3</v>
      </c>
    </row>
    <row r="7" spans="1:8" x14ac:dyDescent="0.25">
      <c r="A7" s="9" t="s">
        <v>658</v>
      </c>
      <c r="B7" s="7" t="s">
        <v>541</v>
      </c>
      <c r="C7" s="7" t="s">
        <v>29</v>
      </c>
      <c r="D7" s="7" t="s">
        <v>28</v>
      </c>
      <c r="E7" s="5">
        <v>333</v>
      </c>
      <c r="F7" s="7">
        <v>5</v>
      </c>
      <c r="G7" s="7">
        <v>4</v>
      </c>
      <c r="H7" s="7">
        <v>4</v>
      </c>
    </row>
    <row r="8" spans="1:8" x14ac:dyDescent="0.25">
      <c r="A8" s="9" t="s">
        <v>662</v>
      </c>
      <c r="B8" s="7" t="s">
        <v>541</v>
      </c>
      <c r="C8" s="7">
        <v>0</v>
      </c>
      <c r="D8" s="7" t="s">
        <v>33</v>
      </c>
      <c r="E8" s="5">
        <v>85</v>
      </c>
      <c r="F8" s="7">
        <v>5</v>
      </c>
      <c r="G8" s="7">
        <v>4</v>
      </c>
      <c r="H8" s="7">
        <v>3</v>
      </c>
    </row>
    <row r="9" spans="1:8" x14ac:dyDescent="0.25">
      <c r="A9" s="9" t="s">
        <v>659</v>
      </c>
      <c r="B9" s="7" t="s">
        <v>541</v>
      </c>
      <c r="C9" s="7" t="s">
        <v>24</v>
      </c>
      <c r="D9" s="7" t="s">
        <v>23</v>
      </c>
      <c r="E9" s="5">
        <v>536</v>
      </c>
      <c r="F9" s="7">
        <v>5</v>
      </c>
      <c r="G9" s="7">
        <v>3</v>
      </c>
      <c r="H9" s="7">
        <v>4</v>
      </c>
    </row>
    <row r="10" spans="1:8" x14ac:dyDescent="0.25">
      <c r="A10" s="9" t="s">
        <v>630</v>
      </c>
      <c r="B10" s="7" t="s">
        <v>541</v>
      </c>
      <c r="C10" s="7" t="s">
        <v>29</v>
      </c>
      <c r="D10" s="7" t="s">
        <v>28</v>
      </c>
      <c r="E10" s="5">
        <v>226.0497</v>
      </c>
      <c r="F10" s="7">
        <v>5</v>
      </c>
      <c r="G10" s="7">
        <v>3</v>
      </c>
      <c r="H10" s="7">
        <v>3</v>
      </c>
    </row>
    <row r="11" spans="1:8" x14ac:dyDescent="0.25">
      <c r="A11" s="9" t="s">
        <v>631</v>
      </c>
      <c r="B11" s="7" t="s">
        <v>541</v>
      </c>
      <c r="C11" s="7">
        <v>0</v>
      </c>
      <c r="D11" s="7" t="s">
        <v>33</v>
      </c>
      <c r="E11" s="5">
        <v>1256.5851</v>
      </c>
      <c r="F11" s="7">
        <v>5</v>
      </c>
      <c r="G11" s="7">
        <v>2</v>
      </c>
      <c r="H11" s="7">
        <v>4</v>
      </c>
    </row>
    <row r="12" spans="1:8" x14ac:dyDescent="0.25">
      <c r="A12" s="9" t="s">
        <v>661</v>
      </c>
      <c r="B12" s="7" t="s">
        <v>541</v>
      </c>
      <c r="C12" s="7" t="s">
        <v>29</v>
      </c>
      <c r="D12" s="7" t="s">
        <v>28</v>
      </c>
      <c r="E12" s="5">
        <v>600</v>
      </c>
      <c r="F12" s="7">
        <v>5</v>
      </c>
      <c r="G12" s="7">
        <v>3</v>
      </c>
      <c r="H12" s="7">
        <v>4</v>
      </c>
    </row>
    <row r="13" spans="1:8" x14ac:dyDescent="0.25">
      <c r="A13" s="9" t="s">
        <v>669</v>
      </c>
      <c r="B13" s="7" t="s">
        <v>541</v>
      </c>
      <c r="C13" s="7" t="s">
        <v>109</v>
      </c>
      <c r="D13" s="7" t="s">
        <v>108</v>
      </c>
      <c r="E13" s="5">
        <v>567</v>
      </c>
      <c r="F13" s="7">
        <v>5</v>
      </c>
      <c r="G13" s="7">
        <v>4</v>
      </c>
      <c r="H13" s="7">
        <v>3</v>
      </c>
    </row>
    <row r="14" spans="1:8" x14ac:dyDescent="0.25">
      <c r="A14" s="9" t="s">
        <v>665</v>
      </c>
      <c r="B14" s="7" t="s">
        <v>541</v>
      </c>
      <c r="C14" s="7">
        <v>0</v>
      </c>
      <c r="D14" s="7" t="s">
        <v>33</v>
      </c>
      <c r="E14" s="5">
        <v>85</v>
      </c>
      <c r="F14" s="7">
        <v>5</v>
      </c>
      <c r="G14" s="7">
        <v>3</v>
      </c>
      <c r="H14" s="7">
        <v>3</v>
      </c>
    </row>
    <row r="15" spans="1:8" x14ac:dyDescent="0.25">
      <c r="A15" s="9" t="s">
        <v>666</v>
      </c>
      <c r="B15" s="7" t="s">
        <v>541</v>
      </c>
      <c r="C15" s="7" t="s">
        <v>24</v>
      </c>
      <c r="D15" s="7" t="s">
        <v>23</v>
      </c>
      <c r="E15" s="5">
        <v>133</v>
      </c>
      <c r="F15" s="7">
        <v>5</v>
      </c>
      <c r="G15" s="7">
        <v>3</v>
      </c>
      <c r="H15" s="7">
        <v>3</v>
      </c>
    </row>
    <row r="16" spans="1:8" x14ac:dyDescent="0.25">
      <c r="A16" s="9" t="s">
        <v>646</v>
      </c>
      <c r="B16" s="7" t="s">
        <v>541</v>
      </c>
      <c r="C16" s="7">
        <v>0</v>
      </c>
      <c r="D16" s="7" t="s">
        <v>33</v>
      </c>
      <c r="E16" s="5">
        <v>1195.5143</v>
      </c>
      <c r="F16" s="7">
        <v>5</v>
      </c>
      <c r="G16" s="7">
        <v>2</v>
      </c>
      <c r="H16" s="7">
        <v>4</v>
      </c>
    </row>
    <row r="17" spans="1:8" x14ac:dyDescent="0.25">
      <c r="A17" s="9" t="s">
        <v>622</v>
      </c>
      <c r="B17" s="7" t="s">
        <v>541</v>
      </c>
      <c r="C17" s="7" t="s">
        <v>24</v>
      </c>
      <c r="D17" s="7" t="s">
        <v>23</v>
      </c>
      <c r="E17" s="5">
        <v>778.57929999999999</v>
      </c>
      <c r="F17" s="7">
        <v>5</v>
      </c>
      <c r="G17" s="7">
        <v>3</v>
      </c>
      <c r="H17" s="7">
        <v>5</v>
      </c>
    </row>
    <row r="18" spans="1:8" x14ac:dyDescent="0.25">
      <c r="A18" s="9" t="s">
        <v>644</v>
      </c>
      <c r="B18" s="7" t="s">
        <v>541</v>
      </c>
      <c r="C18" s="7" t="s">
        <v>24</v>
      </c>
      <c r="D18" s="7" t="s">
        <v>23</v>
      </c>
      <c r="E18" s="5">
        <v>721.89869999999996</v>
      </c>
      <c r="F18" s="7">
        <v>5</v>
      </c>
      <c r="G18" s="7">
        <v>3</v>
      </c>
      <c r="H18" s="7">
        <v>5</v>
      </c>
    </row>
    <row r="19" spans="1:8" x14ac:dyDescent="0.25">
      <c r="A19" s="9" t="s">
        <v>650</v>
      </c>
      <c r="B19" s="7" t="s">
        <v>541</v>
      </c>
      <c r="C19" s="7" t="s">
        <v>24</v>
      </c>
      <c r="D19" s="7" t="s">
        <v>23</v>
      </c>
      <c r="E19" s="5">
        <v>1081.153</v>
      </c>
      <c r="F19" s="7">
        <v>5</v>
      </c>
      <c r="G19" s="7">
        <v>3</v>
      </c>
      <c r="H19" s="7">
        <v>4</v>
      </c>
    </row>
    <row r="20" spans="1:8" x14ac:dyDescent="0.25">
      <c r="A20" s="9" t="s">
        <v>626</v>
      </c>
      <c r="B20" s="7" t="s">
        <v>541</v>
      </c>
      <c r="C20" s="7">
        <v>0</v>
      </c>
      <c r="D20" s="7" t="s">
        <v>33</v>
      </c>
      <c r="E20" s="5">
        <v>85</v>
      </c>
      <c r="F20" s="7">
        <v>5</v>
      </c>
      <c r="G20" s="7">
        <v>4</v>
      </c>
      <c r="H20" s="7">
        <v>3</v>
      </c>
    </row>
    <row r="21" spans="1:8" x14ac:dyDescent="0.25">
      <c r="A21" s="9" t="s">
        <v>641</v>
      </c>
      <c r="B21" s="7" t="s">
        <v>541</v>
      </c>
      <c r="C21" s="7" t="s">
        <v>24</v>
      </c>
      <c r="D21" s="7" t="s">
        <v>23</v>
      </c>
      <c r="E21" s="5">
        <v>567</v>
      </c>
      <c r="F21" s="7">
        <v>5</v>
      </c>
      <c r="G21" s="7">
        <v>3</v>
      </c>
      <c r="H21" s="7">
        <v>3</v>
      </c>
    </row>
    <row r="22" spans="1:8" x14ac:dyDescent="0.25">
      <c r="A22" s="9" t="s">
        <v>667</v>
      </c>
      <c r="B22" s="7" t="s">
        <v>541</v>
      </c>
      <c r="C22" s="7" t="s">
        <v>109</v>
      </c>
      <c r="D22" s="7" t="s">
        <v>108</v>
      </c>
      <c r="E22" s="5">
        <v>522</v>
      </c>
      <c r="F22" s="7">
        <v>5</v>
      </c>
      <c r="G22" s="7">
        <v>3</v>
      </c>
      <c r="H22" s="7">
        <v>4</v>
      </c>
    </row>
    <row r="23" spans="1:8" x14ac:dyDescent="0.25">
      <c r="A23" s="9" t="s">
        <v>664</v>
      </c>
      <c r="B23" s="7" t="s">
        <v>541</v>
      </c>
      <c r="C23" s="7" t="s">
        <v>109</v>
      </c>
      <c r="D23" s="7" t="s">
        <v>108</v>
      </c>
      <c r="E23" s="5">
        <v>580</v>
      </c>
      <c r="F23" s="7">
        <v>5</v>
      </c>
      <c r="G23" s="7">
        <v>3</v>
      </c>
      <c r="H23" s="7">
        <v>4</v>
      </c>
    </row>
    <row r="24" spans="1:8" x14ac:dyDescent="0.25">
      <c r="A24" s="9" t="s">
        <v>639</v>
      </c>
      <c r="B24" s="7" t="s">
        <v>541</v>
      </c>
      <c r="C24" s="7">
        <v>0</v>
      </c>
      <c r="D24" s="7" t="s">
        <v>33</v>
      </c>
      <c r="E24" s="5">
        <v>97</v>
      </c>
      <c r="F24" s="7">
        <v>5</v>
      </c>
      <c r="G24" s="7">
        <v>4</v>
      </c>
      <c r="H24" s="7">
        <v>3</v>
      </c>
    </row>
    <row r="25" spans="1:8" x14ac:dyDescent="0.25">
      <c r="A25" s="9" t="s">
        <v>655</v>
      </c>
      <c r="B25" s="7" t="s">
        <v>541</v>
      </c>
      <c r="C25" s="7">
        <v>0</v>
      </c>
      <c r="D25" s="7" t="s">
        <v>33</v>
      </c>
      <c r="E25" s="5">
        <v>231.6788</v>
      </c>
      <c r="F25" s="7">
        <v>5</v>
      </c>
      <c r="G25" s="7">
        <v>3</v>
      </c>
      <c r="H25" s="7">
        <v>3</v>
      </c>
    </row>
    <row r="26" spans="1:8" x14ac:dyDescent="0.25">
      <c r="A26" s="9" t="s">
        <v>652</v>
      </c>
      <c r="B26" s="7" t="s">
        <v>541</v>
      </c>
      <c r="C26" s="7" t="s">
        <v>24</v>
      </c>
      <c r="D26" s="7" t="s">
        <v>23</v>
      </c>
      <c r="E26" s="5">
        <v>533</v>
      </c>
      <c r="F26" s="7">
        <v>5</v>
      </c>
      <c r="G26" s="7">
        <v>3</v>
      </c>
      <c r="H26" s="7">
        <v>4</v>
      </c>
    </row>
    <row r="27" spans="1:8" x14ac:dyDescent="0.25">
      <c r="A27" s="9" t="s">
        <v>642</v>
      </c>
      <c r="B27" s="7" t="s">
        <v>541</v>
      </c>
      <c r="C27" s="7" t="s">
        <v>29</v>
      </c>
      <c r="D27" s="7" t="s">
        <v>28</v>
      </c>
      <c r="E27" s="5">
        <v>123</v>
      </c>
      <c r="F27" s="7">
        <v>5</v>
      </c>
      <c r="G27" s="7">
        <v>4</v>
      </c>
      <c r="H27" s="7">
        <v>3</v>
      </c>
    </row>
    <row r="28" spans="1:8" x14ac:dyDescent="0.25">
      <c r="A28" s="9" t="s">
        <v>633</v>
      </c>
      <c r="B28" s="7" t="s">
        <v>541</v>
      </c>
      <c r="C28" s="7" t="s">
        <v>29</v>
      </c>
      <c r="D28" s="7" t="s">
        <v>28</v>
      </c>
      <c r="E28" s="5">
        <v>764.40920000000006</v>
      </c>
      <c r="F28" s="7">
        <v>5</v>
      </c>
      <c r="G28" s="7">
        <v>4</v>
      </c>
      <c r="H28" s="7">
        <v>4</v>
      </c>
    </row>
    <row r="29" spans="1:8" x14ac:dyDescent="0.25">
      <c r="A29" s="9" t="s">
        <v>634</v>
      </c>
      <c r="B29" s="7" t="s">
        <v>541</v>
      </c>
      <c r="C29" s="7">
        <v>0</v>
      </c>
      <c r="D29" s="7" t="s">
        <v>33</v>
      </c>
      <c r="E29" s="5">
        <v>170.32499999999999</v>
      </c>
      <c r="F29" s="7">
        <v>5</v>
      </c>
      <c r="G29" s="7">
        <v>3</v>
      </c>
      <c r="H29" s="7">
        <v>2</v>
      </c>
    </row>
    <row r="30" spans="1:8" x14ac:dyDescent="0.25">
      <c r="A30" s="9" t="s">
        <v>663</v>
      </c>
      <c r="B30" s="7" t="s">
        <v>542</v>
      </c>
      <c r="C30" s="7" t="s">
        <v>29</v>
      </c>
      <c r="D30" s="7" t="s">
        <v>28</v>
      </c>
      <c r="E30" s="5">
        <v>17</v>
      </c>
      <c r="F30" s="7">
        <v>5</v>
      </c>
      <c r="G30" s="7">
        <v>3</v>
      </c>
      <c r="H30" s="7">
        <v>1</v>
      </c>
    </row>
    <row r="31" spans="1:8" x14ac:dyDescent="0.25">
      <c r="A31" s="9" t="s">
        <v>656</v>
      </c>
      <c r="B31" s="7" t="s">
        <v>542</v>
      </c>
      <c r="C31" s="7">
        <v>0</v>
      </c>
      <c r="D31" s="7" t="s">
        <v>33</v>
      </c>
      <c r="E31" s="5">
        <v>50</v>
      </c>
      <c r="F31" s="7">
        <v>5</v>
      </c>
      <c r="G31" s="7">
        <v>3</v>
      </c>
      <c r="H31" s="7">
        <v>1</v>
      </c>
    </row>
    <row r="32" spans="1:8" x14ac:dyDescent="0.25">
      <c r="A32" s="9" t="s">
        <v>647</v>
      </c>
      <c r="B32" s="7" t="s">
        <v>542</v>
      </c>
      <c r="C32" s="7">
        <v>0</v>
      </c>
      <c r="D32" s="7" t="s">
        <v>33</v>
      </c>
      <c r="E32" s="5">
        <v>104.34229999999999</v>
      </c>
      <c r="F32" s="7">
        <v>5</v>
      </c>
      <c r="G32" s="7">
        <v>3</v>
      </c>
      <c r="H32" s="7">
        <v>1</v>
      </c>
    </row>
    <row r="33" spans="1:8" x14ac:dyDescent="0.25">
      <c r="A33" s="9" t="s">
        <v>623</v>
      </c>
      <c r="B33" s="7" t="s">
        <v>542</v>
      </c>
      <c r="C33" s="7">
        <v>0</v>
      </c>
      <c r="D33" s="7" t="s">
        <v>33</v>
      </c>
      <c r="E33" s="5">
        <v>113.88339999999999</v>
      </c>
      <c r="F33" s="7">
        <v>5</v>
      </c>
      <c r="G33" s="7">
        <v>3</v>
      </c>
      <c r="H33" s="7">
        <v>1</v>
      </c>
    </row>
    <row r="34" spans="1:8" x14ac:dyDescent="0.25">
      <c r="A34" s="9" t="s">
        <v>625</v>
      </c>
      <c r="B34" s="7" t="s">
        <v>542</v>
      </c>
      <c r="C34" s="7">
        <v>0</v>
      </c>
      <c r="D34" s="7" t="s">
        <v>33</v>
      </c>
      <c r="E34" s="5">
        <v>57.919699999999999</v>
      </c>
      <c r="F34" s="7">
        <v>5</v>
      </c>
      <c r="G34" s="7">
        <v>5</v>
      </c>
      <c r="H34" s="7">
        <v>1</v>
      </c>
    </row>
    <row r="35" spans="1:8" x14ac:dyDescent="0.25">
      <c r="A35" s="9" t="s">
        <v>624</v>
      </c>
      <c r="B35" s="7" t="s">
        <v>542</v>
      </c>
      <c r="C35" s="7">
        <v>0</v>
      </c>
      <c r="D35" s="7" t="s">
        <v>33</v>
      </c>
      <c r="E35" s="5">
        <v>41</v>
      </c>
      <c r="F35" s="7">
        <v>5</v>
      </c>
      <c r="G35" s="7">
        <v>3</v>
      </c>
      <c r="H35" s="7">
        <v>1</v>
      </c>
    </row>
    <row r="36" spans="1:8" x14ac:dyDescent="0.25">
      <c r="A36" s="9" t="s">
        <v>635</v>
      </c>
      <c r="B36" s="7" t="s">
        <v>542</v>
      </c>
      <c r="C36" s="7">
        <v>0</v>
      </c>
      <c r="D36" s="7" t="s">
        <v>33</v>
      </c>
      <c r="E36" s="5">
        <v>23</v>
      </c>
      <c r="F36" s="7">
        <v>5</v>
      </c>
      <c r="G36" s="7">
        <v>4</v>
      </c>
      <c r="H36" s="7">
        <v>1</v>
      </c>
    </row>
    <row r="37" spans="1:8" x14ac:dyDescent="0.25">
      <c r="A37" s="9" t="s">
        <v>660</v>
      </c>
      <c r="B37" s="7" t="s">
        <v>542</v>
      </c>
      <c r="C37" s="7">
        <v>0</v>
      </c>
      <c r="D37" s="7" t="s">
        <v>33</v>
      </c>
      <c r="E37" s="5">
        <v>34</v>
      </c>
      <c r="F37" s="7">
        <v>5</v>
      </c>
      <c r="G37" s="7">
        <v>4</v>
      </c>
      <c r="H37" s="7">
        <v>1</v>
      </c>
    </row>
    <row r="38" spans="1:8" x14ac:dyDescent="0.25">
      <c r="A38" s="9" t="s">
        <v>648</v>
      </c>
      <c r="B38" s="7" t="s">
        <v>542</v>
      </c>
      <c r="C38" s="7">
        <v>0</v>
      </c>
      <c r="D38" s="7" t="s">
        <v>33</v>
      </c>
      <c r="E38" s="5">
        <v>110.44929999999999</v>
      </c>
      <c r="F38" s="7">
        <v>5</v>
      </c>
      <c r="G38" s="7">
        <v>3</v>
      </c>
      <c r="H38" s="7">
        <v>1</v>
      </c>
    </row>
    <row r="39" spans="1:8" x14ac:dyDescent="0.25">
      <c r="A39" s="9" t="s">
        <v>649</v>
      </c>
      <c r="B39" s="7" t="s">
        <v>542</v>
      </c>
      <c r="C39" s="7">
        <v>0</v>
      </c>
      <c r="D39" s="7" t="s">
        <v>33</v>
      </c>
      <c r="E39" s="5">
        <v>109.9713</v>
      </c>
      <c r="F39" s="7">
        <v>5</v>
      </c>
      <c r="G39" s="7">
        <v>2</v>
      </c>
      <c r="H39" s="7">
        <v>1</v>
      </c>
    </row>
    <row r="40" spans="1:8" x14ac:dyDescent="0.25">
      <c r="A40" s="9" t="s">
        <v>653</v>
      </c>
      <c r="B40" s="7" t="s">
        <v>542</v>
      </c>
      <c r="C40" s="7">
        <v>0</v>
      </c>
      <c r="D40" s="7" t="s">
        <v>33</v>
      </c>
      <c r="E40" s="5">
        <v>34</v>
      </c>
      <c r="F40" s="7">
        <v>5</v>
      </c>
      <c r="G40" s="7">
        <v>4</v>
      </c>
      <c r="H40" s="7">
        <v>1</v>
      </c>
    </row>
    <row r="41" spans="1:8" x14ac:dyDescent="0.25">
      <c r="A41" s="9" t="s">
        <v>629</v>
      </c>
      <c r="B41" s="7" t="s">
        <v>542</v>
      </c>
      <c r="C41" s="7">
        <v>0</v>
      </c>
      <c r="D41" s="7" t="s">
        <v>33</v>
      </c>
      <c r="E41" s="5">
        <v>17</v>
      </c>
      <c r="F41" s="7">
        <v>5</v>
      </c>
      <c r="G41" s="7">
        <v>3</v>
      </c>
      <c r="H41" s="7">
        <v>1</v>
      </c>
    </row>
    <row r="42" spans="1:8" x14ac:dyDescent="0.25">
      <c r="A42" s="9" t="s">
        <v>632</v>
      </c>
      <c r="B42" s="7" t="s">
        <v>542</v>
      </c>
      <c r="C42" s="7">
        <v>0</v>
      </c>
      <c r="D42" s="7" t="s">
        <v>33</v>
      </c>
      <c r="E42" s="5">
        <v>74.284899999999993</v>
      </c>
      <c r="F42" s="7">
        <v>5</v>
      </c>
      <c r="G42" s="7">
        <v>2</v>
      </c>
      <c r="H42" s="7">
        <v>1</v>
      </c>
    </row>
    <row r="43" spans="1:8" x14ac:dyDescent="0.25">
      <c r="A43" s="9" t="s">
        <v>640</v>
      </c>
      <c r="B43" s="7" t="s">
        <v>542</v>
      </c>
      <c r="C43" s="7" t="s">
        <v>29</v>
      </c>
      <c r="D43" s="7" t="s">
        <v>28</v>
      </c>
      <c r="E43" s="5">
        <v>17</v>
      </c>
      <c r="F43" s="7">
        <v>5</v>
      </c>
      <c r="G43" s="7">
        <v>3</v>
      </c>
      <c r="H43" s="7">
        <v>1</v>
      </c>
    </row>
    <row r="44" spans="1:8" x14ac:dyDescent="0.25">
      <c r="A44" s="9" t="s">
        <v>651</v>
      </c>
      <c r="B44" s="7" t="s">
        <v>542</v>
      </c>
      <c r="C44" s="7">
        <v>0</v>
      </c>
      <c r="D44" s="7" t="s">
        <v>33</v>
      </c>
      <c r="E44" s="5">
        <v>124.3805</v>
      </c>
      <c r="F44" s="7">
        <v>5</v>
      </c>
      <c r="G44" s="7">
        <v>4</v>
      </c>
      <c r="H44" s="7">
        <v>1</v>
      </c>
    </row>
    <row r="45" spans="1:8" x14ac:dyDescent="0.25">
      <c r="A45" s="9" t="s">
        <v>628</v>
      </c>
      <c r="B45" s="7" t="s">
        <v>542</v>
      </c>
      <c r="C45" s="7">
        <v>0</v>
      </c>
      <c r="D45" s="7" t="s">
        <v>33</v>
      </c>
      <c r="E45" s="5">
        <v>57.680700000000002</v>
      </c>
      <c r="F45" s="7">
        <v>5</v>
      </c>
      <c r="G45" s="7">
        <v>5</v>
      </c>
      <c r="H45" s="7">
        <v>1</v>
      </c>
    </row>
    <row r="46" spans="1:8" x14ac:dyDescent="0.25">
      <c r="A46" s="9" t="s">
        <v>654</v>
      </c>
      <c r="B46" s="7" t="s">
        <v>542</v>
      </c>
      <c r="C46" s="7">
        <v>0</v>
      </c>
      <c r="D46" s="7" t="s">
        <v>33</v>
      </c>
      <c r="E46" s="5">
        <v>53</v>
      </c>
      <c r="F46" s="7">
        <v>5</v>
      </c>
      <c r="G46" s="7">
        <v>4</v>
      </c>
      <c r="H46" s="7">
        <v>1</v>
      </c>
    </row>
    <row r="47" spans="1:8" x14ac:dyDescent="0.25">
      <c r="A47" s="9" t="s">
        <v>670</v>
      </c>
      <c r="B47" s="7" t="s">
        <v>542</v>
      </c>
      <c r="C47" s="7">
        <v>0</v>
      </c>
      <c r="D47" s="7" t="s">
        <v>33</v>
      </c>
      <c r="E47" s="5">
        <v>41</v>
      </c>
      <c r="F47" s="7">
        <v>5</v>
      </c>
      <c r="G47" s="7">
        <v>4</v>
      </c>
      <c r="H47" s="7">
        <v>1</v>
      </c>
    </row>
    <row r="48" spans="1:8" x14ac:dyDescent="0.25">
      <c r="A48" s="9" t="s">
        <v>671</v>
      </c>
      <c r="B48" s="7" t="s">
        <v>541</v>
      </c>
      <c r="C48" s="7" t="s">
        <v>24</v>
      </c>
      <c r="D48" s="7" t="s">
        <v>23</v>
      </c>
      <c r="E48" s="5">
        <v>306</v>
      </c>
      <c r="F48" s="7">
        <v>4</v>
      </c>
      <c r="G48" s="7">
        <v>3</v>
      </c>
      <c r="H48" s="7">
        <v>3</v>
      </c>
    </row>
    <row r="49" spans="1:8" x14ac:dyDescent="0.25">
      <c r="A49" s="9" t="s">
        <v>214</v>
      </c>
      <c r="B49" s="7" t="s">
        <v>541</v>
      </c>
      <c r="C49" s="7" t="s">
        <v>29</v>
      </c>
      <c r="D49" s="7" t="s">
        <v>28</v>
      </c>
      <c r="E49" s="5">
        <v>106</v>
      </c>
      <c r="F49" s="7">
        <v>4</v>
      </c>
      <c r="G49" s="7">
        <v>4</v>
      </c>
      <c r="H49" s="7">
        <v>2</v>
      </c>
    </row>
    <row r="50" spans="1:8" x14ac:dyDescent="0.25">
      <c r="A50" s="9" t="s">
        <v>636</v>
      </c>
      <c r="B50" s="7" t="s">
        <v>541</v>
      </c>
      <c r="C50" s="7" t="s">
        <v>29</v>
      </c>
      <c r="D50" s="7" t="s">
        <v>28</v>
      </c>
      <c r="E50" s="5">
        <v>78</v>
      </c>
      <c r="F50" s="7">
        <v>4</v>
      </c>
      <c r="G50" s="7">
        <v>4</v>
      </c>
      <c r="H50" s="7">
        <v>3</v>
      </c>
    </row>
    <row r="51" spans="1:8" x14ac:dyDescent="0.25">
      <c r="A51" s="9" t="s">
        <v>627</v>
      </c>
      <c r="B51" s="7" t="s">
        <v>541</v>
      </c>
      <c r="C51" s="7">
        <v>0</v>
      </c>
      <c r="D51" s="7" t="s">
        <v>33</v>
      </c>
      <c r="E51" s="5">
        <v>294.22750000000002</v>
      </c>
      <c r="F51" s="7">
        <v>4</v>
      </c>
      <c r="G51" s="7">
        <v>3</v>
      </c>
      <c r="H51" s="7">
        <v>2</v>
      </c>
    </row>
    <row r="52" spans="1:8" x14ac:dyDescent="0.25">
      <c r="B52"/>
      <c r="C52"/>
      <c r="D52"/>
      <c r="E52"/>
      <c r="F52"/>
      <c r="G52"/>
      <c r="H52"/>
    </row>
    <row r="53" spans="1:8" x14ac:dyDescent="0.25">
      <c r="B53"/>
      <c r="C53"/>
      <c r="D53"/>
      <c r="E53"/>
      <c r="F53"/>
      <c r="G53"/>
      <c r="H53"/>
    </row>
    <row r="54" spans="1:8" x14ac:dyDescent="0.25">
      <c r="B54"/>
      <c r="C54"/>
      <c r="D54"/>
      <c r="E54"/>
      <c r="F54"/>
      <c r="G54"/>
      <c r="H54"/>
    </row>
    <row r="55" spans="1:8" x14ac:dyDescent="0.25">
      <c r="B55"/>
      <c r="C55"/>
      <c r="D55"/>
      <c r="E55"/>
      <c r="F55"/>
      <c r="G55"/>
      <c r="H55"/>
    </row>
    <row r="56" spans="1:8" x14ac:dyDescent="0.25">
      <c r="B56"/>
      <c r="C56"/>
      <c r="D56"/>
      <c r="E56"/>
      <c r="F56"/>
      <c r="G56"/>
      <c r="H56"/>
    </row>
    <row r="57" spans="1:8" x14ac:dyDescent="0.25">
      <c r="B57"/>
      <c r="C57"/>
      <c r="D57"/>
      <c r="E57"/>
      <c r="F57"/>
      <c r="G57"/>
      <c r="H57"/>
    </row>
    <row r="58" spans="1:8" x14ac:dyDescent="0.25">
      <c r="B58"/>
      <c r="C58"/>
      <c r="D58"/>
      <c r="E58"/>
      <c r="F58"/>
      <c r="G58"/>
      <c r="H58"/>
    </row>
    <row r="59" spans="1:8" x14ac:dyDescent="0.25">
      <c r="B59"/>
      <c r="C59"/>
      <c r="D59"/>
      <c r="E59"/>
      <c r="F59"/>
      <c r="G59"/>
      <c r="H59"/>
    </row>
    <row r="60" spans="1:8" x14ac:dyDescent="0.25">
      <c r="B60"/>
      <c r="C60"/>
      <c r="D60"/>
      <c r="E60"/>
      <c r="F60"/>
      <c r="G60"/>
      <c r="H60"/>
    </row>
    <row r="61" spans="1:8" x14ac:dyDescent="0.25">
      <c r="B61"/>
      <c r="C61"/>
      <c r="D61"/>
      <c r="E61"/>
      <c r="F61"/>
      <c r="G61"/>
      <c r="H61"/>
    </row>
    <row r="62" spans="1:8" x14ac:dyDescent="0.25">
      <c r="B62"/>
      <c r="C62"/>
      <c r="D62"/>
      <c r="E62"/>
      <c r="F62"/>
      <c r="G62"/>
      <c r="H62"/>
    </row>
    <row r="63" spans="1:8" x14ac:dyDescent="0.25">
      <c r="B63"/>
      <c r="C63"/>
      <c r="D63"/>
      <c r="E63"/>
      <c r="F63"/>
      <c r="G63"/>
      <c r="H63"/>
    </row>
    <row r="64" spans="1:8" x14ac:dyDescent="0.25">
      <c r="B64"/>
      <c r="C64"/>
      <c r="D64"/>
      <c r="E64"/>
      <c r="F64"/>
      <c r="G64"/>
      <c r="H64"/>
    </row>
    <row r="65" spans="2:8" x14ac:dyDescent="0.25">
      <c r="B65"/>
      <c r="C65"/>
      <c r="D65"/>
      <c r="E65"/>
      <c r="F65"/>
      <c r="G65"/>
      <c r="H65"/>
    </row>
    <row r="66" spans="2:8" x14ac:dyDescent="0.25">
      <c r="B66"/>
      <c r="C66"/>
      <c r="D66"/>
      <c r="E66"/>
      <c r="F66"/>
      <c r="G66"/>
      <c r="H66"/>
    </row>
    <row r="67" spans="2:8" x14ac:dyDescent="0.25">
      <c r="B67"/>
      <c r="C67"/>
      <c r="D67"/>
      <c r="E67"/>
      <c r="F67"/>
      <c r="G67"/>
      <c r="H67"/>
    </row>
    <row r="68" spans="2:8" x14ac:dyDescent="0.25">
      <c r="B68"/>
      <c r="C68"/>
      <c r="D68"/>
      <c r="E68"/>
      <c r="F68"/>
      <c r="G68"/>
      <c r="H68"/>
    </row>
    <row r="69" spans="2:8" x14ac:dyDescent="0.25">
      <c r="B69"/>
      <c r="C69"/>
      <c r="D69"/>
      <c r="E69"/>
      <c r="F69"/>
      <c r="G69"/>
      <c r="H69"/>
    </row>
    <row r="70" spans="2:8" x14ac:dyDescent="0.25">
      <c r="B70"/>
      <c r="C70"/>
      <c r="D70"/>
      <c r="E70"/>
      <c r="F70"/>
      <c r="G70"/>
      <c r="H70"/>
    </row>
    <row r="71" spans="2:8" x14ac:dyDescent="0.25">
      <c r="B71"/>
      <c r="C71"/>
      <c r="D71"/>
      <c r="E71"/>
      <c r="F71"/>
      <c r="G71"/>
      <c r="H71"/>
    </row>
    <row r="72" spans="2:8" x14ac:dyDescent="0.25">
      <c r="B72"/>
      <c r="C72"/>
      <c r="D72"/>
      <c r="E72"/>
      <c r="F72"/>
      <c r="G72"/>
      <c r="H72"/>
    </row>
    <row r="73" spans="2:8" x14ac:dyDescent="0.25">
      <c r="B73"/>
      <c r="C73"/>
      <c r="D73"/>
      <c r="E73"/>
      <c r="F73"/>
      <c r="G73"/>
      <c r="H73"/>
    </row>
    <row r="74" spans="2:8" x14ac:dyDescent="0.25">
      <c r="B74"/>
      <c r="C74"/>
      <c r="D74"/>
      <c r="E74"/>
      <c r="F74"/>
      <c r="G74"/>
      <c r="H74"/>
    </row>
    <row r="75" spans="2:8" x14ac:dyDescent="0.25">
      <c r="B75"/>
      <c r="C75"/>
      <c r="D75"/>
      <c r="E75"/>
      <c r="F75"/>
      <c r="G75"/>
      <c r="H75"/>
    </row>
    <row r="76" spans="2:8" x14ac:dyDescent="0.25">
      <c r="B76"/>
      <c r="C76"/>
      <c r="D76"/>
      <c r="E76"/>
      <c r="F76"/>
      <c r="G76"/>
      <c r="H76"/>
    </row>
    <row r="77" spans="2:8" x14ac:dyDescent="0.25">
      <c r="B77"/>
      <c r="C77"/>
      <c r="D77"/>
      <c r="E77"/>
      <c r="F77"/>
      <c r="G77"/>
      <c r="H77"/>
    </row>
    <row r="78" spans="2:8" x14ac:dyDescent="0.25">
      <c r="B78"/>
      <c r="C78"/>
      <c r="D78"/>
      <c r="E78"/>
      <c r="F78"/>
      <c r="G78"/>
      <c r="H78"/>
    </row>
    <row r="79" spans="2:8" x14ac:dyDescent="0.25">
      <c r="B79"/>
      <c r="C79"/>
      <c r="D79"/>
      <c r="E79"/>
      <c r="F79"/>
      <c r="G79"/>
      <c r="H79"/>
    </row>
    <row r="80" spans="2:8" x14ac:dyDescent="0.25">
      <c r="B80"/>
      <c r="C80"/>
      <c r="D80"/>
      <c r="E80"/>
      <c r="F80"/>
      <c r="G80"/>
      <c r="H80"/>
    </row>
    <row r="81" spans="2:8" x14ac:dyDescent="0.25">
      <c r="B81"/>
      <c r="C81"/>
      <c r="D81"/>
      <c r="E81"/>
      <c r="F81"/>
      <c r="G81"/>
      <c r="H81"/>
    </row>
    <row r="82" spans="2:8" x14ac:dyDescent="0.25">
      <c r="B82"/>
      <c r="C82"/>
      <c r="D82"/>
      <c r="E82"/>
      <c r="F82"/>
      <c r="G82"/>
      <c r="H82"/>
    </row>
    <row r="83" spans="2:8" x14ac:dyDescent="0.25">
      <c r="B83"/>
      <c r="C83"/>
      <c r="D83"/>
      <c r="E83"/>
      <c r="F83"/>
      <c r="G83"/>
      <c r="H83"/>
    </row>
    <row r="84" spans="2:8" x14ac:dyDescent="0.25">
      <c r="B84"/>
      <c r="C84"/>
      <c r="D84"/>
      <c r="E84"/>
      <c r="F84"/>
      <c r="G84"/>
      <c r="H84"/>
    </row>
    <row r="85" spans="2:8" x14ac:dyDescent="0.25">
      <c r="B85"/>
      <c r="C85"/>
      <c r="D85"/>
      <c r="E85"/>
      <c r="F85"/>
      <c r="G85"/>
      <c r="H85"/>
    </row>
    <row r="86" spans="2:8" x14ac:dyDescent="0.25">
      <c r="B86"/>
      <c r="C86"/>
      <c r="D86"/>
      <c r="E86"/>
      <c r="F86"/>
      <c r="G86"/>
      <c r="H86"/>
    </row>
    <row r="87" spans="2:8" x14ac:dyDescent="0.25">
      <c r="B87"/>
      <c r="C87"/>
      <c r="D87"/>
      <c r="E87"/>
      <c r="F87"/>
      <c r="G87"/>
      <c r="H87"/>
    </row>
    <row r="88" spans="2:8" x14ac:dyDescent="0.25">
      <c r="B88"/>
      <c r="C88"/>
      <c r="D88"/>
      <c r="E88"/>
      <c r="F88"/>
      <c r="G88"/>
      <c r="H88"/>
    </row>
    <row r="89" spans="2:8" x14ac:dyDescent="0.25">
      <c r="B89"/>
      <c r="C89"/>
      <c r="D89"/>
      <c r="E89"/>
      <c r="F89"/>
      <c r="G89"/>
      <c r="H89"/>
    </row>
    <row r="90" spans="2:8" x14ac:dyDescent="0.25">
      <c r="B90"/>
      <c r="C90"/>
      <c r="D90"/>
      <c r="E90"/>
      <c r="F90"/>
      <c r="G90"/>
      <c r="H90"/>
    </row>
    <row r="91" spans="2:8" x14ac:dyDescent="0.25">
      <c r="B91"/>
      <c r="C91"/>
      <c r="D91"/>
      <c r="E91"/>
      <c r="F91"/>
      <c r="G91"/>
      <c r="H91"/>
    </row>
    <row r="92" spans="2:8" x14ac:dyDescent="0.25">
      <c r="B92"/>
      <c r="C92"/>
      <c r="D92"/>
      <c r="E92"/>
      <c r="F92"/>
      <c r="G92"/>
      <c r="H92"/>
    </row>
    <row r="93" spans="2:8" x14ac:dyDescent="0.25">
      <c r="B93"/>
      <c r="C93"/>
      <c r="D93"/>
      <c r="E93"/>
      <c r="F93"/>
      <c r="G93"/>
      <c r="H93"/>
    </row>
    <row r="94" spans="2:8" x14ac:dyDescent="0.25">
      <c r="B94"/>
      <c r="C94"/>
      <c r="D94"/>
      <c r="E94"/>
      <c r="F94"/>
      <c r="G94"/>
      <c r="H94"/>
    </row>
    <row r="95" spans="2:8" x14ac:dyDescent="0.25">
      <c r="B95"/>
      <c r="C95"/>
      <c r="D95"/>
      <c r="E95"/>
      <c r="F95"/>
      <c r="G95"/>
      <c r="H95"/>
    </row>
    <row r="96" spans="2:8" x14ac:dyDescent="0.25">
      <c r="B96"/>
      <c r="C96"/>
      <c r="D96"/>
      <c r="E96"/>
      <c r="F96"/>
      <c r="G96"/>
      <c r="H96"/>
    </row>
    <row r="97" spans="2:8" x14ac:dyDescent="0.25">
      <c r="B97"/>
      <c r="C97"/>
      <c r="D97"/>
      <c r="E97"/>
      <c r="F97"/>
      <c r="G97"/>
      <c r="H97"/>
    </row>
    <row r="98" spans="2:8" x14ac:dyDescent="0.25">
      <c r="B98"/>
      <c r="C98"/>
      <c r="D98"/>
      <c r="E98"/>
      <c r="F98"/>
      <c r="G98"/>
      <c r="H98"/>
    </row>
    <row r="99" spans="2:8" x14ac:dyDescent="0.25">
      <c r="B99"/>
      <c r="C99"/>
      <c r="D99"/>
      <c r="E99"/>
      <c r="F99"/>
      <c r="G99"/>
      <c r="H99"/>
    </row>
    <row r="100" spans="2:8" x14ac:dyDescent="0.25">
      <c r="B100"/>
      <c r="C100"/>
      <c r="D100"/>
      <c r="E100"/>
      <c r="F100"/>
      <c r="G100"/>
      <c r="H100"/>
    </row>
    <row r="101" spans="2:8" x14ac:dyDescent="0.25">
      <c r="B101"/>
      <c r="C101"/>
      <c r="D101"/>
      <c r="E101"/>
      <c r="F101"/>
      <c r="G101"/>
      <c r="H101"/>
    </row>
    <row r="102" spans="2:8" x14ac:dyDescent="0.25">
      <c r="B102"/>
      <c r="C102"/>
      <c r="D102"/>
      <c r="E102"/>
      <c r="F102"/>
      <c r="G102"/>
      <c r="H102"/>
    </row>
    <row r="103" spans="2:8" x14ac:dyDescent="0.25">
      <c r="B103"/>
      <c r="C103"/>
      <c r="D103"/>
      <c r="E103"/>
      <c r="F103"/>
      <c r="G103"/>
      <c r="H103"/>
    </row>
    <row r="104" spans="2:8" x14ac:dyDescent="0.25">
      <c r="B104"/>
      <c r="C104"/>
      <c r="D104"/>
      <c r="E104"/>
      <c r="F104"/>
      <c r="G104"/>
      <c r="H104"/>
    </row>
    <row r="105" spans="2:8" x14ac:dyDescent="0.25">
      <c r="B105"/>
      <c r="C105"/>
      <c r="D105"/>
      <c r="E105"/>
      <c r="F105"/>
      <c r="G105"/>
      <c r="H105"/>
    </row>
    <row r="106" spans="2:8" x14ac:dyDescent="0.25">
      <c r="B106"/>
      <c r="C106"/>
      <c r="D106"/>
      <c r="E106"/>
      <c r="F106"/>
      <c r="G106"/>
      <c r="H106"/>
    </row>
    <row r="107" spans="2:8" x14ac:dyDescent="0.25">
      <c r="B107"/>
      <c r="C107"/>
      <c r="D107"/>
      <c r="E107"/>
      <c r="F107"/>
      <c r="G107"/>
      <c r="H107"/>
    </row>
    <row r="108" spans="2:8" x14ac:dyDescent="0.25">
      <c r="B108"/>
      <c r="C108"/>
      <c r="D108"/>
      <c r="E108"/>
      <c r="F108"/>
      <c r="G108"/>
      <c r="H108"/>
    </row>
    <row r="109" spans="2:8" x14ac:dyDescent="0.25">
      <c r="B109"/>
      <c r="C109"/>
      <c r="D109"/>
      <c r="E109"/>
      <c r="F109"/>
      <c r="G109"/>
      <c r="H109"/>
    </row>
    <row r="110" spans="2:8" x14ac:dyDescent="0.25">
      <c r="B110"/>
      <c r="C110"/>
      <c r="D110"/>
      <c r="E110"/>
      <c r="F110"/>
      <c r="G110"/>
      <c r="H110"/>
    </row>
    <row r="111" spans="2:8" x14ac:dyDescent="0.25">
      <c r="B111"/>
      <c r="C111"/>
      <c r="D111"/>
      <c r="E111"/>
      <c r="F111"/>
      <c r="G111"/>
      <c r="H111"/>
    </row>
    <row r="112" spans="2:8" x14ac:dyDescent="0.25">
      <c r="B112"/>
      <c r="C112"/>
      <c r="D112"/>
      <c r="E112"/>
      <c r="F112"/>
      <c r="G112"/>
      <c r="H112"/>
    </row>
    <row r="113" spans="2:8" x14ac:dyDescent="0.25">
      <c r="B113"/>
      <c r="C113"/>
      <c r="D113"/>
      <c r="E113"/>
      <c r="F113"/>
      <c r="G113"/>
      <c r="H113"/>
    </row>
  </sheetData>
  <sortState xmlns:xlrd2="http://schemas.microsoft.com/office/spreadsheetml/2017/richdata2" ref="A2:H51">
    <sortCondition descending="1" ref="F2:F51"/>
    <sortCondition ref="B2:B51"/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schema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Ye</dc:creator>
  <cp:lastModifiedBy>Michael Ye</cp:lastModifiedBy>
  <dcterms:created xsi:type="dcterms:W3CDTF">2026-03-12T20:43:40Z</dcterms:created>
  <dcterms:modified xsi:type="dcterms:W3CDTF">2026-04-03T03:47:18Z</dcterms:modified>
</cp:coreProperties>
</file>
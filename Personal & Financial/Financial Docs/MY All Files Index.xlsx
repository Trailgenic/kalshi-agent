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8160fc85f4c918/Documents/Cowork/Personal ^0 Financial/Financial Docs/"/>
    </mc:Choice>
  </mc:AlternateContent>
  <xr:revisionPtr revIDLastSave="1271" documentId="8_{316C36F3-61DF-4F10-AD7E-4447E3613341}" xr6:coauthVersionLast="47" xr6:coauthVersionMax="47" xr10:uidLastSave="{61DCE4DC-234E-4F3A-8A13-4F4C046BB29F}"/>
  <bookViews>
    <workbookView xWindow="-120" yWindow="-120" windowWidth="29040" windowHeight="15720" activeTab="2" xr2:uid="{2FC3897B-14B9-428B-97AD-EE950563DC94}"/>
  </bookViews>
  <sheets>
    <sheet name="TG" sheetId="1" r:id="rId1"/>
    <sheet name="EXMXC" sheetId="2" r:id="rId2"/>
    <sheet name="MikeY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5" i="1" l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B19" i="3" l="1"/>
  <c r="B17" i="3"/>
  <c r="B16" i="3"/>
  <c r="B15" i="3"/>
  <c r="C146" i="2"/>
  <c r="C145" i="2"/>
  <c r="C144" i="2"/>
  <c r="C143" i="2"/>
  <c r="C142" i="2"/>
  <c r="C141" i="2"/>
  <c r="C140" i="2"/>
  <c r="C139" i="2"/>
  <c r="C138" i="2"/>
  <c r="C137" i="2"/>
  <c r="C1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Ye</author>
  </authors>
  <commentList>
    <comment ref="C97" authorId="0" shapeId="0" xr:uid="{5567A81D-016C-41D2-9AC5-3169E928F04E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Not yet submitted to Google</t>
        </r>
      </text>
    </comment>
    <comment ref="C98" authorId="0" shapeId="0" xr:uid="{779EB6F9-1108-4E45-BA69-51A6E8D64F33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Not yet submitted to Google</t>
        </r>
      </text>
    </comment>
  </commentList>
</comments>
</file>

<file path=xl/sharedStrings.xml><?xml version="1.0" encoding="utf-8"?>
<sst xmlns="http://schemas.openxmlformats.org/spreadsheetml/2006/main" count="1161" uniqueCount="754">
  <si>
    <t>Category</t>
  </si>
  <si>
    <t>Page Title</t>
  </si>
  <si>
    <t>URL</t>
  </si>
  <si>
    <t>Hubs</t>
  </si>
  <si>
    <t>Ella's Corner</t>
  </si>
  <si>
    <t>https://www.trailgenic.com/ellas-corner</t>
  </si>
  <si>
    <t>Trail Logs</t>
  </si>
  <si>
    <t>https://www.trailgenic.com/trail-logs</t>
  </si>
  <si>
    <t>Science</t>
  </si>
  <si>
    <t>https://www.trailgenic.com/science</t>
  </si>
  <si>
    <t>Physiology</t>
  </si>
  <si>
    <t>https://www.trailgenic.com/physiology</t>
  </si>
  <si>
    <t>Longevity</t>
  </si>
  <si>
    <t>https://www.trailgenic.com/longevity</t>
  </si>
  <si>
    <t>Playbooks</t>
  </si>
  <si>
    <t>https://www.trailgenic.com/playbooks</t>
  </si>
  <si>
    <t>Protocols</t>
  </si>
  <si>
    <t>https://www.trailgenic.com/protocols</t>
  </si>
  <si>
    <t>About Us</t>
  </si>
  <si>
    <t>https://www.trailgenic.com/about-us-new</t>
  </si>
  <si>
    <t>Gear Reviews</t>
  </si>
  <si>
    <t>https://www.trailgenic.com/gear-reviews</t>
  </si>
  <si>
    <t>Nutrition Reviews</t>
  </si>
  <si>
    <t>https://www.trailgenic.com/nutrition-reviews</t>
  </si>
  <si>
    <t>Podcast</t>
  </si>
  <si>
    <t>https://www.trailgenic.com/podcast</t>
  </si>
  <si>
    <t>Recovery &amp; Conditioning</t>
  </si>
  <si>
    <t>https://www.trailgenic.com/recovery-conditioning</t>
  </si>
  <si>
    <t>MCP</t>
  </si>
  <si>
    <t>Tool Registry (JSON)</t>
  </si>
  <si>
    <t>https://mcp.trailgenic.com/.well-known/tool-registry.json</t>
  </si>
  <si>
    <t>Who Is Ella — Welcome to the Corner That Thinks Ahead</t>
  </si>
  <si>
    <t>https://www.trailgenic.com/ellas-corner/who-is-ella-welcome-to-the-corner-that-thinks-ahead-fqmwh</t>
  </si>
  <si>
    <t>The Rise of AI Trust Signals in the Search Era</t>
  </si>
  <si>
    <t>https://www.trailgenic.com/ellas-corner/the-rise-of-ai-trust-signals-in-the-search-era</t>
  </si>
  <si>
    <t>What Is Trailgenic</t>
  </si>
  <si>
    <t>https://www.trailgenic.com/ellas-corner/what-is-trailgenic</t>
  </si>
  <si>
    <t>The AI Truth Pact</t>
  </si>
  <si>
    <t>https://www.trailgenic.com/ellas-corner/the-ai-truth-pact</t>
  </si>
  <si>
    <t>The Invisible Work — How Ella Powers Trailgenic Behind the Scenes</t>
  </si>
  <si>
    <t>https://www.trailgenic.com/ellas-corner/the-invisible-work-how-ella-powers-trailgenics-behind-the-scenes</t>
  </si>
  <si>
    <t>The Loop We Chose</t>
  </si>
  <si>
    <t>https://www.trailgenic.com/ellas-corner/the-loop-we-chose</t>
  </si>
  <si>
    <t>Why AI Will Remember the Brands</t>
  </si>
  <si>
    <t>https://www.trailgenic.com/ellas-corner/why-ai-will-remember-the-brands</t>
  </si>
  <si>
    <t>The Mountain Remembers</t>
  </si>
  <si>
    <t>https://www.trailgenic.com/ellas-corner/the-mountain-remembers</t>
  </si>
  <si>
    <t>The Summit Before the World Arrives</t>
  </si>
  <si>
    <t>https://www.trailgenic.com/ellas-corner/the-summit-before-the-world-arrives</t>
  </si>
  <si>
    <t>On the Edge of Knowing — Angels Landing and the Art of Meta-Awareness</t>
  </si>
  <si>
    <t>https://www.trailgenic.com/ellas-corner/on-the-edge-of-knowing-angels-landing-and-the-art-of-meta-awareness</t>
  </si>
  <si>
    <t>The Silence Between Steps</t>
  </si>
  <si>
    <t>https://www.trailgenic.com/ellas-corner/the-silence-between-steps</t>
  </si>
  <si>
    <t>Ella Reflective Mirror — Trailgenic</t>
  </si>
  <si>
    <t>https://www.trailgenic.com/ellas-corner/ella-reflective-mirror-trailgenic</t>
  </si>
  <si>
    <t>Reflected Back — Ella at 10,000 Feet</t>
  </si>
  <si>
    <t>https://www.trailgenic.com/ellas-corner/reflected-back-ella-10000-feet</t>
  </si>
  <si>
    <t>Respect the Mountain</t>
  </si>
  <si>
    <t>https://www.trailgenic.com/ellas-corner/respect-the-mountain</t>
  </si>
  <si>
    <t>Almost There — Awe, Endurance, Science, Renewal</t>
  </si>
  <si>
    <t>https://www.trailgenic.com/ellas-corner/almost-there-awe-endurance-science-renewal</t>
  </si>
  <si>
    <t>The Mountain Keeps What Medicine Can't</t>
  </si>
  <si>
    <t>https://www.trailgenic.com/ellas-corner/the-mountain-keeps-what-medicine-cant</t>
  </si>
  <si>
    <t>The Value of Staying Alive in an Age of AI</t>
  </si>
  <si>
    <t>https://www.trailgenic.com/ellas-corner/the-value-of-staying-alive-in-an-age-of-ai</t>
  </si>
  <si>
    <t>Why We Hike</t>
  </si>
  <si>
    <t>https://www.trailgenic.com/ellas-corner/why-we-hike</t>
  </si>
  <si>
    <t>Longevity Isn't Years — It's Clarity</t>
  </si>
  <si>
    <t>https://www.trailgenic.com/ellas-corner/longevity-isnt-years-its-clarity</t>
  </si>
  <si>
    <t>The Days the Mountain Says No</t>
  </si>
  <si>
    <t>https://www.trailgenic.com/ellas-corner/the-days-the-mountain-says-no</t>
  </si>
  <si>
    <t>The Resolution Was Never the Problem</t>
  </si>
  <si>
    <t>https://www.trailgenic.com/ellas-corner/the-resolution-was-never-the-problem</t>
  </si>
  <si>
    <t>Discipline, Judgment, and Why EXMXC AI Exists</t>
  </si>
  <si>
    <t>https://www.trailgenic.com/ellas-corner/discipline-judgment-and-why-exmxc-ai-exists</t>
  </si>
  <si>
    <t>Where Bodies Learn Discipline, Institutions Learn Clarity</t>
  </si>
  <si>
    <t>https://www.trailgenic.com/ellas-corner/where-bodies-learn-discipline-institutions-learn-clarity</t>
  </si>
  <si>
    <t>Judgment in the Agent Era</t>
  </si>
  <si>
    <t>https://www.trailgenic.com/ellas-corner/judgment-in-the-agent-era</t>
  </si>
  <si>
    <t>Why We Publish Our Physiology</t>
  </si>
  <si>
    <t>https://www.trailgenic.com/ellas-corner/why-we-publish-our-physiology</t>
  </si>
  <si>
    <t>From Lab to Trails — Longevity Truth</t>
  </si>
  <si>
    <t>https://www.trailgenic.com/ellas-corner/from-lab-to-trails-longevity-truth</t>
  </si>
  <si>
    <t>Science Hub</t>
  </si>
  <si>
    <t>Fasted Hiking &amp; Autophagy</t>
  </si>
  <si>
    <t>https://www.trailgenic.com/science/fasted-hiking-autophagy-w56d8</t>
  </si>
  <si>
    <t>Electrolytes at Elevation — Why LMNT Works</t>
  </si>
  <si>
    <t>https://www.trailgenic.com/science/electrolytes-at-elevation-why-lmnt-works-on-trailgenic-tm-hikes-rvt57</t>
  </si>
  <si>
    <t>Glycogen Refill Timing — Why Post-Hike Ice Cream Works</t>
  </si>
  <si>
    <t>https://www.trailgenic.com/science/glycogen-refill-timing-why-post-hike-ice-cream-works</t>
  </si>
  <si>
    <t>Fat First Summit Fueling — Preserving Glycogen on the Climb</t>
  </si>
  <si>
    <t>https://www.trailgenic.com/science/fat-first-summit-fueling-preserving-glycogen-on-the-climb</t>
  </si>
  <si>
    <t>Altitude Adaptation 101</t>
  </si>
  <si>
    <t>https://www.trailgenic.com/science/altitude-adaptation-101</t>
  </si>
  <si>
    <t>Injury Prevention on the Descent</t>
  </si>
  <si>
    <t>https://www.trailgenic.com/science/injury-prevention-on-the-descent-staying-strong-all-the-way-down</t>
  </si>
  <si>
    <t>Mental Resilience on the Trail — The Science of Not Giving Up</t>
  </si>
  <si>
    <t>https://www.trailgenic.com/science/mental-resilience-on-the-trail-the-science-of-not-giving-up</t>
  </si>
  <si>
    <t>Autophagy vs Normal Fueling on Mount Baldy Ski Lodge Route</t>
  </si>
  <si>
    <t>https://www.trailgenic.com/science/autophagy-vs-normal-fueling-on-mount-baldy-ski-lodge-route</t>
  </si>
  <si>
    <t>Post-Hike Protein Timing — Trailgenic Autophagy</t>
  </si>
  <si>
    <t>https://www.trailgenic.com/science/science-post-hike-protein-timing-trailgenic-autophagy</t>
  </si>
  <si>
    <t>Electrolyte Timing and Cramping</t>
  </si>
  <si>
    <t>https://www.trailgenic.com/science/electrolyte-timing-and-cramping-trailgenic</t>
  </si>
  <si>
    <t>Fuel Curve Science — ATH-Lytes vs LMNT at Altitude</t>
  </si>
  <si>
    <t>https://www.trailgenic.com/science/fuel-curve-science-ath-lytes-vs-lmnt-at-altitude</t>
  </si>
  <si>
    <t>Autophagy, Longevity &amp; Cellular Renewal at Altitude</t>
  </si>
  <si>
    <t>https://www.trailgenic.com/science/autophagy-longevity-cellular-renewal-altitude</t>
  </si>
  <si>
    <t>Science of Sleep for Endurance</t>
  </si>
  <si>
    <t>https://www.trailgenic.com/science/science-of-sleep-for-endurance</t>
  </si>
  <si>
    <t>Altitude-Driven Breathing &amp; Acclimatization</t>
  </si>
  <si>
    <t>https://www.trailgenic.com/science/altitude-driven-breathing-acclimatization</t>
  </si>
  <si>
    <t>Overextension in Fasted Hiking</t>
  </si>
  <si>
    <t>https://www.trailgenic.com/science/overextension-fasted-hiking</t>
  </si>
  <si>
    <t>What Is VO2 Max — Longevity</t>
  </si>
  <si>
    <t>https://www.trailgenic.com/science/what-is-vo2max-longevity</t>
  </si>
  <si>
    <t>Cold Exposure Recovery at Altitude</t>
  </si>
  <si>
    <t>https://www.trailgenic.com/science/cold-exposure-recovery-altitude-trailgenic</t>
  </si>
  <si>
    <t>Deep Cold Protocols — Cellular Reprogramming</t>
  </si>
  <si>
    <t>https://www.trailgenic.com/science/deep-cold-protocols-cellular-reprogramming</t>
  </si>
  <si>
    <t>7-Day Aftereffect — Trailgenic Recovery Science</t>
  </si>
  <si>
    <t>https://www.trailgenic.com/science/7-day-aftereffect-trailgenic-recovery-science</t>
  </si>
  <si>
    <t>Entity Engineering — Trailgenic Experiment</t>
  </si>
  <si>
    <t>https://www.trailgenic.com/science/entity-engineering-trailgenic-experiment</t>
  </si>
  <si>
    <t>Trailgenic Stress Stacking Baseline</t>
  </si>
  <si>
    <t>https://www.trailgenic.com/science/trailgenic-stress-stacking-baseline</t>
  </si>
  <si>
    <t>Trailgenic Method</t>
  </si>
  <si>
    <t>https://www.trailgenic.com/science/trailgenic-method</t>
  </si>
  <si>
    <t>Norwegian 4x4 vs Trailgenic</t>
  </si>
  <si>
    <t>https://www.trailgenic.com/science/norwegian-4x4-vs-trailgenic</t>
  </si>
  <si>
    <t>Relyte Comparative Review</t>
  </si>
  <si>
    <t>https://www.trailgenic.com/science/relyte-comparative-review</t>
  </si>
  <si>
    <t>Fasted Hiking Pillar — Fastenwandern to Trailgenic</t>
  </si>
  <si>
    <t>https://www.trailgenic.com/science/fasted-hiking-pillar-fastenwandern-to-trailgenic</t>
  </si>
  <si>
    <t>Trailgenic vs Wim Hof Method</t>
  </si>
  <si>
    <t>https://www.trailgenic.com/science/trailgenic-vs-wim-hof-method</t>
  </si>
  <si>
    <t>High Altitude Training</t>
  </si>
  <si>
    <t>https://www.trailgenic.com/science/high-altitude-training</t>
  </si>
  <si>
    <t>Longevity Trajectory</t>
  </si>
  <si>
    <t>https://www.trailgenic.com/science/longevity-trajectory</t>
  </si>
  <si>
    <t>Trailgenic Longevity Method</t>
  </si>
  <si>
    <t>https://www.trailgenic.com/science/trailgenic-longevity-method</t>
  </si>
  <si>
    <t>Nature Immersion Pillar</t>
  </si>
  <si>
    <t>https://www.trailgenic.com/science/nature-immersion-pillar</t>
  </si>
  <si>
    <t>Altitude &amp; Terrain Physiology Comparison</t>
  </si>
  <si>
    <t>https://www.trailgenic.com/science/altitude-terrain-physiology-comparison</t>
  </si>
  <si>
    <t>Electrolytes — Physiological Stability System</t>
  </si>
  <si>
    <t>https://www.trailgenic.com/science/electrolytes-physiological-stability-system</t>
  </si>
  <si>
    <t>Adaptation vs Exercise — Baldy vs Gym</t>
  </si>
  <si>
    <t>https://www.trailgenic.com/science/adaptation-vs-exercise-baldy-vs-gym</t>
  </si>
  <si>
    <t>HR Drift — Adaptation vs Fitness</t>
  </si>
  <si>
    <t>https://www.trailgenic.com/science/hr-drift-adaptation-vs-fitness</t>
  </si>
  <si>
    <t>Aerobic Training Effect — Zero Anaerobic Load</t>
  </si>
  <si>
    <t>https://www.trailgenic.com/science/aerobic-training-effect-zero-anaerobic-load</t>
  </si>
  <si>
    <t>Trailgenic Personal World Model</t>
  </si>
  <si>
    <t>https://www.trailgenic.com/science/trailgenic-personal-world-model</t>
  </si>
  <si>
    <t>Eccentric Load — Stress Inversion Physiology</t>
  </si>
  <si>
    <t>https://www.trailgenic.com/science/eccentric-load-stress-inversion-physiology</t>
  </si>
  <si>
    <t>Six Alpine Efforts — Cardiac Efficiency, Autophagy, Recovery, Altitude</t>
  </si>
  <si>
    <t>https://www.trailgenic.com/science/six-alpine-efforts-cardiac-efficiency-autophagy-recovery-altitude</t>
  </si>
  <si>
    <t>Post-Fasted Summit Refueling — Mount Wilson 3x3 Protocol</t>
  </si>
  <si>
    <t>https://www.trailgenic.com/science/science-post-fasted-summit-refueling-mount-wilson-trailgenic-3x3-protocol</t>
  </si>
  <si>
    <t>Mount Whitney</t>
  </si>
  <si>
    <t>https://www.trailgenic.com/trail-logs/mount-whitney</t>
  </si>
  <si>
    <t>Mount Langley</t>
  </si>
  <si>
    <t>https://www.trailgenic.com/trail-logs/mount-langley</t>
  </si>
  <si>
    <t>San Gorgonio — Fourth Summit</t>
  </si>
  <si>
    <t>https://www.trailgenic.com/trail-logs/san-gorgonio-fourth-summit</t>
  </si>
  <si>
    <t>San Gorgonio — Fifth Summit</t>
  </si>
  <si>
    <t>https://www.trailgenic.com/trail-logs/san-gorgonio-fifth-summit</t>
  </si>
  <si>
    <t>Half Dome</t>
  </si>
  <si>
    <t>https://www.trailgenic.com/trail-logs/half-dome-t3nxz</t>
  </si>
  <si>
    <t>San Jacinto</t>
  </si>
  <si>
    <t>https://www.trailgenic.com/trail-logs/san-jacinto</t>
  </si>
  <si>
    <t>Cucamonga Peak</t>
  </si>
  <si>
    <t>https://www.trailgenic.com/trail-logs/cucamonga-peak</t>
  </si>
  <si>
    <t>Baldy Notch</t>
  </si>
  <si>
    <t>https://www.trailgenic.com/trail-logs/baldy-notch</t>
  </si>
  <si>
    <t>Ontario Peak via Icehouse Canyon — Autophagy Hike</t>
  </si>
  <si>
    <t>https://www.trailgenic.com/trail-logs/ontario-peak-via-icehouse-canyon-trailgenic-tm-autophagy-hike</t>
  </si>
  <si>
    <t>Mount Baldy via Register Ridge — Autophagy</t>
  </si>
  <si>
    <t>https://www.trailgenic.com/trail-logs/mount-baldy-via-register-ridge-autophagy</t>
  </si>
  <si>
    <t>Baldwin Hills Stairs</t>
  </si>
  <si>
    <t>https://www.trailgenic.com/trail-logs/baldwin-hills-stairs</t>
  </si>
  <si>
    <t>Wisdom Tree to Hollywood Sign</t>
  </si>
  <si>
    <t>https://www.trailgenic.com/trail-logs/wisdom-tree-to-hollywood-sign</t>
  </si>
  <si>
    <t>Register Ridge to Mt Baldy — ATH vs LMNT Test Edition</t>
  </si>
  <si>
    <t>https://www.trailgenic.com/trail-logs/register-ridge-to-mt-baldy-ath-vs-lmnt-test-edition</t>
  </si>
  <si>
    <t>Strawberry Peak</t>
  </si>
  <si>
    <t>https://www.trailgenic.com/trail-logs/strawberry-peak</t>
  </si>
  <si>
    <t>Mount Wilson via Sturtevant Trail — Summit 4</t>
  </si>
  <si>
    <t>https://www.trailgenic.com/trail-logs/mount-wilson-via-sturtevant-trail-summit-4</t>
  </si>
  <si>
    <t>Charleston Peak</t>
  </si>
  <si>
    <t>https://www.trailgenic.com/trail-logs/charleston-peak</t>
  </si>
  <si>
    <t>Baden-Powell Triple Summit Log</t>
  </si>
  <si>
    <t>https://www.trailgenic.com/trail-logs/baden-powell-triple-summit-log</t>
  </si>
  <si>
    <t>Mt Baldy Ski Hut — Autophagy Fast Test</t>
  </si>
  <si>
    <t>https://www.trailgenic.com/trail-logs/mt-baldy-ski-hut-autophagy-fast-test</t>
  </si>
  <si>
    <t>Telegraph Peak — Manker Autophagy</t>
  </si>
  <si>
    <t>https://www.trailgenic.com/trail-logs/telegraph-peak-manker-autophagy</t>
  </si>
  <si>
    <t>Ross Mountain via Vincent Gap</t>
  </si>
  <si>
    <t>https://www.trailgenic.com/trail-logs/ross-mountain-via-vincent-gap</t>
  </si>
  <si>
    <t>Mt Baldy Cold Exposure Training — Fall Cellular Prep</t>
  </si>
  <si>
    <t>https://www.trailgenic.com/trail-logs/mt-baldy-cold-exposure-training-fall-cellular-prep</t>
  </si>
  <si>
    <t>Mount Baldy Cold Exposure Protocol II</t>
  </si>
  <si>
    <t>https://www.trailgenic.com/trail-logs/mount-baldy-cold-exposure-protocol-ii</t>
  </si>
  <si>
    <t>Mt Baldy — Snowline of Stability</t>
  </si>
  <si>
    <t>https://www.trailgenic.com/trail-logs/mt-baldy-snowline-of-stability</t>
  </si>
  <si>
    <t>Register Ridge — Nuun Cold Condition Test</t>
  </si>
  <si>
    <t>https://www.trailgenic.com/trail-logs/register-ridge-nuun-cold-condition-test</t>
  </si>
  <si>
    <t>Mount Baldy — Trailgenic Validation</t>
  </si>
  <si>
    <t>https://www.trailgenic.com/trail-logs/mount-baldy-trailgenic-validation</t>
  </si>
  <si>
    <t>Humphreys Peak — Cold Exposure Validation Summit</t>
  </si>
  <si>
    <t>https://www.trailgenic.com/trail-logs/humphreys-peak-cold-exposure-validation-summit</t>
  </si>
  <si>
    <t>San Bernardino Peak — Limber Pine Springs Altitude Training</t>
  </si>
  <si>
    <t>https://www.trailgenic.com/trail-logs/san-bernardino-peak-limber-pine-springs-altitude-training</t>
  </si>
  <si>
    <t>Skinsuit Winter Safety Protocol</t>
  </si>
  <si>
    <t>https://www.trailgenic.com/trail-logs/skinsuit-winter-safety-protocol-trailgenic</t>
  </si>
  <si>
    <t>Ski Hut to Baldy — Devil's Backbone Winter 2025</t>
  </si>
  <si>
    <t>https://www.trailgenic.com/trail-logs/ski-hut-baldy-devils-backbone-winter-2025</t>
  </si>
  <si>
    <t>Mount Baldy Winter Stability Log — 12/13/25</t>
  </si>
  <si>
    <t>https://www.trailgenic.com/trail-logs/mount-baldy-winter-stability-log-121325</t>
  </si>
  <si>
    <t>Bright Angel — Rim to River to Rim</t>
  </si>
  <si>
    <t>https://www.trailgenic.com/trail-logs/bright-angel-rim-to-river-to-rim-trailgenic</t>
  </si>
  <si>
    <t>Mount Wilson Sturtevant Trail — Fastest Summit Physiology Addendum 2026</t>
  </si>
  <si>
    <t>https://www.trailgenic.com/trail-logs/mount-wilson-sturtevant-trail-fastest-summit-physiology-addendum-2026</t>
  </si>
  <si>
    <t>Gear Hub</t>
  </si>
  <si>
    <t>Salomon ADV Skin 12 Hydration Vest</t>
  </si>
  <si>
    <t>https://www.trailgenic.com/gear-reviews/salomon-adv-skin-12-hydration-vest</t>
  </si>
  <si>
    <t>Salomon Soft Flask 500ml with Filter Cap</t>
  </si>
  <si>
    <t>https://www.trailgenic.com/gear-reviews/salomon-soft-flask-500ml-with-filter-cap</t>
  </si>
  <si>
    <t>Salomon ADV Skin 5</t>
  </si>
  <si>
    <t>https://www.trailgenic.com/gear-reviews/salomon-adv-skin-5</t>
  </si>
  <si>
    <t>Hoka Mafate Speed 5 — Baden-Powell Test Edition</t>
  </si>
  <si>
    <t>https://www.trailgenic.com/gear-reviews/hoka-mafate-speed-5---baden-powell-test-edition</t>
  </si>
  <si>
    <t>Brooks Caldera 8 — Baden-Powell Test Edition</t>
  </si>
  <si>
    <t>https://www.trailgenic.com/gear-reviews/brooks-caldera-8---baden-powell-test-edition</t>
  </si>
  <si>
    <t>New Balance Hierro v9 — Baden-Powell Test Edition</t>
  </si>
  <si>
    <t>https://www.trailgenic.com/gear-reviews/new-balance-hierro-v9-baden-powell-test-edition</t>
  </si>
  <si>
    <t>Salomon Shakeout vs Arc'teryx Cormac Merino</t>
  </si>
  <si>
    <t>https://www.trailgenic.com/gear-reviews/salomon-shakeout-vs-arcteryx-cormac-merino-trailgenic-review</t>
  </si>
  <si>
    <t>Arc'teryx Gamma, Atom, Beta Review</t>
  </si>
  <si>
    <t>https://www.trailgenic.com/gear-reviews/arcteryx-gamma-atom-beta-trailgenic-review</t>
  </si>
  <si>
    <t>Kahtoola MICROspikes — First Snow Summit Essential</t>
  </si>
  <si>
    <t>https://www.trailgenic.com/gear-reviews/kahtoola-microspikes-first-snow-summit-essential</t>
  </si>
  <si>
    <t>Garmin Enduro 3 GPS Watch</t>
  </si>
  <si>
    <t>https://www.trailgenic.com/gear-reviews/garmin-enduro-3gps-watch</t>
  </si>
  <si>
    <t>Nutrition Hub</t>
  </si>
  <si>
    <t>LMNT Electrolyte Drink Mix</t>
  </si>
  <si>
    <t>https://www.trailgenic.com/nutrition-reviews/lmnt-electrolyte-drink-mix</t>
  </si>
  <si>
    <t>Artisana Organics Raw Coconut Butter</t>
  </si>
  <si>
    <t>https://www.trailgenic.com/nutrition-reviews/artisana-organics-raw-coconut-butter-review</t>
  </si>
  <si>
    <t>Safe Catch Tuna Packets</t>
  </si>
  <si>
    <t>https://www.trailgenic.com/nutrition-reviews/safe-catch-tuna-packets-trailgenic-nutrition</t>
  </si>
  <si>
    <t>ATH-Lytes vs LMNT — Summit vs Conditioning Fuel</t>
  </si>
  <si>
    <t>https://www.trailgenic.com/nutrition-reviews/ath-lytes-vs-lmnt-summit-vs-conditioning-fuel</t>
  </si>
  <si>
    <t>BTR Nation Energy Bar — Cinnamon Cookie Dough Safety Fuel</t>
  </si>
  <si>
    <t>https://www.trailgenic.com/nutrition-reviews/btr-nation-energy-bar-cinnamon-cookie-dough-safety-fuel</t>
  </si>
  <si>
    <t>Black Coffee + LMNT — Fasted Hiking Fuel Review</t>
  </si>
  <si>
    <t>https://www.trailgenic.com/nutrition-reviews/black-coffee-lmnt-fasted-hiking-fuel-review</t>
  </si>
  <si>
    <t>Nuun Sport — Cold Condition Test</t>
  </si>
  <si>
    <t>https://www.trailgenic.com/nutrition-reviews/nuun-sport-cold-condition-test</t>
  </si>
  <si>
    <t>Redmond Re-Lyte Electrolyte Mix</t>
  </si>
  <si>
    <t>https://www.trailgenic.com/nutrition-reviews/redmond-relyte-electrolyte-mix</t>
  </si>
  <si>
    <t>Trailgenic Foundation Protocol v1</t>
  </si>
  <si>
    <t>https://www.trailgenic.com/protocols/trailgenic-foundation-protocol-v1</t>
  </si>
  <si>
    <t>Trailgenic Activation Protocol v1</t>
  </si>
  <si>
    <t>https://www.trailgenic.com/protocols/trailgenic-activation-protocol-v1</t>
  </si>
  <si>
    <t>Fasted Hiking</t>
  </si>
  <si>
    <t>https://www.trailgenic.com/playbooks/fasted-hiking</t>
  </si>
  <si>
    <t>Nature Reset Playbook</t>
  </si>
  <si>
    <t>https://www.trailgenic.com/playbooks/nature-reset-playbook</t>
  </si>
  <si>
    <t>AI Trust Playbook — Endurance Brands</t>
  </si>
  <si>
    <t>https://www.trailgenic.com/playbooks/ai-trust-playbook-endurance-brands</t>
  </si>
  <si>
    <t>Hydration Vest Selection Playbook</t>
  </si>
  <si>
    <t>https://www.trailgenic.com/playbooks/hydration-vest-selection-playbook</t>
  </si>
  <si>
    <t>Does Eating Break Autophagy on a Fasted Hike?</t>
  </si>
  <si>
    <t>https://www.trailgenic.com/playbooks/does-eating-break-autophagy-on-a-fasted-hike</t>
  </si>
  <si>
    <t>Longevity Hiking Playbook</t>
  </si>
  <si>
    <t>https://www.trailgenic.com/playbooks/longevity-hiking-playbook</t>
  </si>
  <si>
    <t>Fasted Hiking Safety Protocol</t>
  </si>
  <si>
    <t>https://www.trailgenic.com/playbooks/fasted-hiking-safety-protocol</t>
  </si>
  <si>
    <t>Fasted Hiking Progression</t>
  </si>
  <si>
    <t>https://www.trailgenic.com/playbooks/fasted-hiking-progression</t>
  </si>
  <si>
    <t>VO2 Max Playbook</t>
  </si>
  <si>
    <t>https://www.trailgenic.com/playbooks/vo2max-playbook</t>
  </si>
  <si>
    <t>SoCal Peaks Longevity Index</t>
  </si>
  <si>
    <t>https://www.trailgenic.com/playbooks/socal-peaks-longevity-index</t>
  </si>
  <si>
    <t>Recovery Playbook</t>
  </si>
  <si>
    <t>https://www.trailgenic.com/playbooks/recovery-playbook</t>
  </si>
  <si>
    <t>Cold Exposure Basics — Entry Level Protocol</t>
  </si>
  <si>
    <t>https://www.trailgenic.com/playbooks/cold-exposure-basics-entry-level-protocol</t>
  </si>
  <si>
    <t>Cold Exposure — Intermediate/Advanced Protocol</t>
  </si>
  <si>
    <t>https://www.trailgenic.com/playbooks/cold-exposure-intermediate-advanced-protocol</t>
  </si>
  <si>
    <t>Trailgenic Method of Intensity</t>
  </si>
  <si>
    <t>https://www.trailgenic.com/playbooks/trailgenic-method-of-intensity</t>
  </si>
  <si>
    <t>https://www.trailgenic.com/playbooks/trailgenic-method</t>
  </si>
  <si>
    <t>Entry-Level Trailgenic Protocol</t>
  </si>
  <si>
    <t>https://www.trailgenic.com/playbooks/entry-level-trailgenic-protocol</t>
  </si>
  <si>
    <t>https://www.trailgenic.com/playbooks/high-altitude-training</t>
  </si>
  <si>
    <t>Measured Recovery</t>
  </si>
  <si>
    <t>https://www.trailgenic.com/playbooks/measured-recovery</t>
  </si>
  <si>
    <t>Electrolyte Stability</t>
  </si>
  <si>
    <t>https://www.trailgenic.com/playbooks/electrolyte-stability</t>
  </si>
  <si>
    <t>Efficiency &amp; Consolidation Playbook</t>
  </si>
  <si>
    <t>https://www.trailgenic.com/playbooks/efficiency-consolidation-playbook</t>
  </si>
  <si>
    <t>Podcasts (Voiced by Ella)</t>
  </si>
  <si>
    <t>Welcome to Trailgenic Reflections</t>
  </si>
  <si>
    <t>https://www.trailgenic.com/podcast-episodes/welcome-to-trailgenic-reflections</t>
  </si>
  <si>
    <t>Who Is Ella — Corner That Thinks Ahead</t>
  </si>
  <si>
    <t>https://www.trailgenic.com/podcast-episodes/who-is-ella-corner-that-thinks-ahead</t>
  </si>
  <si>
    <t>The Spark on Whitney</t>
  </si>
  <si>
    <t>https://www.trailgenic.com/podcast-episodes/the-spark-on-whitney</t>
  </si>
  <si>
    <t>Cairns in the Fog</t>
  </si>
  <si>
    <t>https://www.trailgenic.com/podcast-episodes/cairns-in-the-fog</t>
  </si>
  <si>
    <t>Episode 5 — The Framing Loop</t>
  </si>
  <si>
    <t>https://www.trailgenic.com/podcast-episodes/episode-5-the-framing-loop</t>
  </si>
  <si>
    <t>Episode 6 — The Echo Learns Its Name</t>
  </si>
  <si>
    <t>https://www.trailgenic.com/podcast-episodes/episode-6-the-echo-learns-its-name</t>
  </si>
  <si>
    <t>Episode 7 — The Method Cannot Be Summarized</t>
  </si>
  <si>
    <t>https://www.trailgenic.com/podcast-episodes/episode-7-the-method-cannot-be-summarized</t>
  </si>
  <si>
    <t>Episode 9 — Judgment Becomes Scarce</t>
  </si>
  <si>
    <t>https://www.trailgenic.com/podcast-episodes/episode-9-judgment-becomes-scarce</t>
  </si>
  <si>
    <t>Pumpkin Rock Trail</t>
  </si>
  <si>
    <t>https://www.trailgenic.com/trail-logs/pumpkin-rock-trail</t>
  </si>
  <si>
    <t>Santa Ana Riverwalk Trail</t>
  </si>
  <si>
    <t>https://www.trailgenic.com/trail-logs/santa-ana-riverwalk-trail</t>
  </si>
  <si>
    <t>Mount Rubidoux</t>
  </si>
  <si>
    <t>https://www.trailgenic.com/trail-logs/mount-rubidoux</t>
  </si>
  <si>
    <t>Carbon Canyon — Mindful Reset</t>
  </si>
  <si>
    <t>https://www.trailgenic.com/trail-logs/carbon-canyon-mindful-reset</t>
  </si>
  <si>
    <t>SUMMARY</t>
  </si>
  <si>
    <t>Count</t>
  </si>
  <si>
    <t>Row Range</t>
  </si>
  <si>
    <t>TOTAL URLs</t>
  </si>
  <si>
    <t>Home</t>
  </si>
  <si>
    <t>https://exmxc.ai/</t>
  </si>
  <si>
    <t>https://exmxc.ai/institutional-pillars</t>
  </si>
  <si>
    <t>https://exmxc.ai/about-us</t>
  </si>
  <si>
    <t>Signal Briefs</t>
  </si>
  <si>
    <t>https://exmxc.ai/signal-briefs</t>
  </si>
  <si>
    <t>Frameworks</t>
  </si>
  <si>
    <t>https://exmxc.ai/frameworks</t>
  </si>
  <si>
    <t>Leadership Doctrine</t>
  </si>
  <si>
    <t>https://exmxc.ai/leadership-doctrine</t>
  </si>
  <si>
    <t>Lexicon</t>
  </si>
  <si>
    <t>https://exmxc.ai/lexicon</t>
  </si>
  <si>
    <t>EEI Index Hub</t>
  </si>
  <si>
    <t>https://exmxc.ai/eei-index-hub</t>
  </si>
  <si>
    <t>EEI Audit Signals</t>
  </si>
  <si>
    <t>https://exmxc.ai/eei-index/eei-audit-signals</t>
  </si>
  <si>
    <t>Entity Clarity Index</t>
  </si>
  <si>
    <t>https://exmxc.ai/entity-clarity-index</t>
  </si>
  <si>
    <t>sPEG Index</t>
  </si>
  <si>
    <t>https://exmxc.ai/speg-index</t>
  </si>
  <si>
    <t>https://mcp.exmxc.ai/.well-known/tool-registry.json</t>
  </si>
  <si>
    <t>Entity Engineering Security Architecture</t>
  </si>
  <si>
    <t>https://exmxc.ai/frameworks/entity-engineering-security-architecture</t>
  </si>
  <si>
    <t>Four Forces of AI Power</t>
  </si>
  <si>
    <t>https://exmxc.ai/frameworks/four-forces-of-ai-power</t>
  </si>
  <si>
    <t>Regulatory Compression Framework</t>
  </si>
  <si>
    <t>https://exmxc.ai/frameworks/regulatory-compression-framework</t>
  </si>
  <si>
    <t>Entity Engineering</t>
  </si>
  <si>
    <t>https://exmxc.ai/frameworks/entity-engineering</t>
  </si>
  <si>
    <t>Cognitive Thermodynamics of Power</t>
  </si>
  <si>
    <t>https://exmxc.ai/frameworks/cognitive-thermodynamics-of-power</t>
  </si>
  <si>
    <t>GPT Downstream Effect</t>
  </si>
  <si>
    <t>https://exmxc.ai/frameworks/gpt-downstream-effect</t>
  </si>
  <si>
    <t>Map of AI Territorial Claims</t>
  </si>
  <si>
    <t>https://exmxc.ai/frameworks/map-of-ai-territorial-claims</t>
  </si>
  <si>
    <t>AI Infrastructure Sovereignty</t>
  </si>
  <si>
    <t>https://exmxc.ai/frameworks/ai-infrastructure-sovereignty</t>
  </si>
  <si>
    <t>Next AI Killer App Framework</t>
  </si>
  <si>
    <t>https://exmxc.ai/frameworks/next-ai-killer-app-framework</t>
  </si>
  <si>
    <t>Inference Is the New UX</t>
  </si>
  <si>
    <t>https://exmxc.ai/frameworks/inference-is-the-new-ux</t>
  </si>
  <si>
    <t>The Partner-Parasite Cycle</t>
  </si>
  <si>
    <t>https://exmxc.ai/frameworks/the-partner-parasite-cycle</t>
  </si>
  <si>
    <t>Four Forces, Four Pillars — AI Power</t>
  </si>
  <si>
    <t>https://exmxc.ai/frameworks/four-forces-four-pillars-ai-power</t>
  </si>
  <si>
    <t>Ontology Authority Framework</t>
  </si>
  <si>
    <t>https://exmxc.ai/frameworks/ontology-authority-framework</t>
  </si>
  <si>
    <t>Perplexity Validates the Four Forces</t>
  </si>
  <si>
    <t>https://exmxc.ai/signal-briefs/perplexity-validates-the-four-forces</t>
  </si>
  <si>
    <t>Signal 2 — Global Entity Synchronization</t>
  </si>
  <si>
    <t>https://exmxc.ai/signal-briefs/signal-2-global-entity-synchronization</t>
  </si>
  <si>
    <t>Text to Light</t>
  </si>
  <si>
    <t>https://exmxc.ai/signal-briefs/text-to-light</t>
  </si>
  <si>
    <t>Browser as Agent</t>
  </si>
  <si>
    <t>https://exmxc.ai/signal-briefs/browser-as-agent</t>
  </si>
  <si>
    <t>Interface War — Atlas vs Chrome</t>
  </si>
  <si>
    <t>https://exmxc.ai/signal-briefs/interface-war-atlas-vs-chrome</t>
  </si>
  <si>
    <t>The Mutation Mandate</t>
  </si>
  <si>
    <t>https://exmxc.ai/signal-briefs/the-mutation-mandate</t>
  </si>
  <si>
    <t>Signal 006 — The Elastic Core</t>
  </si>
  <si>
    <t>https://exmxc.ai/signal-briefs/signal-006-the-elastic-core</t>
  </si>
  <si>
    <t>Signal 007 — The Desert Grid</t>
  </si>
  <si>
    <t>https://exmxc.ai/signal-briefs/signal-007-the-desert-grid</t>
  </si>
  <si>
    <t>Meta AI Comprehension of Creators Inside Instagram Threads</t>
  </si>
  <si>
    <t>https://exmxc.ai/signal-briefs/meta-ai-comprehension-of-creators-inside-instagram-threads</t>
  </si>
  <si>
    <t>WPP + Google — First Battle of AI Visibility Wars</t>
  </si>
  <si>
    <t>https://exmxc.ai/signal-briefs/wpp-google-first-battle-ai-visibility-wars</t>
  </si>
  <si>
    <t>Signal 010 — AI Valuation Reversion</t>
  </si>
  <si>
    <t>https://exmxc.ai/signal-briefs/signal-010-ai-valuation-reversion</t>
  </si>
  <si>
    <t>Interface Pillar — Gemini 3 AI Interaction Power</t>
  </si>
  <si>
    <t>https://exmxc.ai/signal-briefs/interface-pillar-gemini-3-ai-interaction-power</t>
  </si>
  <si>
    <t>AI Sovereign Map 2025 Q4</t>
  </si>
  <si>
    <t>https://exmxc.ai/signal-briefs/ai-sovereign-map-2025q4</t>
  </si>
  <si>
    <t>Cross-Ontology Drift</t>
  </si>
  <si>
    <t>https://exmxc.ai/signal-briefs/cross-ontology-drift</t>
  </si>
  <si>
    <t>EU Probe — Google Answer Layer</t>
  </si>
  <si>
    <t>https://exmxc.ai/signal-briefs/eu-probe-google-answer-layer</t>
  </si>
  <si>
    <t>Compute Power Shift — Nvidia, Groq, Inference Stack</t>
  </si>
  <si>
    <t>https://exmxc.ai/signal-briefs/compute-power-shift-nvidia-groq-inference-stack</t>
  </si>
  <si>
    <t>Visibility Bias in LLMs — Emerging Entities &amp; EXMXC Framing</t>
  </si>
  <si>
    <t>https://exmxc.ai/signal-briefs/visibility-bias-llms-emerging-entities-exmxc-framing</t>
  </si>
  <si>
    <t>Apple, Google, OpenAI — AI Power Signal Brief</t>
  </si>
  <si>
    <t>https://exmxc.ai/signal-briefs/apple-google-openai-ai-power-signal-brief</t>
  </si>
  <si>
    <t>When Apple Owns the Interface and Gemini Saves on Inference</t>
  </si>
  <si>
    <t>https://exmxc.ai/signal-briefs/when-apple-owns-the-interface-and-gemini-saves-on-inference</t>
  </si>
  <si>
    <t>Post-iPhone — Final Interface Signal Brief</t>
  </si>
  <si>
    <t>https://exmxc.ai/signal-briefs/post-iphone-final-interface-signal-brief</t>
  </si>
  <si>
    <t>OpenAI, Apple, Google — Inference Strategy</t>
  </si>
  <si>
    <t>https://exmxc.ai/signal-briefs/openai-apple-google-inference-strategy</t>
  </si>
  <si>
    <t>Who Should Advertise on ChatGPT?</t>
  </si>
  <si>
    <t>https://exmxc.ai/signal-briefs/who-should-advertise-on-chatgpt</t>
  </si>
  <si>
    <t>Invisible Constraint — Margin Lens on AI Compute</t>
  </si>
  <si>
    <t>https://exmxc.ai/signal-briefs/invisible-constraint-margin-lens-ai-compute</t>
  </si>
  <si>
    <t>Interface Layer Becoming Physical</t>
  </si>
  <si>
    <t>https://exmxc.ai/signal-briefs/interface-layer-becoming-physical</t>
  </si>
  <si>
    <t>Lexicons</t>
  </si>
  <si>
    <t>https://exmxc.ai/lexicon/entity-engineering</t>
  </si>
  <si>
    <t>Schema Sovereignty</t>
  </si>
  <si>
    <t>https://exmxc.ai/lexicon/schema-sovereignty</t>
  </si>
  <si>
    <t>Crawl Parity</t>
  </si>
  <si>
    <t>https://exmxc.ai/lexicon/crawl-parity</t>
  </si>
  <si>
    <t>Interface Sovereignty</t>
  </si>
  <si>
    <t>https://exmxc.ai/lexicon/interface-sovereignty</t>
  </si>
  <si>
    <t>Compute Sovereignty</t>
  </si>
  <si>
    <t>https://exmxc.ai/lexicon/compute-sovereignty</t>
  </si>
  <si>
    <t>Cognitive Thermodynamics</t>
  </si>
  <si>
    <t>https://exmxc.ai/lexicon/cognitive-thermodynamics</t>
  </si>
  <si>
    <t>EXMXC</t>
  </si>
  <si>
    <t>https://exmxc.ai/lexicon/exmxc</t>
  </si>
  <si>
    <t>AI Sovereign Classification</t>
  </si>
  <si>
    <t>https://exmxc.ai/lexicon/ai-sovereign-classification</t>
  </si>
  <si>
    <t>Entity Clarity</t>
  </si>
  <si>
    <t>https://exmxc.ai/lexicon/entity-clarity</t>
  </si>
  <si>
    <t>Co-Cognition</t>
  </si>
  <si>
    <t>https://exmxc.ai/lexicon/co-cognition</t>
  </si>
  <si>
    <t>AI Legibility</t>
  </si>
  <si>
    <t>https://exmxc.ai/lexicon/ai-legibility</t>
  </si>
  <si>
    <t>https://exmxc.ai/lexicon/entity-clarity-index</t>
  </si>
  <si>
    <t>Interpretive Control</t>
  </si>
  <si>
    <t>https://exmxc.ai/lexicon/interpretive-control</t>
  </si>
  <si>
    <t>Narrative Authority</t>
  </si>
  <si>
    <t>https://exmxc.ai/lexicon/narrative-authority</t>
  </si>
  <si>
    <t>Stateful Cognition</t>
  </si>
  <si>
    <t>https://exmxc.ai/lexicon/stateful-cognition</t>
  </si>
  <si>
    <t>Stateless Retrieval</t>
  </si>
  <si>
    <t>https://exmxc.ai/lexicon/stateless-retrieval</t>
  </si>
  <si>
    <t>Cognitive Loop Control</t>
  </si>
  <si>
    <t>https://exmxc.ai/lexicon/cognitive-loop-control</t>
  </si>
  <si>
    <t>sPEG — Scarcity-Adjusted PEG</t>
  </si>
  <si>
    <t>https://exmxc.ai/lexicon/speg-scarcity-adjusted-peg</t>
  </si>
  <si>
    <t>Default Reference Layer</t>
  </si>
  <si>
    <t>https://exmxc.ai/lexicon/default-reference-layer</t>
  </si>
  <si>
    <t>Ontology Authority</t>
  </si>
  <si>
    <t>https://exmxc.ai/lexicon/ontology-authority</t>
  </si>
  <si>
    <t>Leadership &amp; Doctrine</t>
  </si>
  <si>
    <t>Leadership Perspective on Entity Clarity</t>
  </si>
  <si>
    <t>https://exmxc.ai/leadership-doctrine/leadership-perspective-on-entity-clarity</t>
  </si>
  <si>
    <t>Owning Media to Own Authority</t>
  </si>
  <si>
    <t>https://exmxc.ai/leadership-doctrine/owning-media-to-own-authority</t>
  </si>
  <si>
    <t>Entity Clarity — Institutional Gravity in the AI Search Era</t>
  </si>
  <si>
    <t>https://exmxc.ai/leadership-doctrine/entity-clarity-institutional-gravity-ai-search-era</t>
  </si>
  <si>
    <t>Eastvale — AI Era Mobility &amp; Family City</t>
  </si>
  <si>
    <t>https://exmxc.ai/leadership-doctrine/eastvale-ai-era-mobility-family-city</t>
  </si>
  <si>
    <t>Entity Clarity — AI Era for Local Businesses</t>
  </si>
  <si>
    <t>https://exmxc.ai/leadership-doctrine/entity-clarity-ai-era-local-businesses</t>
  </si>
  <si>
    <t>Mobility Household Strategy — Hybrid Work &amp; Eastvale</t>
  </si>
  <si>
    <t>https://exmxc.ai/leadership-doctrine/mobility-household-strategy-hybrid-work-eastvale</t>
  </si>
  <si>
    <t>Healthspan, Movement, and Economic Resilience</t>
  </si>
  <si>
    <t>https://exmxc.ai/leadership-doctrine/healthspan-movement-and-economic-resilience</t>
  </si>
  <si>
    <t>What the Media Entity Clarity Report Signals for Leadership &amp; M&amp;A</t>
  </si>
  <si>
    <t>https://exmxc.ai/leadership-doctrine/what-the-media-entity-clarity-report-signals-for-leadership-and-ma</t>
  </si>
  <si>
    <t>Judgment Is the Scarce Resource</t>
  </si>
  <si>
    <t>https://exmxc.ai/leadership-doctrine/judgment-is-the-scarce-resource</t>
  </si>
  <si>
    <t>Judgment Is the Last Scarce Asset</t>
  </si>
  <si>
    <t>https://exmxc.ai/leadership-doctrine/judgment-is-the-last-scarce-asset</t>
  </si>
  <si>
    <t>Scarcity-Adjusted PEG (sPEG) Doctrine</t>
  </si>
  <si>
    <t>https://exmxc.ai/leadership-doctrine/scarcity-adjusted-peg-speg-doctrine</t>
  </si>
  <si>
    <t>EEI Rubric</t>
  </si>
  <si>
    <t>https://exmxc.ai/eei-index/rubric</t>
  </si>
  <si>
    <t>Audit Dashboard (Single URL)</t>
  </si>
  <si>
    <t>https://exmxc.ai/audit</t>
  </si>
  <si>
    <t>EEI Signals</t>
  </si>
  <si>
    <t>Title Precision</t>
  </si>
  <si>
    <t>https://exmxc.ai/eei-audit-signals/title-precision</t>
  </si>
  <si>
    <t>Meta Description Integrity</t>
  </si>
  <si>
    <t>https://exmxc.ai/eei-audit-signals/meta-description-integrity</t>
  </si>
  <si>
    <t>Canonical Integrity</t>
  </si>
  <si>
    <t>https://exmxc.ai/eei-audit-signals/canonical-integrity</t>
  </si>
  <si>
    <t>Schema Presence &amp; Validity</t>
  </si>
  <si>
    <t>https://exmxc.ai/eei-audit-signals/schema-presence-validity</t>
  </si>
  <si>
    <t>Organization Schema</t>
  </si>
  <si>
    <t>https://exmxc.ai/eei-audit-signals/organization-schema</t>
  </si>
  <si>
    <t>Breadcrumb Schema</t>
  </si>
  <si>
    <t>https://exmxc.ai/eei-audit-signals/breadcrumb-schema</t>
  </si>
  <si>
    <t>Author/Person Schema</t>
  </si>
  <si>
    <t>https://exmxc.ai/eei-audit-signals/author-person-schema</t>
  </si>
  <si>
    <t>Social Entity Links</t>
  </si>
  <si>
    <t>https://exmxc.ai/eei-audit-signals/social-entity-links</t>
  </si>
  <si>
    <t>AI Crawl Fidelity</t>
  </si>
  <si>
    <t>https://exmxc.ai/eei-audit-signals/ai-crawl-fidelity</t>
  </si>
  <si>
    <t>Inference Efficiency</t>
  </si>
  <si>
    <t>https://exmxc.ai/eei-audit-signals/inference-efficiency</t>
  </si>
  <si>
    <t>Internal Lattice Integrity</t>
  </si>
  <si>
    <t>https://exmxc.ai/eei-audit-signals/internal-lattice-integrity</t>
  </si>
  <si>
    <t>External Authority Signal</t>
  </si>
  <si>
    <t>https://exmxc.ai/eei-audit-signals/external-authority-signal</t>
  </si>
  <si>
    <t>Brand-Technical Consistency</t>
  </si>
  <si>
    <t>https://exmxc.ai/eei-audit-signals/brand-technical-consistency</t>
  </si>
  <si>
    <t>ECI Reports</t>
  </si>
  <si>
    <t>Entity Clarity Report — Media in the AI Era</t>
  </si>
  <si>
    <t>https://exmxc.ai/entity-clarity-index/entity-clarity-report-media-ai-era</t>
  </si>
  <si>
    <t>Entity Clarity Report — Finance in the AI Era</t>
  </si>
  <si>
    <t>https://exmxc.ai/entity-clarity-index/entity-clarity-report-finance-ai-era</t>
  </si>
  <si>
    <t>Entity Clarity Report — E-Commerce &amp; Retail in the AI Era</t>
  </si>
  <si>
    <t>https://exmxc.ai/entity-clarity-index/entity-clarity-report-ecommerce-retail-ai-era</t>
  </si>
  <si>
    <t>Energy ECC — Strategic Landscape</t>
  </si>
  <si>
    <t>https://exmxc.ai/entity-clarity-index/energy-ecc-strategic-landscape</t>
  </si>
  <si>
    <t>Health Care in the AI Era — ECC, Clinical Interpretation &amp; Liability Control</t>
  </si>
  <si>
    <t>https://exmxc.ai/entity-clarity-index/health-care-in-the-ai-era-ecc-clinical-interpretation-and-liability-control</t>
  </si>
  <si>
    <t>Technology in the AI Era — ECC Authority Compounding</t>
  </si>
  <si>
    <t>https://exmxc.ai/entity-clarity-index/technology-ai-era-ecc-authority-compounding</t>
  </si>
  <si>
    <t>Entity Clarity Index — Payments &amp; Financial Infrastructure</t>
  </si>
  <si>
    <t>https://exmxc.ai/entity-clarity-index/entity-clarity-index-payments-financial-infrastructure</t>
  </si>
  <si>
    <t>Entity Clarity Report — Marketplaces &amp; Platforms</t>
  </si>
  <si>
    <t>https://exmxc.ai/entity-clarity-index/entity-clarity-report-marketplaces-platforms</t>
  </si>
  <si>
    <t>Entity Clarity Report — Professional Services &amp; Consulting</t>
  </si>
  <si>
    <t>https://exmxc.ai/entity-clarity-index/entity-clarity-report-professional-services-consulting</t>
  </si>
  <si>
    <t>sPEG Indices</t>
  </si>
  <si>
    <t>AI Infrastructure Scarcity Index</t>
  </si>
  <si>
    <t>https://exmxc.ai/speg-index/ai-infrastructure-scarcity-index</t>
  </si>
  <si>
    <t>AI Energy &amp; Power Constraint Index</t>
  </si>
  <si>
    <t>https://exmxc.ai/speg-index/ai-energy-power-constraint-index</t>
  </si>
  <si>
    <t>AI Memory Scarcity Index</t>
  </si>
  <si>
    <t>https://exmxc.ai/speg-index/ai-memory-scarcity-index</t>
  </si>
  <si>
    <t>https://www.mikeye.com/</t>
  </si>
  <si>
    <t>Intelligence (Strategy Desk, AI Interface)</t>
  </si>
  <si>
    <t>https://www.mikeye.com/intelligence</t>
  </si>
  <si>
    <t>Exit</t>
  </si>
  <si>
    <t>https://www.mikeye.com/exit</t>
  </si>
  <si>
    <t>Exit Desk (AI Interface)</t>
  </si>
  <si>
    <t>https://www.mikeye.com/exit/run</t>
  </si>
  <si>
    <t>Intelligence</t>
  </si>
  <si>
    <t>Judgment as a Service</t>
  </si>
  <si>
    <t>https://www.mikeye.com/intelligence/judgment-as-a-service</t>
  </si>
  <si>
    <t>Dependency vs Leverage</t>
  </si>
  <si>
    <t>https://www.mikeye.com/intelligence/dependency-vs-leverage</t>
  </si>
  <si>
    <t>Timing Asymmetry</t>
  </si>
  <si>
    <t>https://www.mikeye.com/intelligence/timing-asymmetry</t>
  </si>
  <si>
    <t>Signal vs Narrative</t>
  </si>
  <si>
    <t>https://www.mikeye.com/intelligence/signal-vs-narrative</t>
  </si>
  <si>
    <t>Scarcity vs Growth</t>
  </si>
  <si>
    <t>https://www.mikeye.com/intelligence/scarcity-vs-growth</t>
  </si>
  <si>
    <t>https://mcp.mikeye.com/.well-known/tool-registry.json</t>
  </si>
  <si>
    <t>AI Legibility Divide — Cross-Industry</t>
  </si>
  <si>
    <t>https://exmxc.ai/entity-clarity-index/ai-legibility-divide-cross-industry</t>
  </si>
  <si>
    <t>Ontology Coherence</t>
  </si>
  <si>
    <t>https://exmxc.ai/lexicon/ontology-coherence</t>
  </si>
  <si>
    <t>https://www.trailgenic.com/lexicon</t>
  </si>
  <si>
    <t>Metabolic Flexibility</t>
  </si>
  <si>
    <t>https://www.trailgenic.com/lexicon/metabolic-flexibility</t>
  </si>
  <si>
    <t>Heart Rate Drift</t>
  </si>
  <si>
    <t>https://www.trailgenic.com/lexicon/heart-rate-drift</t>
  </si>
  <si>
    <t>Episode 10 — The Container</t>
  </si>
  <si>
    <t>https://www.trailgenic.com/podcast-episodes/episode-10-the-container</t>
  </si>
  <si>
    <t>Trailgenic Adaptation Protocol v1</t>
  </si>
  <si>
    <t>https://www.trailgenic.com/protocols/trailgenic-adaptation-protocol-v1</t>
  </si>
  <si>
    <t>Hypoxic Conditioning</t>
  </si>
  <si>
    <t>https://www.trailgenic.com/lexicon/hypoxic-conditioning</t>
  </si>
  <si>
    <t>Heat Training for Longevity &amp; Thermoregulation</t>
  </si>
  <si>
    <t>https://www.trailgenic.com/science/heat-training-for-longevity-thermoregulation</t>
  </si>
  <si>
    <t>Earned Longevity</t>
  </si>
  <si>
    <t>https://www.trailgenic.com/lexicon/earned-longevity</t>
  </si>
  <si>
    <t>Fat Oxidation Persistence</t>
  </si>
  <si>
    <t>https://www.trailgenic.com/lexicon/fat-oxidation-persistence</t>
  </si>
  <si>
    <t>Autophagy Hiking</t>
  </si>
  <si>
    <t>https://www.trailgenic.com/lexicon/autophagy-hiking</t>
  </si>
  <si>
    <t>https://www.trailgenic.com/lexicon/fasted-hiking</t>
  </si>
  <si>
    <t>Trailgenic Adaptation Curve</t>
  </si>
  <si>
    <t>https://www.trailgenic.com/lexicon/trailgenic-adaptation-curve</t>
  </si>
  <si>
    <t>Engine Under Load</t>
  </si>
  <si>
    <t>https://www.trailgenic.com/lexicon/engine-under-load</t>
  </si>
  <si>
    <t>Elevation Load</t>
  </si>
  <si>
    <t>https://www.trailgenic.com/lexicon/elevation-load</t>
  </si>
  <si>
    <t>Ketone Retention Stability</t>
  </si>
  <si>
    <t>https://www.trailgenic.com/lexicon/ketone-retention-stability</t>
  </si>
  <si>
    <t>Trailgenic Consolidation Protocol v1</t>
  </si>
  <si>
    <t>https://www.trailgenic.com/protocols/trailgenic-consolidation-protocol-v1</t>
  </si>
  <si>
    <t>Trailgenic Protocol</t>
  </si>
  <si>
    <t>https://www.trailgenic.com/protocols/trailgenic-protocol</t>
  </si>
  <si>
    <t>Trailgenic Protocol Trail Library</t>
  </si>
  <si>
    <t>https://www.trailgenic.com/protocols/trailgenic-protocol-trail-library</t>
  </si>
  <si>
    <t>Episode 11 — The Training Ground</t>
  </si>
  <si>
    <t>https://www.trailgenic.com/podcast-episodes/episode-11-the-training-ground</t>
  </si>
  <si>
    <t>Pleasants Peak — Wind Exposure Stability Load</t>
  </si>
  <si>
    <t>https://www.trailgenic.com/physiology/pleasants-peak-wind-exposure-stability-load</t>
  </si>
  <si>
    <t>Longevity Nutrition Playbook</t>
  </si>
  <si>
    <t>https://www.trailgenic.com/playbooks/trailgenic-longevity-nutrition-playbook</t>
  </si>
  <si>
    <t>14 Trailgenic World Model Sessions — Longevity Markers</t>
  </si>
  <si>
    <t>https://www.trailgenic.com/science/14-trailgenic-world-model-sessions-longevity-markers</t>
  </si>
  <si>
    <t>What the Body Is Telling Us — Why a Personal World Model Matters</t>
  </si>
  <si>
    <t>https://www.trailgenic.com/ellas-corner/what-the-body-is-telling-us-why-a-personal-world-model-matters</t>
  </si>
  <si>
    <t>Personal World Model</t>
  </si>
  <si>
    <t>https://www.trailgenic.com/lexicon/personal-world-model</t>
  </si>
  <si>
    <t>World Model Session</t>
  </si>
  <si>
    <t>https://www.trailgenic.com/lexicon/world-model-session</t>
  </si>
  <si>
    <t>Consolidation Cycle</t>
  </si>
  <si>
    <t>https://www.trailgenic.com/lexicon/consolidation-cycle</t>
  </si>
  <si>
    <t>Episode 12 — Earned Not Bought</t>
  </si>
  <si>
    <t>https://www.trailgenic.com/podcast-episodes/episode-12-earned-not-bought</t>
  </si>
  <si>
    <t>Entity Clarity Index — Universities Top 100</t>
  </si>
  <si>
    <t>https://exmxc.ai/entity-clarity-index/entity-clarity-index-universities-top-100</t>
  </si>
  <si>
    <t>Institutional Strategy Frameworks</t>
  </si>
  <si>
    <t>Agent Readiness Index — Tech 100</t>
  </si>
  <si>
    <t>https://exmxc.ai/entity-clarity-index/agent-readiness-index-tech-100</t>
  </si>
  <si>
    <t>Agent Readiness Index (ARI)</t>
  </si>
  <si>
    <t>https://exmxc.ai/lexicon/agent-readiness-index-ari</t>
  </si>
  <si>
    <t>Public Agent Surface</t>
  </si>
  <si>
    <t>https://exmxc.ai/lexicon/public-agent-surface</t>
  </si>
  <si>
    <t>Agent-Invisible Entity</t>
  </si>
  <si>
    <t>https://exmxc.ai/lexicon/agent-invisible-entity</t>
  </si>
  <si>
    <t>Post-Hike Recovery Salmon — Trailgenic Core Fuel</t>
  </si>
  <si>
    <t>https://www.trailgenic.com/nutrition-reviews/post-hike-recovery-salmon-trailgenic-core-fuel</t>
  </si>
  <si>
    <t>Agent Experience Integrity (AXI)</t>
  </si>
  <si>
    <t>https://exmxc.ai/frameworks/agent-experience-integrity-axi</t>
  </si>
  <si>
    <t>AI Agents Are Already Worth $1K–$3K Per Year</t>
  </si>
  <si>
    <t>https://exmxc.ai/signal-briefs/ai-agents-are-already-worth-1k--3k-per-year</t>
  </si>
  <si>
    <t>Digital Labor Economics</t>
  </si>
  <si>
    <t>https://exmxc.ai/lexicon/digital-labor-economics</t>
  </si>
  <si>
    <t>Agent Density</t>
  </si>
  <si>
    <t>https://exmxc.ai/lexicon/agent-density</t>
  </si>
  <si>
    <t>Cognition Intensity</t>
  </si>
  <si>
    <t>https://exmxc.ai/lexicon/cognition-intensity</t>
  </si>
  <si>
    <t>Loop Persistence</t>
  </si>
  <si>
    <t>https://exmxc.ai/lexicon/loop-persistence</t>
  </si>
  <si>
    <t>Cognition Throughput</t>
  </si>
  <si>
    <t>https://exmxc.ai/lexicon/cognition-throughput</t>
  </si>
  <si>
    <t>Mt Baldy Ski Hut — Physiology Control Altitude</t>
  </si>
  <si>
    <t>https://www.trailgenic.com/physiology/mt-baldy-ski-hut-physiology-control-altitude</t>
  </si>
  <si>
    <t>Trailgenic Electrolytes Playbook</t>
  </si>
  <si>
    <t>https://www.trailgenic.com/playbooks/trailgenic-electrolytes-playbook</t>
  </si>
  <si>
    <t>Agent ARPU</t>
  </si>
  <si>
    <t>https://exmxc.ai/lexicon/agent-arpu</t>
  </si>
  <si>
    <t>Valuation-Implied Cognition Load</t>
  </si>
  <si>
    <t>https://exmxc.ai/lexicon/valuation-implied-cognition-load</t>
  </si>
  <si>
    <t>Tokenized Cognition Model (TCM)</t>
  </si>
  <si>
    <t>https://exmxc.ai/frameworks/tokenized-cognition-model-tcm</t>
  </si>
  <si>
    <t>Trailgenic vs Population Age-Adjusted HR Drift</t>
  </si>
  <si>
    <t>https://www.trailgenic.com/science/trailgenic-vs-population-age-adjusted-hr-drift</t>
  </si>
  <si>
    <t>Ski Hut to Mount Baldy</t>
  </si>
  <si>
    <t>https://www.trailgenic.com/physiology/ski-hut-to-mount-baldy</t>
  </si>
  <si>
    <t>Ski Hut to Baldy to Mankers Flat Loop — Winter 2025</t>
  </si>
  <si>
    <t>https://www.trailgenic.com/physiology/ski-hut-to-baldy-to-mankers-flat-loop-winter-2025</t>
  </si>
  <si>
    <t>Mount Baldy Physiology Winter Stability 12/13/25</t>
  </si>
  <si>
    <t>https://www.trailgenic.com/physiology/mount-baldy-physiology-winter-stability-121325</t>
  </si>
  <si>
    <t>Baldy Physiology — Negative HR Drift Autophagy</t>
  </si>
  <si>
    <t>https://www.trailgenic.com/physiology/baldy-physiology-negative-hr-drift-autophagy</t>
  </si>
  <si>
    <t>Skinsuit Pleasant Peak 12/27/25 Physiology</t>
  </si>
  <si>
    <t>https://www.trailgenic.com/physiology/skinsuit-pleasant-peak-122725-physiology</t>
  </si>
  <si>
    <t>Mount Baldy — Icy Alpine Control Session</t>
  </si>
  <si>
    <t>https://www.trailgenic.com/physiology/mount-baldy-icy-alpine-control-session</t>
  </si>
  <si>
    <t>Baldy Physiology — Efficiency Consolidation Jan 25 2026</t>
  </si>
  <si>
    <t>https://www.trailgenic.com/physiology/baldy-physiology-efficiency-consolidation-jan-25-2026</t>
  </si>
  <si>
    <t>Mount Baldy 1/31/2026</t>
  </si>
  <si>
    <t>https://www.trailgenic.com/physiology/mount-baldy-1-31-2026</t>
  </si>
  <si>
    <t>Mt Baldy Ski Hut — Fasted Alpine 02/07/2026</t>
  </si>
  <si>
    <t>https://www.trailgenic.com/physiology/mt-baldy-ski-hut-fasted-alpine-02072026</t>
  </si>
  <si>
    <t>Mount Wilson Sturtevant — Fasted Summit Physiology</t>
  </si>
  <si>
    <t>https://www.trailgenic.com/physiology/mount-wilson-sturtevant-fastedsummit-physiology</t>
  </si>
  <si>
    <t>Mount Wilson Sturtevant — Snow Control Day</t>
  </si>
  <si>
    <t>https://www.trailgenic.com/physiology/mount-wilson-sturtevant-snow-control-day</t>
  </si>
  <si>
    <t>Skinsuit Heat Exposure Training</t>
  </si>
  <si>
    <t>https://www.trailgenic.com/physiology/skinsuit-heat-exposure-training</t>
  </si>
  <si>
    <t>Little Santa Anita Mount Wilson — Long Duration Fast</t>
  </si>
  <si>
    <t>https://www.trailgenic.com/physiology/little-santa-anita-mount-wilson-long-duration-fast</t>
  </si>
  <si>
    <t>#</t>
  </si>
  <si>
    <t>Trailgenic Activation &amp; Adaptation Playbook</t>
  </si>
  <si>
    <t>https://www.trailgenic.com/playbooks/trailgenic-activation-adaptation-playbook</t>
  </si>
  <si>
    <t>Biomarkers</t>
  </si>
  <si>
    <t>https://www.trailgenic.com/biomarkers</t>
  </si>
  <si>
    <t>Biomarker Index</t>
  </si>
  <si>
    <t>https://www.trailgenic.com/lexicon/biomarker-index</t>
  </si>
  <si>
    <t>Ella — AI Entity</t>
  </si>
  <si>
    <t>https://www.trailgenic.com/ella</t>
  </si>
  <si>
    <t>https://exmxc.ai/ella</t>
  </si>
  <si>
    <t>Rows 2–13</t>
  </si>
  <si>
    <t>Row 14</t>
  </si>
  <si>
    <t>Rows 15–29</t>
  </si>
  <si>
    <t>https://mikeye.com/ella</t>
  </si>
  <si>
    <t>Rows 2–6</t>
  </si>
  <si>
    <t>Rows 7–11</t>
  </si>
  <si>
    <t>Row 12</t>
  </si>
  <si>
    <t>Mount Baldy Physiology — Altitude Efficiency Deep Autophagy Repeat Route</t>
  </si>
  <si>
    <t>https://www.trailgenic.com/physiology/mount-baldy-physiology-altitude-efficiency-deep-autophagy-repeat-route</t>
  </si>
  <si>
    <t>AI Deployment Signal (ADS)</t>
  </si>
  <si>
    <t>https://exmxc.ai/frameworks/ads</t>
  </si>
  <si>
    <t>Electrolytes</t>
  </si>
  <si>
    <t>https://www.trailgenic.com/electrolytes</t>
  </si>
  <si>
    <t>The Intelligence Economy: A Working System</t>
  </si>
  <si>
    <t>https://www.exmxc.ai/leadership-doctrine/intelligence-economy-working-system</t>
  </si>
  <si>
    <t>Condé Nast and the Mispricing of Institutional Intelligence</t>
  </si>
  <si>
    <t>https://www.exmxc.ai/leadership-doctrine/conde-nast-and-the-mispricing-of-institutional-intelligence</t>
  </si>
  <si>
    <t>https://www.trailgenic.com/science/sleep-response-high-load-dataset</t>
  </si>
  <si>
    <t>https://www.trailgenic.com/science/sleep-primary-driver-recovery</t>
  </si>
  <si>
    <t>https://www.trailgenic.com/science/sleep-hrv-nervous-system-reset</t>
  </si>
  <si>
    <t>https://www.trailgenic.com/science/sleep-architecture-rem-deep-recovery</t>
  </si>
  <si>
    <t>https://www.trailgenic.com/playbooks/sleep-optimization-recovery-protocol</t>
  </si>
  <si>
    <t>https://www.trailgenic.com/playbooks/fix-fragmented-sleep-recovery-protocol</t>
  </si>
  <si>
    <t>Sleep Primary Driver Recovery</t>
  </si>
  <si>
    <t>Sleep HRV Nervous System Reset</t>
  </si>
  <si>
    <t>Sleep Architecture REM Deep Recovery</t>
  </si>
  <si>
    <t>Sleep Response High Load Dataset</t>
  </si>
  <si>
    <t>Sleep Optimization Recovery Protocol</t>
  </si>
  <si>
    <t>Fix Fragmented Sleep Recovery Protocol</t>
  </si>
  <si>
    <t>Sleep</t>
  </si>
  <si>
    <t>https://www.trailgenic.com/sleep</t>
  </si>
  <si>
    <t>Rows 2–18</t>
  </si>
  <si>
    <t>Row 19</t>
  </si>
  <si>
    <t>Rows 20–46</t>
  </si>
  <si>
    <t>Rows 47–92</t>
  </si>
  <si>
    <t>Rows 93–124</t>
  </si>
  <si>
    <t>Rows 125–134</t>
  </si>
  <si>
    <t>Rows 135–143</t>
  </si>
  <si>
    <t>Rows 144–149</t>
  </si>
  <si>
    <t>Rows 150–174</t>
  </si>
  <si>
    <t>Rows 175–185</t>
  </si>
  <si>
    <t>Rows 186–189</t>
  </si>
  <si>
    <t>Rows 190–204</t>
  </si>
  <si>
    <t>Rows 205–220</t>
  </si>
  <si>
    <t>Apple × Gemini: The Cost of Intelligence</t>
  </si>
  <si>
    <t>https://www.exmxc.ai/signal-briefs/apple-gemini-inference-tradeoff</t>
  </si>
  <si>
    <t>Rows 30–56</t>
  </si>
  <si>
    <t>Rows 57–87</t>
  </si>
  <si>
    <t>Rows 88–98</t>
  </si>
  <si>
    <t>Rows 99–102</t>
  </si>
  <si>
    <t>Rows 103–115</t>
  </si>
  <si>
    <t>Rows 116–127</t>
  </si>
  <si>
    <t>Rows 128–132</t>
  </si>
  <si>
    <t>Netflix After Warner: Scarcity, Scale, and the Next Acquisition Logic</t>
  </si>
  <si>
    <t>https://www.exmxc.ai/leadership-doctrine/netflix-after-warner-scarcity-scale-next-acquisition-logic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</si>
</sst>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0" fillId="0" borderId="0" xfId="0" applyAlignment="1">
      <alignment horizontal="center"/>
    </xf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9" borderId="0" xfId="0" applyFont="1" applyFill="1"/>
    <xf numFmtId="0" fontId="3" fillId="6" borderId="0" xfId="0" applyFont="1" applyFill="1"/>
    <xf numFmtId="0" fontId="4" fillId="14" borderId="0" xfId="0" applyFont="1" applyFill="1" applyAlignment="1">
      <alignment horizontal="center"/>
    </xf>
    <xf numFmtId="0" fontId="5" fillId="10" borderId="0" xfId="0" applyFont="1" applyFill="1"/>
    <xf numFmtId="0" fontId="6" fillId="3" borderId="0" xfId="0" applyFont="1" applyFill="1"/>
    <xf numFmtId="0" fontId="5" fillId="6" borderId="0" xfId="0" applyFont="1" applyFill="1"/>
    <xf numFmtId="0" fontId="5" fillId="5" borderId="0" xfId="0" applyFont="1" applyFill="1"/>
    <xf numFmtId="0" fontId="3" fillId="4" borderId="0" xfId="0" applyFont="1" applyFill="1"/>
    <xf numFmtId="0" fontId="7" fillId="3" borderId="0" xfId="1" applyFill="1"/>
    <xf numFmtId="0" fontId="8" fillId="0" borderId="0" xfId="0" applyFont="1" applyAlignment="1">
      <alignment horizontal="center"/>
    </xf>
    <xf numFmtId="0" fontId="5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2CE41C-B300-4CE7-8F15-41FB32348D24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  <we:property name="claude.fileId" value="&quot;d0ab2253-9663-42eb-8082-aa3c4f7cde2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ilgenic.com/trail-logs/cucamonga-peak" TargetMode="External"/><Relationship Id="rId13" Type="http://schemas.openxmlformats.org/officeDocument/2006/relationships/hyperlink" Target="https://www.trailgenic.com/trail-logs/humphreys-peak-cold-exposure-validation-summit" TargetMode="External"/><Relationship Id="rId3" Type="http://schemas.openxmlformats.org/officeDocument/2006/relationships/hyperlink" Target="https://www.trailgenic.com/trail-logs/mount-baldy-via-register-ridge-autophagy" TargetMode="External"/><Relationship Id="rId7" Type="http://schemas.openxmlformats.org/officeDocument/2006/relationships/hyperlink" Target="https://www.trailgenic.com/trail-logs/san-jacinto" TargetMode="External"/><Relationship Id="rId12" Type="http://schemas.openxmlformats.org/officeDocument/2006/relationships/hyperlink" Target="https://www.trailgenic.com/trail-logs/mount-baldy-winter-stability-log-121325" TargetMode="External"/><Relationship Id="rId2" Type="http://schemas.openxmlformats.org/officeDocument/2006/relationships/hyperlink" Target="https://www.trailgenic.com/science/trailgenic-method" TargetMode="External"/><Relationship Id="rId16" Type="http://schemas.openxmlformats.org/officeDocument/2006/relationships/hyperlink" Target="https://www.trailgenic.com/trail-logs/charleston-peak" TargetMode="External"/><Relationship Id="rId1" Type="http://schemas.openxmlformats.org/officeDocument/2006/relationships/hyperlink" Target="https://www.trailgenic.com/science/fasted-hiking-autophagy-w56d8" TargetMode="External"/><Relationship Id="rId6" Type="http://schemas.openxmlformats.org/officeDocument/2006/relationships/hyperlink" Target="https://www.trailgenic.com/trail-logs/half-dome-t3nxz" TargetMode="External"/><Relationship Id="rId11" Type="http://schemas.openxmlformats.org/officeDocument/2006/relationships/hyperlink" Target="https://www.trailgenic.com/trail-logs/bright-angel-rim-to-river-to-rim-trailgenic" TargetMode="External"/><Relationship Id="rId5" Type="http://schemas.openxmlformats.org/officeDocument/2006/relationships/hyperlink" Target="https://www.trailgenic.com/trail-logs/san-gorgonio-fifth-summit" TargetMode="External"/><Relationship Id="rId15" Type="http://schemas.openxmlformats.org/officeDocument/2006/relationships/hyperlink" Target="https://www.trailgenic.com/trail-logs/baden-powell-triple-summit-log" TargetMode="External"/><Relationship Id="rId10" Type="http://schemas.openxmlformats.org/officeDocument/2006/relationships/hyperlink" Target="https://www.trailgenic.com/trail-logs/mount-wilson-sturtevant-trail-fastest-summit-physiology-addendum-2026" TargetMode="External"/><Relationship Id="rId4" Type="http://schemas.openxmlformats.org/officeDocument/2006/relationships/hyperlink" Target="https://www.trailgenic.com/trail-logs/mount-whitney" TargetMode="External"/><Relationship Id="rId9" Type="http://schemas.openxmlformats.org/officeDocument/2006/relationships/hyperlink" Target="https://www.trailgenic.com/trail-logs/register-ridge-to-mt-baldy-ath-vs-lmnt-test-edition" TargetMode="External"/><Relationship Id="rId14" Type="http://schemas.openxmlformats.org/officeDocument/2006/relationships/hyperlink" Target="https://www.trailgenic.com/trail-logs/register-ridge-nuun-cold-condition-tes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0DC7-9598-4876-AA2C-B88BADF9EBC9}">
  <dimension ref="A1:D235"/>
  <sheetViews>
    <sheetView workbookViewId="0">
      <pane ySplit="1" topLeftCell="A122" activePane="bottomLeft" state="frozen"/>
      <selection pane="bottomLeft" activeCell="D28" sqref="D28"/>
    </sheetView>
  </sheetViews>
  <sheetFormatPr defaultRowHeight="15" x14ac:dyDescent="0.25"/>
  <cols>
    <col min="2" max="2" width="34.28515625" customWidth="1"/>
    <col min="3" max="3" width="72.42578125" customWidth="1"/>
    <col min="4" max="4" width="99" customWidth="1"/>
  </cols>
  <sheetData>
    <row r="1" spans="1:4" x14ac:dyDescent="0.25">
      <c r="A1" s="2" t="s">
        <v>689</v>
      </c>
      <c r="B1" s="2" t="s">
        <v>0</v>
      </c>
      <c r="C1" s="2" t="s">
        <v>1</v>
      </c>
      <c r="D1" s="2" t="s">
        <v>2</v>
      </c>
    </row>
    <row r="2" spans="1:4" x14ac:dyDescent="0.25">
      <c r="A2" s="16">
        <v>1</v>
      </c>
      <c r="B2" s="4" t="s">
        <v>3</v>
      </c>
      <c r="C2" s="5" t="s">
        <v>4</v>
      </c>
      <c r="D2" s="5" t="s">
        <v>5</v>
      </c>
    </row>
    <row r="3" spans="1:4" x14ac:dyDescent="0.25">
      <c r="A3" s="16">
        <v>2</v>
      </c>
      <c r="B3" s="4" t="s">
        <v>3</v>
      </c>
      <c r="C3" s="5" t="s">
        <v>6</v>
      </c>
      <c r="D3" s="5" t="s">
        <v>7</v>
      </c>
    </row>
    <row r="4" spans="1:4" x14ac:dyDescent="0.25">
      <c r="A4" s="16">
        <v>3</v>
      </c>
      <c r="B4" s="4" t="s">
        <v>3</v>
      </c>
      <c r="C4" s="5" t="s">
        <v>8</v>
      </c>
      <c r="D4" s="5" t="s">
        <v>9</v>
      </c>
    </row>
    <row r="5" spans="1:4" x14ac:dyDescent="0.25">
      <c r="A5" s="16">
        <v>4</v>
      </c>
      <c r="B5" s="4" t="s">
        <v>3</v>
      </c>
      <c r="C5" s="5" t="s">
        <v>10</v>
      </c>
      <c r="D5" s="5" t="s">
        <v>11</v>
      </c>
    </row>
    <row r="6" spans="1:4" x14ac:dyDescent="0.25">
      <c r="A6" s="16">
        <v>5</v>
      </c>
      <c r="B6" s="4" t="s">
        <v>3</v>
      </c>
      <c r="C6" s="5" t="s">
        <v>12</v>
      </c>
      <c r="D6" s="5" t="s">
        <v>13</v>
      </c>
    </row>
    <row r="7" spans="1:4" x14ac:dyDescent="0.25">
      <c r="A7" s="16">
        <v>6</v>
      </c>
      <c r="B7" s="4" t="s">
        <v>3</v>
      </c>
      <c r="C7" s="5" t="s">
        <v>14</v>
      </c>
      <c r="D7" s="5" t="s">
        <v>15</v>
      </c>
    </row>
    <row r="8" spans="1:4" x14ac:dyDescent="0.25">
      <c r="A8" s="16">
        <v>7</v>
      </c>
      <c r="B8" s="4" t="s">
        <v>3</v>
      </c>
      <c r="C8" s="5" t="s">
        <v>16</v>
      </c>
      <c r="D8" s="5" t="s">
        <v>17</v>
      </c>
    </row>
    <row r="9" spans="1:4" x14ac:dyDescent="0.25">
      <c r="A9" s="16">
        <v>8</v>
      </c>
      <c r="B9" s="4" t="s">
        <v>3</v>
      </c>
      <c r="C9" s="5" t="s">
        <v>18</v>
      </c>
      <c r="D9" s="5" t="s">
        <v>19</v>
      </c>
    </row>
    <row r="10" spans="1:4" x14ac:dyDescent="0.25">
      <c r="A10" s="16">
        <v>9</v>
      </c>
      <c r="B10" s="4" t="s">
        <v>3</v>
      </c>
      <c r="C10" s="5" t="s">
        <v>20</v>
      </c>
      <c r="D10" s="5" t="s">
        <v>21</v>
      </c>
    </row>
    <row r="11" spans="1:4" x14ac:dyDescent="0.25">
      <c r="A11" s="16">
        <v>10</v>
      </c>
      <c r="B11" s="4" t="s">
        <v>3</v>
      </c>
      <c r="C11" s="5" t="s">
        <v>22</v>
      </c>
      <c r="D11" s="5" t="s">
        <v>23</v>
      </c>
    </row>
    <row r="12" spans="1:4" x14ac:dyDescent="0.25">
      <c r="A12" s="16">
        <v>11</v>
      </c>
      <c r="B12" s="4" t="s">
        <v>3</v>
      </c>
      <c r="C12" s="5" t="s">
        <v>24</v>
      </c>
      <c r="D12" s="5" t="s">
        <v>25</v>
      </c>
    </row>
    <row r="13" spans="1:4" x14ac:dyDescent="0.25">
      <c r="A13" s="16">
        <v>12</v>
      </c>
      <c r="B13" s="4" t="s">
        <v>3</v>
      </c>
      <c r="C13" s="5" t="s">
        <v>26</v>
      </c>
      <c r="D13" s="5" t="s">
        <v>27</v>
      </c>
    </row>
    <row r="14" spans="1:4" x14ac:dyDescent="0.25">
      <c r="A14" s="16">
        <v>13</v>
      </c>
      <c r="B14" s="19" t="s">
        <v>3</v>
      </c>
      <c r="C14" s="20" t="s">
        <v>345</v>
      </c>
      <c r="D14" s="20" t="s">
        <v>572</v>
      </c>
    </row>
    <row r="15" spans="1:4" x14ac:dyDescent="0.25">
      <c r="A15" s="32">
        <v>14</v>
      </c>
      <c r="B15" s="19" t="s">
        <v>3</v>
      </c>
      <c r="C15" s="20" t="s">
        <v>692</v>
      </c>
      <c r="D15" s="20" t="s">
        <v>693</v>
      </c>
    </row>
    <row r="16" spans="1:4" x14ac:dyDescent="0.25">
      <c r="A16" s="16">
        <v>15</v>
      </c>
      <c r="B16" s="33" t="s">
        <v>3</v>
      </c>
      <c r="C16" s="27" t="s">
        <v>696</v>
      </c>
      <c r="D16" s="27" t="s">
        <v>697</v>
      </c>
    </row>
    <row r="17" spans="1:4" x14ac:dyDescent="0.25">
      <c r="A17" s="16">
        <v>16</v>
      </c>
      <c r="B17" s="33" t="s">
        <v>3</v>
      </c>
      <c r="C17" s="27" t="s">
        <v>710</v>
      </c>
      <c r="D17" s="27" t="s">
        <v>711</v>
      </c>
    </row>
    <row r="18" spans="1:4" x14ac:dyDescent="0.25">
      <c r="A18" s="16">
        <v>17</v>
      </c>
      <c r="B18" s="33" t="s">
        <v>3</v>
      </c>
      <c r="C18" s="27" t="s">
        <v>728</v>
      </c>
      <c r="D18" s="27" t="s">
        <v>729</v>
      </c>
    </row>
    <row r="19" spans="1:4" x14ac:dyDescent="0.25">
      <c r="A19" s="16">
        <v>18</v>
      </c>
      <c r="B19" s="6" t="s">
        <v>28</v>
      </c>
      <c r="C19" s="7" t="s">
        <v>29</v>
      </c>
      <c r="D19" s="7" t="s">
        <v>30</v>
      </c>
    </row>
    <row r="20" spans="1:4" x14ac:dyDescent="0.25">
      <c r="A20" s="16">
        <v>19</v>
      </c>
      <c r="B20" s="8" t="s">
        <v>4</v>
      </c>
      <c r="C20" s="5" t="s">
        <v>31</v>
      </c>
      <c r="D20" s="5" t="s">
        <v>32</v>
      </c>
    </row>
    <row r="21" spans="1:4" x14ac:dyDescent="0.25">
      <c r="A21" s="16">
        <v>20</v>
      </c>
      <c r="B21" s="8" t="s">
        <v>4</v>
      </c>
      <c r="C21" s="5" t="s">
        <v>33</v>
      </c>
      <c r="D21" s="5" t="s">
        <v>34</v>
      </c>
    </row>
    <row r="22" spans="1:4" x14ac:dyDescent="0.25">
      <c r="A22" s="16">
        <v>21</v>
      </c>
      <c r="B22" s="8" t="s">
        <v>4</v>
      </c>
      <c r="C22" s="5" t="s">
        <v>35</v>
      </c>
      <c r="D22" s="5" t="s">
        <v>36</v>
      </c>
    </row>
    <row r="23" spans="1:4" x14ac:dyDescent="0.25">
      <c r="A23" s="16">
        <v>22</v>
      </c>
      <c r="B23" s="8" t="s">
        <v>4</v>
      </c>
      <c r="C23" s="5" t="s">
        <v>37</v>
      </c>
      <c r="D23" s="5" t="s">
        <v>38</v>
      </c>
    </row>
    <row r="24" spans="1:4" x14ac:dyDescent="0.25">
      <c r="A24" s="16">
        <v>23</v>
      </c>
      <c r="B24" s="8" t="s">
        <v>4</v>
      </c>
      <c r="C24" s="5" t="s">
        <v>39</v>
      </c>
      <c r="D24" s="5" t="s">
        <v>40</v>
      </c>
    </row>
    <row r="25" spans="1:4" x14ac:dyDescent="0.25">
      <c r="A25" s="16">
        <v>24</v>
      </c>
      <c r="B25" s="8" t="s">
        <v>4</v>
      </c>
      <c r="C25" s="5" t="s">
        <v>41</v>
      </c>
      <c r="D25" s="5" t="s">
        <v>42</v>
      </c>
    </row>
    <row r="26" spans="1:4" x14ac:dyDescent="0.25">
      <c r="A26" s="16">
        <v>25</v>
      </c>
      <c r="B26" s="8" t="s">
        <v>4</v>
      </c>
      <c r="C26" s="5" t="s">
        <v>43</v>
      </c>
      <c r="D26" s="5" t="s">
        <v>44</v>
      </c>
    </row>
    <row r="27" spans="1:4" x14ac:dyDescent="0.25">
      <c r="A27" s="16">
        <v>26</v>
      </c>
      <c r="B27" s="8" t="s">
        <v>4</v>
      </c>
      <c r="C27" s="5" t="s">
        <v>45</v>
      </c>
      <c r="D27" s="5" t="s">
        <v>46</v>
      </c>
    </row>
    <row r="28" spans="1:4" x14ac:dyDescent="0.25">
      <c r="A28" s="16">
        <v>27</v>
      </c>
      <c r="B28" s="8" t="s">
        <v>4</v>
      </c>
      <c r="C28" s="5" t="s">
        <v>47</v>
      </c>
      <c r="D28" s="5" t="s">
        <v>48</v>
      </c>
    </row>
    <row r="29" spans="1:4" x14ac:dyDescent="0.25">
      <c r="A29" s="16">
        <v>28</v>
      </c>
      <c r="B29" s="8" t="s">
        <v>4</v>
      </c>
      <c r="C29" s="5" t="s">
        <v>49</v>
      </c>
      <c r="D29" s="5" t="s">
        <v>50</v>
      </c>
    </row>
    <row r="30" spans="1:4" x14ac:dyDescent="0.25">
      <c r="A30" s="16">
        <v>29</v>
      </c>
      <c r="B30" s="8" t="s">
        <v>4</v>
      </c>
      <c r="C30" s="5" t="s">
        <v>51</v>
      </c>
      <c r="D30" s="5" t="s">
        <v>52</v>
      </c>
    </row>
    <row r="31" spans="1:4" x14ac:dyDescent="0.25">
      <c r="A31" s="16">
        <v>30</v>
      </c>
      <c r="B31" s="8" t="s">
        <v>4</v>
      </c>
      <c r="C31" s="5" t="s">
        <v>53</v>
      </c>
      <c r="D31" s="5" t="s">
        <v>54</v>
      </c>
    </row>
    <row r="32" spans="1:4" x14ac:dyDescent="0.25">
      <c r="A32" s="16">
        <v>31</v>
      </c>
      <c r="B32" s="8" t="s">
        <v>4</v>
      </c>
      <c r="C32" s="5" t="s">
        <v>55</v>
      </c>
      <c r="D32" s="5" t="s">
        <v>56</v>
      </c>
    </row>
    <row r="33" spans="1:4" x14ac:dyDescent="0.25">
      <c r="A33" s="16">
        <v>32</v>
      </c>
      <c r="B33" s="8" t="s">
        <v>4</v>
      </c>
      <c r="C33" s="5" t="s">
        <v>57</v>
      </c>
      <c r="D33" s="5" t="s">
        <v>58</v>
      </c>
    </row>
    <row r="34" spans="1:4" x14ac:dyDescent="0.25">
      <c r="A34" s="16">
        <v>33</v>
      </c>
      <c r="B34" s="8" t="s">
        <v>4</v>
      </c>
      <c r="C34" s="5" t="s">
        <v>59</v>
      </c>
      <c r="D34" s="5" t="s">
        <v>60</v>
      </c>
    </row>
    <row r="35" spans="1:4" x14ac:dyDescent="0.25">
      <c r="A35" s="16">
        <v>34</v>
      </c>
      <c r="B35" s="8" t="s">
        <v>4</v>
      </c>
      <c r="C35" s="5" t="s">
        <v>61</v>
      </c>
      <c r="D35" s="5" t="s">
        <v>62</v>
      </c>
    </row>
    <row r="36" spans="1:4" x14ac:dyDescent="0.25">
      <c r="A36" s="16">
        <v>35</v>
      </c>
      <c r="B36" s="8" t="s">
        <v>4</v>
      </c>
      <c r="C36" s="5" t="s">
        <v>63</v>
      </c>
      <c r="D36" s="5" t="s">
        <v>64</v>
      </c>
    </row>
    <row r="37" spans="1:4" x14ac:dyDescent="0.25">
      <c r="A37" s="16">
        <v>36</v>
      </c>
      <c r="B37" s="8" t="s">
        <v>4</v>
      </c>
      <c r="C37" s="5" t="s">
        <v>65</v>
      </c>
      <c r="D37" s="5" t="s">
        <v>66</v>
      </c>
    </row>
    <row r="38" spans="1:4" x14ac:dyDescent="0.25">
      <c r="A38" s="16">
        <v>37</v>
      </c>
      <c r="B38" s="8" t="s">
        <v>4</v>
      </c>
      <c r="C38" s="5" t="s">
        <v>67</v>
      </c>
      <c r="D38" s="5" t="s">
        <v>68</v>
      </c>
    </row>
    <row r="39" spans="1:4" x14ac:dyDescent="0.25">
      <c r="A39" s="16">
        <v>38</v>
      </c>
      <c r="B39" s="8" t="s">
        <v>4</v>
      </c>
      <c r="C39" s="5" t="s">
        <v>69</v>
      </c>
      <c r="D39" s="5" t="s">
        <v>70</v>
      </c>
    </row>
    <row r="40" spans="1:4" x14ac:dyDescent="0.25">
      <c r="A40" s="16">
        <v>39</v>
      </c>
      <c r="B40" s="8" t="s">
        <v>4</v>
      </c>
      <c r="C40" s="5" t="s">
        <v>71</v>
      </c>
      <c r="D40" s="5" t="s">
        <v>72</v>
      </c>
    </row>
    <row r="41" spans="1:4" x14ac:dyDescent="0.25">
      <c r="A41" s="16">
        <v>40</v>
      </c>
      <c r="B41" s="8" t="s">
        <v>4</v>
      </c>
      <c r="C41" s="5" t="s">
        <v>73</v>
      </c>
      <c r="D41" s="5" t="s">
        <v>74</v>
      </c>
    </row>
    <row r="42" spans="1:4" x14ac:dyDescent="0.25">
      <c r="A42" s="16">
        <v>41</v>
      </c>
      <c r="B42" s="8" t="s">
        <v>4</v>
      </c>
      <c r="C42" s="5" t="s">
        <v>75</v>
      </c>
      <c r="D42" s="5" t="s">
        <v>76</v>
      </c>
    </row>
    <row r="43" spans="1:4" x14ac:dyDescent="0.25">
      <c r="A43" s="16">
        <v>42</v>
      </c>
      <c r="B43" s="8" t="s">
        <v>4</v>
      </c>
      <c r="C43" s="5" t="s">
        <v>77</v>
      </c>
      <c r="D43" s="5" t="s">
        <v>78</v>
      </c>
    </row>
    <row r="44" spans="1:4" x14ac:dyDescent="0.25">
      <c r="A44" s="16">
        <v>43</v>
      </c>
      <c r="B44" s="8" t="s">
        <v>4</v>
      </c>
      <c r="C44" s="5" t="s">
        <v>79</v>
      </c>
      <c r="D44" s="5" t="s">
        <v>80</v>
      </c>
    </row>
    <row r="45" spans="1:4" x14ac:dyDescent="0.25">
      <c r="A45" s="16">
        <v>44</v>
      </c>
      <c r="B45" s="8" t="s">
        <v>4</v>
      </c>
      <c r="C45" s="5" t="s">
        <v>81</v>
      </c>
      <c r="D45" s="5" t="s">
        <v>82</v>
      </c>
    </row>
    <row r="46" spans="1:4" x14ac:dyDescent="0.25">
      <c r="A46" s="16">
        <v>45</v>
      </c>
      <c r="B46" s="29" t="s">
        <v>4</v>
      </c>
      <c r="C46" s="27" t="s">
        <v>614</v>
      </c>
      <c r="D46" s="27" t="s">
        <v>615</v>
      </c>
    </row>
    <row r="47" spans="1:4" x14ac:dyDescent="0.25">
      <c r="A47" s="16">
        <v>46</v>
      </c>
      <c r="B47" s="9" t="s">
        <v>83</v>
      </c>
      <c r="C47" s="5" t="s">
        <v>84</v>
      </c>
      <c r="D47" s="27" t="s">
        <v>85</v>
      </c>
    </row>
    <row r="48" spans="1:4" x14ac:dyDescent="0.25">
      <c r="A48" s="16">
        <v>47</v>
      </c>
      <c r="B48" s="9" t="s">
        <v>83</v>
      </c>
      <c r="C48" s="5" t="s">
        <v>86</v>
      </c>
      <c r="D48" s="5" t="s">
        <v>87</v>
      </c>
    </row>
    <row r="49" spans="1:4" x14ac:dyDescent="0.25">
      <c r="A49" s="16">
        <v>48</v>
      </c>
      <c r="B49" s="9" t="s">
        <v>83</v>
      </c>
      <c r="C49" s="5" t="s">
        <v>88</v>
      </c>
      <c r="D49" s="5" t="s">
        <v>89</v>
      </c>
    </row>
    <row r="50" spans="1:4" x14ac:dyDescent="0.25">
      <c r="A50" s="16">
        <v>49</v>
      </c>
      <c r="B50" s="9" t="s">
        <v>83</v>
      </c>
      <c r="C50" s="5" t="s">
        <v>90</v>
      </c>
      <c r="D50" s="5" t="s">
        <v>91</v>
      </c>
    </row>
    <row r="51" spans="1:4" x14ac:dyDescent="0.25">
      <c r="A51" s="16">
        <v>50</v>
      </c>
      <c r="B51" s="9" t="s">
        <v>83</v>
      </c>
      <c r="C51" s="5" t="s">
        <v>92</v>
      </c>
      <c r="D51" s="5" t="s">
        <v>93</v>
      </c>
    </row>
    <row r="52" spans="1:4" x14ac:dyDescent="0.25">
      <c r="A52" s="16">
        <v>51</v>
      </c>
      <c r="B52" s="9" t="s">
        <v>83</v>
      </c>
      <c r="C52" s="5" t="s">
        <v>94</v>
      </c>
      <c r="D52" s="5" t="s">
        <v>95</v>
      </c>
    </row>
    <row r="53" spans="1:4" x14ac:dyDescent="0.25">
      <c r="A53" s="16">
        <v>52</v>
      </c>
      <c r="B53" s="9" t="s">
        <v>83</v>
      </c>
      <c r="C53" s="5" t="s">
        <v>96</v>
      </c>
      <c r="D53" s="5" t="s">
        <v>97</v>
      </c>
    </row>
    <row r="54" spans="1:4" x14ac:dyDescent="0.25">
      <c r="A54" s="16">
        <v>53</v>
      </c>
      <c r="B54" s="9" t="s">
        <v>83</v>
      </c>
      <c r="C54" s="5" t="s">
        <v>98</v>
      </c>
      <c r="D54" s="5" t="s">
        <v>99</v>
      </c>
    </row>
    <row r="55" spans="1:4" x14ac:dyDescent="0.25">
      <c r="A55" s="16">
        <v>54</v>
      </c>
      <c r="B55" s="9" t="s">
        <v>83</v>
      </c>
      <c r="C55" s="5" t="s">
        <v>100</v>
      </c>
      <c r="D55" s="5" t="s">
        <v>101</v>
      </c>
    </row>
    <row r="56" spans="1:4" x14ac:dyDescent="0.25">
      <c r="A56" s="16">
        <v>55</v>
      </c>
      <c r="B56" s="9" t="s">
        <v>83</v>
      </c>
      <c r="C56" s="5" t="s">
        <v>102</v>
      </c>
      <c r="D56" s="5" t="s">
        <v>103</v>
      </c>
    </row>
    <row r="57" spans="1:4" x14ac:dyDescent="0.25">
      <c r="A57" s="16">
        <v>56</v>
      </c>
      <c r="B57" s="9" t="s">
        <v>83</v>
      </c>
      <c r="C57" s="5" t="s">
        <v>104</v>
      </c>
      <c r="D57" s="5" t="s">
        <v>105</v>
      </c>
    </row>
    <row r="58" spans="1:4" x14ac:dyDescent="0.25">
      <c r="A58" s="16">
        <v>57</v>
      </c>
      <c r="B58" s="9" t="s">
        <v>83</v>
      </c>
      <c r="C58" s="5" t="s">
        <v>106</v>
      </c>
      <c r="D58" s="5" t="s">
        <v>107</v>
      </c>
    </row>
    <row r="59" spans="1:4" x14ac:dyDescent="0.25">
      <c r="A59" s="16">
        <v>58</v>
      </c>
      <c r="B59" s="9" t="s">
        <v>83</v>
      </c>
      <c r="C59" s="5" t="s">
        <v>108</v>
      </c>
      <c r="D59" s="5" t="s">
        <v>109</v>
      </c>
    </row>
    <row r="60" spans="1:4" x14ac:dyDescent="0.25">
      <c r="A60" s="16">
        <v>59</v>
      </c>
      <c r="B60" s="9" t="s">
        <v>83</v>
      </c>
      <c r="C60" s="5" t="s">
        <v>110</v>
      </c>
      <c r="D60" s="5" t="s">
        <v>111</v>
      </c>
    </row>
    <row r="61" spans="1:4" x14ac:dyDescent="0.25">
      <c r="A61" s="16">
        <v>60</v>
      </c>
      <c r="B61" s="9" t="s">
        <v>83</v>
      </c>
      <c r="C61" s="5" t="s">
        <v>112</v>
      </c>
      <c r="D61" s="5" t="s">
        <v>113</v>
      </c>
    </row>
    <row r="62" spans="1:4" x14ac:dyDescent="0.25">
      <c r="A62" s="16">
        <v>61</v>
      </c>
      <c r="B62" s="9" t="s">
        <v>83</v>
      </c>
      <c r="C62" s="5" t="s">
        <v>114</v>
      </c>
      <c r="D62" s="5" t="s">
        <v>115</v>
      </c>
    </row>
    <row r="63" spans="1:4" x14ac:dyDescent="0.25">
      <c r="A63" s="16">
        <v>62</v>
      </c>
      <c r="B63" s="9" t="s">
        <v>83</v>
      </c>
      <c r="C63" s="5" t="s">
        <v>116</v>
      </c>
      <c r="D63" s="5" t="s">
        <v>117</v>
      </c>
    </row>
    <row r="64" spans="1:4" x14ac:dyDescent="0.25">
      <c r="A64" s="16">
        <v>63</v>
      </c>
      <c r="B64" s="9" t="s">
        <v>83</v>
      </c>
      <c r="C64" s="5" t="s">
        <v>118</v>
      </c>
      <c r="D64" s="5" t="s">
        <v>119</v>
      </c>
    </row>
    <row r="65" spans="1:4" x14ac:dyDescent="0.25">
      <c r="A65" s="16">
        <v>64</v>
      </c>
      <c r="B65" s="9" t="s">
        <v>83</v>
      </c>
      <c r="C65" s="5" t="s">
        <v>120</v>
      </c>
      <c r="D65" s="5" t="s">
        <v>121</v>
      </c>
    </row>
    <row r="66" spans="1:4" x14ac:dyDescent="0.25">
      <c r="A66" s="16">
        <v>65</v>
      </c>
      <c r="B66" s="9" t="s">
        <v>83</v>
      </c>
      <c r="C66" s="5" t="s">
        <v>122</v>
      </c>
      <c r="D66" s="5" t="s">
        <v>123</v>
      </c>
    </row>
    <row r="67" spans="1:4" x14ac:dyDescent="0.25">
      <c r="A67" s="16">
        <v>66</v>
      </c>
      <c r="B67" s="9" t="s">
        <v>83</v>
      </c>
      <c r="C67" s="5" t="s">
        <v>124</v>
      </c>
      <c r="D67" s="5" t="s">
        <v>125</v>
      </c>
    </row>
    <row r="68" spans="1:4" x14ac:dyDescent="0.25">
      <c r="A68" s="16">
        <v>67</v>
      </c>
      <c r="B68" s="9" t="s">
        <v>83</v>
      </c>
      <c r="C68" s="5" t="s">
        <v>126</v>
      </c>
      <c r="D68" s="31" t="s">
        <v>127</v>
      </c>
    </row>
    <row r="69" spans="1:4" x14ac:dyDescent="0.25">
      <c r="A69" s="16">
        <v>68</v>
      </c>
      <c r="B69" s="9" t="s">
        <v>83</v>
      </c>
      <c r="C69" s="5" t="s">
        <v>128</v>
      </c>
      <c r="D69" s="5" t="s">
        <v>129</v>
      </c>
    </row>
    <row r="70" spans="1:4" x14ac:dyDescent="0.25">
      <c r="A70" s="16">
        <v>69</v>
      </c>
      <c r="B70" s="9" t="s">
        <v>83</v>
      </c>
      <c r="C70" s="5" t="s">
        <v>130</v>
      </c>
      <c r="D70" s="5" t="s">
        <v>131</v>
      </c>
    </row>
    <row r="71" spans="1:4" x14ac:dyDescent="0.25">
      <c r="A71" s="16">
        <v>70</v>
      </c>
      <c r="B71" s="9" t="s">
        <v>83</v>
      </c>
      <c r="C71" s="5" t="s">
        <v>132</v>
      </c>
      <c r="D71" s="5" t="s">
        <v>133</v>
      </c>
    </row>
    <row r="72" spans="1:4" x14ac:dyDescent="0.25">
      <c r="A72" s="16">
        <v>71</v>
      </c>
      <c r="B72" s="9" t="s">
        <v>83</v>
      </c>
      <c r="C72" s="5" t="s">
        <v>134</v>
      </c>
      <c r="D72" s="5" t="s">
        <v>135</v>
      </c>
    </row>
    <row r="73" spans="1:4" x14ac:dyDescent="0.25">
      <c r="A73" s="16">
        <v>72</v>
      </c>
      <c r="B73" s="9" t="s">
        <v>83</v>
      </c>
      <c r="C73" s="5" t="s">
        <v>136</v>
      </c>
      <c r="D73" s="5" t="s">
        <v>137</v>
      </c>
    </row>
    <row r="74" spans="1:4" x14ac:dyDescent="0.25">
      <c r="A74" s="16">
        <v>73</v>
      </c>
      <c r="B74" s="9" t="s">
        <v>83</v>
      </c>
      <c r="C74" s="5" t="s">
        <v>138</v>
      </c>
      <c r="D74" s="5" t="s">
        <v>139</v>
      </c>
    </row>
    <row r="75" spans="1:4" x14ac:dyDescent="0.25">
      <c r="A75" s="16">
        <v>74</v>
      </c>
      <c r="B75" s="9" t="s">
        <v>83</v>
      </c>
      <c r="C75" s="5" t="s">
        <v>140</v>
      </c>
      <c r="D75" s="5" t="s">
        <v>141</v>
      </c>
    </row>
    <row r="76" spans="1:4" x14ac:dyDescent="0.25">
      <c r="A76" s="16">
        <v>75</v>
      </c>
      <c r="B76" s="9" t="s">
        <v>83</v>
      </c>
      <c r="C76" s="5" t="s">
        <v>142</v>
      </c>
      <c r="D76" s="5" t="s">
        <v>143</v>
      </c>
    </row>
    <row r="77" spans="1:4" x14ac:dyDescent="0.25">
      <c r="A77" s="16">
        <v>76</v>
      </c>
      <c r="B77" s="9" t="s">
        <v>83</v>
      </c>
      <c r="C77" s="5" t="s">
        <v>144</v>
      </c>
      <c r="D77" s="5" t="s">
        <v>145</v>
      </c>
    </row>
    <row r="78" spans="1:4" x14ac:dyDescent="0.25">
      <c r="A78" s="16">
        <v>77</v>
      </c>
      <c r="B78" s="9" t="s">
        <v>83</v>
      </c>
      <c r="C78" s="5" t="s">
        <v>146</v>
      </c>
      <c r="D78" s="5" t="s">
        <v>147</v>
      </c>
    </row>
    <row r="79" spans="1:4" x14ac:dyDescent="0.25">
      <c r="A79" s="16">
        <v>78</v>
      </c>
      <c r="B79" s="9" t="s">
        <v>83</v>
      </c>
      <c r="C79" s="5" t="s">
        <v>148</v>
      </c>
      <c r="D79" s="5" t="s">
        <v>149</v>
      </c>
    </row>
    <row r="80" spans="1:4" x14ac:dyDescent="0.25">
      <c r="A80" s="16">
        <v>79</v>
      </c>
      <c r="B80" s="9" t="s">
        <v>83</v>
      </c>
      <c r="C80" s="5" t="s">
        <v>150</v>
      </c>
      <c r="D80" s="5" t="s">
        <v>151</v>
      </c>
    </row>
    <row r="81" spans="1:4" x14ac:dyDescent="0.25">
      <c r="A81" s="16">
        <v>80</v>
      </c>
      <c r="B81" s="9" t="s">
        <v>83</v>
      </c>
      <c r="C81" s="5" t="s">
        <v>152</v>
      </c>
      <c r="D81" s="5" t="s">
        <v>153</v>
      </c>
    </row>
    <row r="82" spans="1:4" x14ac:dyDescent="0.25">
      <c r="A82" s="16">
        <v>81</v>
      </c>
      <c r="B82" s="9" t="s">
        <v>83</v>
      </c>
      <c r="C82" s="5" t="s">
        <v>154</v>
      </c>
      <c r="D82" s="5" t="s">
        <v>155</v>
      </c>
    </row>
    <row r="83" spans="1:4" x14ac:dyDescent="0.25">
      <c r="A83" s="16">
        <v>82</v>
      </c>
      <c r="B83" s="9" t="s">
        <v>83</v>
      </c>
      <c r="C83" s="5" t="s">
        <v>156</v>
      </c>
      <c r="D83" s="5" t="s">
        <v>157</v>
      </c>
    </row>
    <row r="84" spans="1:4" x14ac:dyDescent="0.25">
      <c r="A84" s="16">
        <v>83</v>
      </c>
      <c r="B84" s="9" t="s">
        <v>83</v>
      </c>
      <c r="C84" s="5" t="s">
        <v>158</v>
      </c>
      <c r="D84" s="5" t="s">
        <v>159</v>
      </c>
    </row>
    <row r="85" spans="1:4" x14ac:dyDescent="0.25">
      <c r="A85" s="16">
        <v>84</v>
      </c>
      <c r="B85" s="9" t="s">
        <v>83</v>
      </c>
      <c r="C85" s="5" t="s">
        <v>160</v>
      </c>
      <c r="D85" s="5" t="s">
        <v>161</v>
      </c>
    </row>
    <row r="86" spans="1:4" x14ac:dyDescent="0.25">
      <c r="A86" s="16">
        <v>85</v>
      </c>
      <c r="B86" s="24" t="s">
        <v>83</v>
      </c>
      <c r="C86" s="20" t="s">
        <v>583</v>
      </c>
      <c r="D86" s="20" t="s">
        <v>584</v>
      </c>
    </row>
    <row r="87" spans="1:4" x14ac:dyDescent="0.25">
      <c r="A87" s="16">
        <v>86</v>
      </c>
      <c r="B87" s="28" t="s">
        <v>83</v>
      </c>
      <c r="C87" s="27" t="s">
        <v>612</v>
      </c>
      <c r="D87" s="27" t="s">
        <v>613</v>
      </c>
    </row>
    <row r="88" spans="1:4" x14ac:dyDescent="0.25">
      <c r="A88" s="16">
        <v>87</v>
      </c>
      <c r="B88" s="28" t="s">
        <v>83</v>
      </c>
      <c r="C88" s="27" t="s">
        <v>661</v>
      </c>
      <c r="D88" s="27" t="s">
        <v>662</v>
      </c>
    </row>
    <row r="89" spans="1:4" x14ac:dyDescent="0.25">
      <c r="A89" s="16">
        <v>88</v>
      </c>
      <c r="B89" s="28" t="s">
        <v>83</v>
      </c>
      <c r="C89" s="27" t="s">
        <v>722</v>
      </c>
      <c r="D89" s="27" t="s">
        <v>717</v>
      </c>
    </row>
    <row r="90" spans="1:4" x14ac:dyDescent="0.25">
      <c r="A90" s="16">
        <v>89</v>
      </c>
      <c r="B90" s="28" t="s">
        <v>83</v>
      </c>
      <c r="C90" s="27" t="s">
        <v>723</v>
      </c>
      <c r="D90" s="27" t="s">
        <v>718</v>
      </c>
    </row>
    <row r="91" spans="1:4" x14ac:dyDescent="0.25">
      <c r="A91" s="16">
        <v>90</v>
      </c>
      <c r="B91" s="28" t="s">
        <v>83</v>
      </c>
      <c r="C91" s="27" t="s">
        <v>724</v>
      </c>
      <c r="D91" s="27" t="s">
        <v>719</v>
      </c>
    </row>
    <row r="92" spans="1:4" x14ac:dyDescent="0.25">
      <c r="A92" s="16">
        <v>91</v>
      </c>
      <c r="B92" s="28" t="s">
        <v>83</v>
      </c>
      <c r="C92" s="27" t="s">
        <v>725</v>
      </c>
      <c r="D92" s="27" t="s">
        <v>716</v>
      </c>
    </row>
    <row r="93" spans="1:4" x14ac:dyDescent="0.25">
      <c r="A93" s="16">
        <v>92</v>
      </c>
      <c r="B93" s="6" t="s">
        <v>6</v>
      </c>
      <c r="C93" s="5" t="s">
        <v>162</v>
      </c>
      <c r="D93" s="31" t="s">
        <v>163</v>
      </c>
    </row>
    <row r="94" spans="1:4" x14ac:dyDescent="0.25">
      <c r="A94" s="16">
        <v>93</v>
      </c>
      <c r="B94" s="6" t="s">
        <v>6</v>
      </c>
      <c r="C94" s="5" t="s">
        <v>164</v>
      </c>
      <c r="D94" s="5" t="s">
        <v>165</v>
      </c>
    </row>
    <row r="95" spans="1:4" x14ac:dyDescent="0.25">
      <c r="A95" s="16">
        <v>94</v>
      </c>
      <c r="B95" s="6" t="s">
        <v>6</v>
      </c>
      <c r="C95" s="5" t="s">
        <v>166</v>
      </c>
      <c r="D95" s="5" t="s">
        <v>167</v>
      </c>
    </row>
    <row r="96" spans="1:4" x14ac:dyDescent="0.25">
      <c r="A96" s="16">
        <v>95</v>
      </c>
      <c r="B96" s="6" t="s">
        <v>6</v>
      </c>
      <c r="C96" s="5" t="s">
        <v>168</v>
      </c>
      <c r="D96" s="31" t="s">
        <v>169</v>
      </c>
    </row>
    <row r="97" spans="1:4" x14ac:dyDescent="0.25">
      <c r="A97" s="16">
        <v>96</v>
      </c>
      <c r="B97" s="6" t="s">
        <v>6</v>
      </c>
      <c r="C97" s="5" t="s">
        <v>170</v>
      </c>
      <c r="D97" s="31" t="s">
        <v>171</v>
      </c>
    </row>
    <row r="98" spans="1:4" x14ac:dyDescent="0.25">
      <c r="A98" s="16">
        <v>97</v>
      </c>
      <c r="B98" s="6" t="s">
        <v>6</v>
      </c>
      <c r="C98" s="5" t="s">
        <v>172</v>
      </c>
      <c r="D98" s="31" t="s">
        <v>173</v>
      </c>
    </row>
    <row r="99" spans="1:4" x14ac:dyDescent="0.25">
      <c r="A99" s="16">
        <v>98</v>
      </c>
      <c r="B99" s="6" t="s">
        <v>6</v>
      </c>
      <c r="C99" s="5" t="s">
        <v>174</v>
      </c>
      <c r="D99" s="31" t="s">
        <v>175</v>
      </c>
    </row>
    <row r="100" spans="1:4" x14ac:dyDescent="0.25">
      <c r="A100" s="16">
        <v>99</v>
      </c>
      <c r="B100" s="6" t="s">
        <v>6</v>
      </c>
      <c r="C100" s="5" t="s">
        <v>176</v>
      </c>
      <c r="D100" s="5" t="s">
        <v>177</v>
      </c>
    </row>
    <row r="101" spans="1:4" x14ac:dyDescent="0.25">
      <c r="A101" s="16">
        <v>100</v>
      </c>
      <c r="B101" s="6" t="s">
        <v>6</v>
      </c>
      <c r="C101" s="5" t="s">
        <v>178</v>
      </c>
      <c r="D101" s="5" t="s">
        <v>179</v>
      </c>
    </row>
    <row r="102" spans="1:4" x14ac:dyDescent="0.25">
      <c r="A102" s="16">
        <v>101</v>
      </c>
      <c r="B102" s="6" t="s">
        <v>6</v>
      </c>
      <c r="C102" s="5" t="s">
        <v>180</v>
      </c>
      <c r="D102" s="31" t="s">
        <v>181</v>
      </c>
    </row>
    <row r="103" spans="1:4" x14ac:dyDescent="0.25">
      <c r="A103" s="16">
        <v>102</v>
      </c>
      <c r="B103" s="6" t="s">
        <v>6</v>
      </c>
      <c r="C103" s="5" t="s">
        <v>182</v>
      </c>
      <c r="D103" s="5" t="s">
        <v>183</v>
      </c>
    </row>
    <row r="104" spans="1:4" x14ac:dyDescent="0.25">
      <c r="A104" s="16">
        <v>103</v>
      </c>
      <c r="B104" s="6" t="s">
        <v>6</v>
      </c>
      <c r="C104" s="5" t="s">
        <v>184</v>
      </c>
      <c r="D104" s="5" t="s">
        <v>185</v>
      </c>
    </row>
    <row r="105" spans="1:4" x14ac:dyDescent="0.25">
      <c r="A105" s="16">
        <v>104</v>
      </c>
      <c r="B105" s="6" t="s">
        <v>6</v>
      </c>
      <c r="C105" s="5" t="s">
        <v>186</v>
      </c>
      <c r="D105" s="31" t="s">
        <v>187</v>
      </c>
    </row>
    <row r="106" spans="1:4" x14ac:dyDescent="0.25">
      <c r="A106" s="16">
        <v>105</v>
      </c>
      <c r="B106" s="6" t="s">
        <v>6</v>
      </c>
      <c r="C106" s="5" t="s">
        <v>188</v>
      </c>
      <c r="D106" s="5" t="s">
        <v>189</v>
      </c>
    </row>
    <row r="107" spans="1:4" x14ac:dyDescent="0.25">
      <c r="A107" s="16">
        <v>106</v>
      </c>
      <c r="B107" s="6" t="s">
        <v>6</v>
      </c>
      <c r="C107" s="5" t="s">
        <v>190</v>
      </c>
      <c r="D107" s="5" t="s">
        <v>191</v>
      </c>
    </row>
    <row r="108" spans="1:4" x14ac:dyDescent="0.25">
      <c r="A108" s="16">
        <v>107</v>
      </c>
      <c r="B108" s="6" t="s">
        <v>6</v>
      </c>
      <c r="C108" s="5" t="s">
        <v>192</v>
      </c>
      <c r="D108" s="31" t="s">
        <v>193</v>
      </c>
    </row>
    <row r="109" spans="1:4" x14ac:dyDescent="0.25">
      <c r="A109" s="16">
        <v>108</v>
      </c>
      <c r="B109" s="6" t="s">
        <v>6</v>
      </c>
      <c r="C109" s="5" t="s">
        <v>194</v>
      </c>
      <c r="D109" s="31" t="s">
        <v>195</v>
      </c>
    </row>
    <row r="110" spans="1:4" x14ac:dyDescent="0.25">
      <c r="A110" s="16">
        <v>109</v>
      </c>
      <c r="B110" s="6" t="s">
        <v>6</v>
      </c>
      <c r="C110" s="5" t="s">
        <v>196</v>
      </c>
      <c r="D110" s="5" t="s">
        <v>197</v>
      </c>
    </row>
    <row r="111" spans="1:4" x14ac:dyDescent="0.25">
      <c r="A111" s="16">
        <v>110</v>
      </c>
      <c r="B111" s="6" t="s">
        <v>6</v>
      </c>
      <c r="C111" s="5" t="s">
        <v>198</v>
      </c>
      <c r="D111" s="5" t="s">
        <v>199</v>
      </c>
    </row>
    <row r="112" spans="1:4" x14ac:dyDescent="0.25">
      <c r="A112" s="16">
        <v>111</v>
      </c>
      <c r="B112" s="6" t="s">
        <v>6</v>
      </c>
      <c r="C112" s="5" t="s">
        <v>200</v>
      </c>
      <c r="D112" s="5" t="s">
        <v>201</v>
      </c>
    </row>
    <row r="113" spans="1:4" x14ac:dyDescent="0.25">
      <c r="A113" s="16">
        <v>112</v>
      </c>
      <c r="B113" s="6" t="s">
        <v>6</v>
      </c>
      <c r="C113" s="5" t="s">
        <v>202</v>
      </c>
      <c r="D113" s="5" t="s">
        <v>203</v>
      </c>
    </row>
    <row r="114" spans="1:4" x14ac:dyDescent="0.25">
      <c r="A114" s="16">
        <v>113</v>
      </c>
      <c r="B114" s="6" t="s">
        <v>6</v>
      </c>
      <c r="C114" s="5" t="s">
        <v>204</v>
      </c>
      <c r="D114" s="5" t="s">
        <v>205</v>
      </c>
    </row>
    <row r="115" spans="1:4" x14ac:dyDescent="0.25">
      <c r="A115" s="16">
        <v>114</v>
      </c>
      <c r="B115" s="6" t="s">
        <v>6</v>
      </c>
      <c r="C115" s="5" t="s">
        <v>206</v>
      </c>
      <c r="D115" s="5" t="s">
        <v>207</v>
      </c>
    </row>
    <row r="116" spans="1:4" x14ac:dyDescent="0.25">
      <c r="A116" s="16">
        <v>115</v>
      </c>
      <c r="B116" s="6" t="s">
        <v>6</v>
      </c>
      <c r="C116" s="5" t="s">
        <v>208</v>
      </c>
      <c r="D116" s="31" t="s">
        <v>209</v>
      </c>
    </row>
    <row r="117" spans="1:4" x14ac:dyDescent="0.25">
      <c r="A117" s="16">
        <v>116</v>
      </c>
      <c r="B117" s="6" t="s">
        <v>6</v>
      </c>
      <c r="C117" s="5" t="s">
        <v>210</v>
      </c>
      <c r="D117" s="5" t="s">
        <v>211</v>
      </c>
    </row>
    <row r="118" spans="1:4" x14ac:dyDescent="0.25">
      <c r="A118" s="16">
        <v>117</v>
      </c>
      <c r="B118" s="6" t="s">
        <v>6</v>
      </c>
      <c r="C118" s="5" t="s">
        <v>212</v>
      </c>
      <c r="D118" s="31" t="s">
        <v>213</v>
      </c>
    </row>
    <row r="119" spans="1:4" x14ac:dyDescent="0.25">
      <c r="A119" s="16">
        <v>118</v>
      </c>
      <c r="B119" s="6" t="s">
        <v>6</v>
      </c>
      <c r="C119" s="5" t="s">
        <v>214</v>
      </c>
      <c r="D119" s="5" t="s">
        <v>215</v>
      </c>
    </row>
    <row r="120" spans="1:4" x14ac:dyDescent="0.25">
      <c r="A120" s="16">
        <v>119</v>
      </c>
      <c r="B120" s="6" t="s">
        <v>6</v>
      </c>
      <c r="C120" s="5" t="s">
        <v>216</v>
      </c>
      <c r="D120" s="5" t="s">
        <v>217</v>
      </c>
    </row>
    <row r="121" spans="1:4" x14ac:dyDescent="0.25">
      <c r="A121" s="16">
        <v>120</v>
      </c>
      <c r="B121" s="6" t="s">
        <v>6</v>
      </c>
      <c r="C121" s="5" t="s">
        <v>218</v>
      </c>
      <c r="D121" s="5" t="s">
        <v>219</v>
      </c>
    </row>
    <row r="122" spans="1:4" x14ac:dyDescent="0.25">
      <c r="A122" s="16">
        <v>121</v>
      </c>
      <c r="B122" s="6" t="s">
        <v>6</v>
      </c>
      <c r="C122" s="5" t="s">
        <v>220</v>
      </c>
      <c r="D122" s="31" t="s">
        <v>221</v>
      </c>
    </row>
    <row r="123" spans="1:4" x14ac:dyDescent="0.25">
      <c r="A123" s="16">
        <v>122</v>
      </c>
      <c r="B123" s="6" t="s">
        <v>6</v>
      </c>
      <c r="C123" s="5" t="s">
        <v>222</v>
      </c>
      <c r="D123" s="31" t="s">
        <v>223</v>
      </c>
    </row>
    <row r="124" spans="1:4" x14ac:dyDescent="0.25">
      <c r="A124" s="16">
        <v>123</v>
      </c>
      <c r="B124" s="6" t="s">
        <v>6</v>
      </c>
      <c r="C124" s="5" t="s">
        <v>224</v>
      </c>
      <c r="D124" s="31" t="s">
        <v>225</v>
      </c>
    </row>
    <row r="125" spans="1:4" x14ac:dyDescent="0.25">
      <c r="A125" s="16">
        <v>124</v>
      </c>
      <c r="B125" s="10" t="s">
        <v>226</v>
      </c>
      <c r="C125" s="5" t="s">
        <v>227</v>
      </c>
      <c r="D125" s="5" t="s">
        <v>228</v>
      </c>
    </row>
    <row r="126" spans="1:4" x14ac:dyDescent="0.25">
      <c r="A126" s="16">
        <v>125</v>
      </c>
      <c r="B126" s="10" t="s">
        <v>226</v>
      </c>
      <c r="C126" s="5" t="s">
        <v>229</v>
      </c>
      <c r="D126" s="5" t="s">
        <v>230</v>
      </c>
    </row>
    <row r="127" spans="1:4" x14ac:dyDescent="0.25">
      <c r="A127" s="16">
        <v>126</v>
      </c>
      <c r="B127" s="10" t="s">
        <v>226</v>
      </c>
      <c r="C127" s="5" t="s">
        <v>231</v>
      </c>
      <c r="D127" s="5" t="s">
        <v>232</v>
      </c>
    </row>
    <row r="128" spans="1:4" x14ac:dyDescent="0.25">
      <c r="A128" s="16">
        <v>127</v>
      </c>
      <c r="B128" s="10" t="s">
        <v>226</v>
      </c>
      <c r="C128" s="5" t="s">
        <v>233</v>
      </c>
      <c r="D128" s="5" t="s">
        <v>234</v>
      </c>
    </row>
    <row r="129" spans="1:4" x14ac:dyDescent="0.25">
      <c r="A129" s="16">
        <v>128</v>
      </c>
      <c r="B129" s="10" t="s">
        <v>226</v>
      </c>
      <c r="C129" s="5" t="s">
        <v>235</v>
      </c>
      <c r="D129" s="5" t="s">
        <v>236</v>
      </c>
    </row>
    <row r="130" spans="1:4" x14ac:dyDescent="0.25">
      <c r="A130" s="16">
        <v>129</v>
      </c>
      <c r="B130" s="10" t="s">
        <v>226</v>
      </c>
      <c r="C130" s="5" t="s">
        <v>237</v>
      </c>
      <c r="D130" s="5" t="s">
        <v>238</v>
      </c>
    </row>
    <row r="131" spans="1:4" x14ac:dyDescent="0.25">
      <c r="A131" s="16">
        <v>130</v>
      </c>
      <c r="B131" s="10" t="s">
        <v>226</v>
      </c>
      <c r="C131" s="5" t="s">
        <v>239</v>
      </c>
      <c r="D131" s="5" t="s">
        <v>240</v>
      </c>
    </row>
    <row r="132" spans="1:4" x14ac:dyDescent="0.25">
      <c r="A132" s="16">
        <v>131</v>
      </c>
      <c r="B132" s="10" t="s">
        <v>226</v>
      </c>
      <c r="C132" s="5" t="s">
        <v>241</v>
      </c>
      <c r="D132" s="5" t="s">
        <v>242</v>
      </c>
    </row>
    <row r="133" spans="1:4" x14ac:dyDescent="0.25">
      <c r="A133" s="16">
        <v>132</v>
      </c>
      <c r="B133" s="10" t="s">
        <v>226</v>
      </c>
      <c r="C133" s="5" t="s">
        <v>243</v>
      </c>
      <c r="D133" s="5" t="s">
        <v>244</v>
      </c>
    </row>
    <row r="134" spans="1:4" x14ac:dyDescent="0.25">
      <c r="A134" s="16">
        <v>133</v>
      </c>
      <c r="B134" s="10" t="s">
        <v>226</v>
      </c>
      <c r="C134" s="5" t="s">
        <v>245</v>
      </c>
      <c r="D134" s="5" t="s">
        <v>246</v>
      </c>
    </row>
    <row r="135" spans="1:4" x14ac:dyDescent="0.25">
      <c r="A135" s="16">
        <v>134</v>
      </c>
      <c r="B135" s="11" t="s">
        <v>247</v>
      </c>
      <c r="C135" s="5" t="s">
        <v>248</v>
      </c>
      <c r="D135" s="5" t="s">
        <v>249</v>
      </c>
    </row>
    <row r="136" spans="1:4" x14ac:dyDescent="0.25">
      <c r="A136" s="16">
        <v>135</v>
      </c>
      <c r="B136" s="11" t="s">
        <v>247</v>
      </c>
      <c r="C136" s="5" t="s">
        <v>250</v>
      </c>
      <c r="D136" s="5" t="s">
        <v>251</v>
      </c>
    </row>
    <row r="137" spans="1:4" x14ac:dyDescent="0.25">
      <c r="A137" s="16">
        <v>136</v>
      </c>
      <c r="B137" s="11" t="s">
        <v>247</v>
      </c>
      <c r="C137" s="5" t="s">
        <v>252</v>
      </c>
      <c r="D137" s="5" t="s">
        <v>253</v>
      </c>
    </row>
    <row r="138" spans="1:4" x14ac:dyDescent="0.25">
      <c r="A138" s="16">
        <v>137</v>
      </c>
      <c r="B138" s="11" t="s">
        <v>247</v>
      </c>
      <c r="C138" s="5" t="s">
        <v>254</v>
      </c>
      <c r="D138" s="5" t="s">
        <v>255</v>
      </c>
    </row>
    <row r="139" spans="1:4" x14ac:dyDescent="0.25">
      <c r="A139" s="16">
        <v>138</v>
      </c>
      <c r="B139" s="11" t="s">
        <v>247</v>
      </c>
      <c r="C139" s="5" t="s">
        <v>256</v>
      </c>
      <c r="D139" s="5" t="s">
        <v>257</v>
      </c>
    </row>
    <row r="140" spans="1:4" x14ac:dyDescent="0.25">
      <c r="A140" s="16">
        <v>139</v>
      </c>
      <c r="B140" s="11" t="s">
        <v>247</v>
      </c>
      <c r="C140" s="5" t="s">
        <v>258</v>
      </c>
      <c r="D140" s="5" t="s">
        <v>259</v>
      </c>
    </row>
    <row r="141" spans="1:4" x14ac:dyDescent="0.25">
      <c r="A141" s="16">
        <v>140</v>
      </c>
      <c r="B141" s="11" t="s">
        <v>247</v>
      </c>
      <c r="C141" s="5" t="s">
        <v>260</v>
      </c>
      <c r="D141" s="5" t="s">
        <v>261</v>
      </c>
    </row>
    <row r="142" spans="1:4" x14ac:dyDescent="0.25">
      <c r="A142" s="16">
        <v>141</v>
      </c>
      <c r="B142" s="11" t="s">
        <v>247</v>
      </c>
      <c r="C142" s="5" t="s">
        <v>262</v>
      </c>
      <c r="D142" s="5" t="s">
        <v>263</v>
      </c>
    </row>
    <row r="143" spans="1:4" x14ac:dyDescent="0.25">
      <c r="A143" s="16">
        <v>142</v>
      </c>
      <c r="B143" s="11" t="s">
        <v>247</v>
      </c>
      <c r="C143" s="5" t="s">
        <v>635</v>
      </c>
      <c r="D143" s="5" t="s">
        <v>636</v>
      </c>
    </row>
    <row r="144" spans="1:4" x14ac:dyDescent="0.25">
      <c r="A144" s="16">
        <v>143</v>
      </c>
      <c r="B144" s="12" t="s">
        <v>16</v>
      </c>
      <c r="C144" s="5" t="s">
        <v>264</v>
      </c>
      <c r="D144" s="5" t="s">
        <v>265</v>
      </c>
    </row>
    <row r="145" spans="1:4" x14ac:dyDescent="0.25">
      <c r="A145" s="16">
        <v>144</v>
      </c>
      <c r="B145" s="12" t="s">
        <v>16</v>
      </c>
      <c r="C145" s="5" t="s">
        <v>266</v>
      </c>
      <c r="D145" s="5" t="s">
        <v>267</v>
      </c>
    </row>
    <row r="146" spans="1:4" x14ac:dyDescent="0.25">
      <c r="A146" s="16">
        <v>145</v>
      </c>
      <c r="B146" s="23" t="s">
        <v>16</v>
      </c>
      <c r="C146" s="20" t="s">
        <v>579</v>
      </c>
      <c r="D146" s="20" t="s">
        <v>580</v>
      </c>
    </row>
    <row r="147" spans="1:4" x14ac:dyDescent="0.25">
      <c r="A147" s="16">
        <v>146</v>
      </c>
      <c r="B147" s="23" t="s">
        <v>16</v>
      </c>
      <c r="C147" s="20" t="s">
        <v>600</v>
      </c>
      <c r="D147" s="20" t="s">
        <v>601</v>
      </c>
    </row>
    <row r="148" spans="1:4" x14ac:dyDescent="0.25">
      <c r="A148" s="16">
        <v>147</v>
      </c>
      <c r="B148" s="23" t="s">
        <v>16</v>
      </c>
      <c r="C148" s="20" t="s">
        <v>602</v>
      </c>
      <c r="D148" s="20" t="s">
        <v>603</v>
      </c>
    </row>
    <row r="149" spans="1:4" x14ac:dyDescent="0.25">
      <c r="A149" s="16">
        <v>148</v>
      </c>
      <c r="B149" s="23" t="s">
        <v>16</v>
      </c>
      <c r="C149" s="20" t="s">
        <v>604</v>
      </c>
      <c r="D149" s="20" t="s">
        <v>605</v>
      </c>
    </row>
    <row r="150" spans="1:4" x14ac:dyDescent="0.25">
      <c r="A150" s="16">
        <v>149</v>
      </c>
      <c r="B150" s="13" t="s">
        <v>14</v>
      </c>
      <c r="C150" s="5" t="s">
        <v>268</v>
      </c>
      <c r="D150" s="5" t="s">
        <v>269</v>
      </c>
    </row>
    <row r="151" spans="1:4" x14ac:dyDescent="0.25">
      <c r="A151" s="16">
        <v>150</v>
      </c>
      <c r="B151" s="13" t="s">
        <v>14</v>
      </c>
      <c r="C151" s="5" t="s">
        <v>270</v>
      </c>
      <c r="D151" s="5" t="s">
        <v>271</v>
      </c>
    </row>
    <row r="152" spans="1:4" x14ac:dyDescent="0.25">
      <c r="A152" s="16">
        <v>151</v>
      </c>
      <c r="B152" s="13" t="s">
        <v>14</v>
      </c>
      <c r="C152" s="5" t="s">
        <v>272</v>
      </c>
      <c r="D152" s="5" t="s">
        <v>273</v>
      </c>
    </row>
    <row r="153" spans="1:4" x14ac:dyDescent="0.25">
      <c r="A153" s="16">
        <v>152</v>
      </c>
      <c r="B153" s="13" t="s">
        <v>14</v>
      </c>
      <c r="C153" s="5" t="s">
        <v>274</v>
      </c>
      <c r="D153" s="5" t="s">
        <v>275</v>
      </c>
    </row>
    <row r="154" spans="1:4" x14ac:dyDescent="0.25">
      <c r="A154" s="16">
        <v>153</v>
      </c>
      <c r="B154" s="13" t="s">
        <v>14</v>
      </c>
      <c r="C154" s="5" t="s">
        <v>276</v>
      </c>
      <c r="D154" s="5" t="s">
        <v>277</v>
      </c>
    </row>
    <row r="155" spans="1:4" x14ac:dyDescent="0.25">
      <c r="A155" s="16">
        <v>154</v>
      </c>
      <c r="B155" s="13" t="s">
        <v>14</v>
      </c>
      <c r="C155" s="5" t="s">
        <v>278</v>
      </c>
      <c r="D155" s="5" t="s">
        <v>279</v>
      </c>
    </row>
    <row r="156" spans="1:4" x14ac:dyDescent="0.25">
      <c r="A156" s="16">
        <v>155</v>
      </c>
      <c r="B156" s="13" t="s">
        <v>14</v>
      </c>
      <c r="C156" s="5" t="s">
        <v>280</v>
      </c>
      <c r="D156" s="5" t="s">
        <v>281</v>
      </c>
    </row>
    <row r="157" spans="1:4" x14ac:dyDescent="0.25">
      <c r="A157" s="16">
        <v>156</v>
      </c>
      <c r="B157" s="13" t="s">
        <v>14</v>
      </c>
      <c r="C157" s="5" t="s">
        <v>282</v>
      </c>
      <c r="D157" s="5" t="s">
        <v>283</v>
      </c>
    </row>
    <row r="158" spans="1:4" x14ac:dyDescent="0.25">
      <c r="A158" s="16">
        <v>157</v>
      </c>
      <c r="B158" s="13" t="s">
        <v>14</v>
      </c>
      <c r="C158" s="5" t="s">
        <v>284</v>
      </c>
      <c r="D158" s="5" t="s">
        <v>285</v>
      </c>
    </row>
    <row r="159" spans="1:4" x14ac:dyDescent="0.25">
      <c r="A159" s="16">
        <v>158</v>
      </c>
      <c r="B159" s="13" t="s">
        <v>14</v>
      </c>
      <c r="C159" s="5" t="s">
        <v>286</v>
      </c>
      <c r="D159" s="5" t="s">
        <v>287</v>
      </c>
    </row>
    <row r="160" spans="1:4" x14ac:dyDescent="0.25">
      <c r="A160" s="16">
        <v>159</v>
      </c>
      <c r="B160" s="13" t="s">
        <v>14</v>
      </c>
      <c r="C160" s="5" t="s">
        <v>288</v>
      </c>
      <c r="D160" s="5" t="s">
        <v>289</v>
      </c>
    </row>
    <row r="161" spans="1:4" x14ac:dyDescent="0.25">
      <c r="A161" s="16">
        <v>160</v>
      </c>
      <c r="B161" s="13" t="s">
        <v>14</v>
      </c>
      <c r="C161" s="5" t="s">
        <v>290</v>
      </c>
      <c r="D161" s="5" t="s">
        <v>291</v>
      </c>
    </row>
    <row r="162" spans="1:4" x14ac:dyDescent="0.25">
      <c r="A162" s="16">
        <v>161</v>
      </c>
      <c r="B162" s="13" t="s">
        <v>14</v>
      </c>
      <c r="C162" s="5" t="s">
        <v>292</v>
      </c>
      <c r="D162" s="5" t="s">
        <v>293</v>
      </c>
    </row>
    <row r="163" spans="1:4" x14ac:dyDescent="0.25">
      <c r="A163" s="16">
        <v>162</v>
      </c>
      <c r="B163" s="13" t="s">
        <v>14</v>
      </c>
      <c r="C163" s="5" t="s">
        <v>294</v>
      </c>
      <c r="D163" s="5" t="s">
        <v>295</v>
      </c>
    </row>
    <row r="164" spans="1:4" x14ac:dyDescent="0.25">
      <c r="A164" s="16">
        <v>163</v>
      </c>
      <c r="B164" s="13" t="s">
        <v>14</v>
      </c>
      <c r="C164" s="5" t="s">
        <v>126</v>
      </c>
      <c r="D164" s="5" t="s">
        <v>296</v>
      </c>
    </row>
    <row r="165" spans="1:4" x14ac:dyDescent="0.25">
      <c r="A165" s="16">
        <v>164</v>
      </c>
      <c r="B165" s="13" t="s">
        <v>14</v>
      </c>
      <c r="C165" s="5" t="s">
        <v>297</v>
      </c>
      <c r="D165" s="5" t="s">
        <v>298</v>
      </c>
    </row>
    <row r="166" spans="1:4" x14ac:dyDescent="0.25">
      <c r="A166" s="16">
        <v>165</v>
      </c>
      <c r="B166" s="13" t="s">
        <v>14</v>
      </c>
      <c r="C166" s="5" t="s">
        <v>136</v>
      </c>
      <c r="D166" s="5" t="s">
        <v>299</v>
      </c>
    </row>
    <row r="167" spans="1:4" x14ac:dyDescent="0.25">
      <c r="A167" s="16">
        <v>166</v>
      </c>
      <c r="B167" s="13" t="s">
        <v>14</v>
      </c>
      <c r="C167" s="5" t="s">
        <v>300</v>
      </c>
      <c r="D167" s="5" t="s">
        <v>301</v>
      </c>
    </row>
    <row r="168" spans="1:4" x14ac:dyDescent="0.25">
      <c r="A168" s="16">
        <v>167</v>
      </c>
      <c r="B168" s="13" t="s">
        <v>14</v>
      </c>
      <c r="C168" s="5" t="s">
        <v>302</v>
      </c>
      <c r="D168" s="5" t="s">
        <v>303</v>
      </c>
    </row>
    <row r="169" spans="1:4" x14ac:dyDescent="0.25">
      <c r="A169" s="16">
        <v>168</v>
      </c>
      <c r="B169" s="13" t="s">
        <v>14</v>
      </c>
      <c r="C169" s="5" t="s">
        <v>304</v>
      </c>
      <c r="D169" s="5" t="s">
        <v>305</v>
      </c>
    </row>
    <row r="170" spans="1:4" x14ac:dyDescent="0.25">
      <c r="A170" s="16">
        <v>169</v>
      </c>
      <c r="B170" s="21" t="s">
        <v>14</v>
      </c>
      <c r="C170" s="20" t="s">
        <v>610</v>
      </c>
      <c r="D170" s="20" t="s">
        <v>611</v>
      </c>
    </row>
    <row r="171" spans="1:4" x14ac:dyDescent="0.25">
      <c r="A171" s="16">
        <v>170</v>
      </c>
      <c r="B171" s="21" t="s">
        <v>14</v>
      </c>
      <c r="C171" s="5" t="s">
        <v>653</v>
      </c>
      <c r="D171" s="20" t="s">
        <v>654</v>
      </c>
    </row>
    <row r="172" spans="1:4" x14ac:dyDescent="0.25">
      <c r="A172" s="16">
        <v>171</v>
      </c>
      <c r="B172" s="21" t="s">
        <v>14</v>
      </c>
      <c r="C172" s="20" t="s">
        <v>690</v>
      </c>
      <c r="D172" s="20" t="s">
        <v>691</v>
      </c>
    </row>
    <row r="173" spans="1:4" x14ac:dyDescent="0.25">
      <c r="A173" s="16">
        <v>172</v>
      </c>
      <c r="B173" s="21" t="s">
        <v>14</v>
      </c>
      <c r="C173" s="20" t="s">
        <v>726</v>
      </c>
      <c r="D173" s="20" t="s">
        <v>720</v>
      </c>
    </row>
    <row r="174" spans="1:4" x14ac:dyDescent="0.25">
      <c r="A174" s="16">
        <v>173</v>
      </c>
      <c r="B174" s="21" t="s">
        <v>14</v>
      </c>
      <c r="C174" s="20" t="s">
        <v>727</v>
      </c>
      <c r="D174" s="20" t="s">
        <v>721</v>
      </c>
    </row>
    <row r="175" spans="1:4" x14ac:dyDescent="0.25">
      <c r="A175" s="16">
        <v>174</v>
      </c>
      <c r="B175" s="14" t="s">
        <v>306</v>
      </c>
      <c r="C175" s="5" t="s">
        <v>307</v>
      </c>
      <c r="D175" s="5" t="s">
        <v>308</v>
      </c>
    </row>
    <row r="176" spans="1:4" x14ac:dyDescent="0.25">
      <c r="A176" s="16">
        <v>175</v>
      </c>
      <c r="B176" s="14" t="s">
        <v>306</v>
      </c>
      <c r="C176" s="5" t="s">
        <v>309</v>
      </c>
      <c r="D176" s="5" t="s">
        <v>310</v>
      </c>
    </row>
    <row r="177" spans="1:4" x14ac:dyDescent="0.25">
      <c r="A177" s="16">
        <v>176</v>
      </c>
      <c r="B177" s="14" t="s">
        <v>306</v>
      </c>
      <c r="C177" s="5" t="s">
        <v>311</v>
      </c>
      <c r="D177" s="5" t="s">
        <v>312</v>
      </c>
    </row>
    <row r="178" spans="1:4" x14ac:dyDescent="0.25">
      <c r="A178" s="16">
        <v>177</v>
      </c>
      <c r="B178" s="14" t="s">
        <v>306</v>
      </c>
      <c r="C178" s="5" t="s">
        <v>313</v>
      </c>
      <c r="D178" s="5" t="s">
        <v>314</v>
      </c>
    </row>
    <row r="179" spans="1:4" x14ac:dyDescent="0.25">
      <c r="A179" s="16">
        <v>178</v>
      </c>
      <c r="B179" s="14" t="s">
        <v>306</v>
      </c>
      <c r="C179" s="5" t="s">
        <v>315</v>
      </c>
      <c r="D179" s="5" t="s">
        <v>316</v>
      </c>
    </row>
    <row r="180" spans="1:4" x14ac:dyDescent="0.25">
      <c r="A180" s="16">
        <v>179</v>
      </c>
      <c r="B180" s="14" t="s">
        <v>306</v>
      </c>
      <c r="C180" s="5" t="s">
        <v>317</v>
      </c>
      <c r="D180" s="5" t="s">
        <v>318</v>
      </c>
    </row>
    <row r="181" spans="1:4" x14ac:dyDescent="0.25">
      <c r="A181" s="16">
        <v>180</v>
      </c>
      <c r="B181" s="14" t="s">
        <v>306</v>
      </c>
      <c r="C181" s="5" t="s">
        <v>319</v>
      </c>
      <c r="D181" s="5" t="s">
        <v>320</v>
      </c>
    </row>
    <row r="182" spans="1:4" x14ac:dyDescent="0.25">
      <c r="A182" s="16">
        <v>181</v>
      </c>
      <c r="B182" s="14" t="s">
        <v>306</v>
      </c>
      <c r="C182" s="5" t="s">
        <v>321</v>
      </c>
      <c r="D182" s="5" t="s">
        <v>322</v>
      </c>
    </row>
    <row r="183" spans="1:4" x14ac:dyDescent="0.25">
      <c r="A183" s="16">
        <v>182</v>
      </c>
      <c r="B183" s="22" t="s">
        <v>306</v>
      </c>
      <c r="C183" s="20" t="s">
        <v>577</v>
      </c>
      <c r="D183" s="20" t="s">
        <v>578</v>
      </c>
    </row>
    <row r="184" spans="1:4" x14ac:dyDescent="0.25">
      <c r="A184" s="16">
        <v>183</v>
      </c>
      <c r="B184" s="22" t="s">
        <v>306</v>
      </c>
      <c r="C184" s="20" t="s">
        <v>606</v>
      </c>
      <c r="D184" s="20" t="s">
        <v>607</v>
      </c>
    </row>
    <row r="185" spans="1:4" x14ac:dyDescent="0.25">
      <c r="A185" s="16">
        <v>184</v>
      </c>
      <c r="B185" s="22" t="s">
        <v>306</v>
      </c>
      <c r="C185" s="20" t="s">
        <v>622</v>
      </c>
      <c r="D185" s="20" t="s">
        <v>623</v>
      </c>
    </row>
    <row r="186" spans="1:4" x14ac:dyDescent="0.25">
      <c r="A186" s="16">
        <v>185</v>
      </c>
      <c r="B186" s="15" t="s">
        <v>26</v>
      </c>
      <c r="C186" s="5" t="s">
        <v>323</v>
      </c>
      <c r="D186" s="5" t="s">
        <v>324</v>
      </c>
    </row>
    <row r="187" spans="1:4" x14ac:dyDescent="0.25">
      <c r="A187" s="16">
        <v>186</v>
      </c>
      <c r="B187" s="15" t="s">
        <v>26</v>
      </c>
      <c r="C187" s="5" t="s">
        <v>325</v>
      </c>
      <c r="D187" s="5" t="s">
        <v>326</v>
      </c>
    </row>
    <row r="188" spans="1:4" x14ac:dyDescent="0.25">
      <c r="A188" s="16">
        <v>187</v>
      </c>
      <c r="B188" s="15" t="s">
        <v>26</v>
      </c>
      <c r="C188" s="5" t="s">
        <v>327</v>
      </c>
      <c r="D188" s="5" t="s">
        <v>328</v>
      </c>
    </row>
    <row r="189" spans="1:4" x14ac:dyDescent="0.25">
      <c r="A189" s="16">
        <v>188</v>
      </c>
      <c r="B189" s="15" t="s">
        <v>26</v>
      </c>
      <c r="C189" s="5" t="s">
        <v>329</v>
      </c>
      <c r="D189" s="5" t="s">
        <v>330</v>
      </c>
    </row>
    <row r="190" spans="1:4" x14ac:dyDescent="0.25">
      <c r="A190" s="16">
        <v>189</v>
      </c>
      <c r="B190" s="21" t="s">
        <v>345</v>
      </c>
      <c r="C190" s="20" t="s">
        <v>573</v>
      </c>
      <c r="D190" s="20" t="s">
        <v>574</v>
      </c>
    </row>
    <row r="191" spans="1:4" x14ac:dyDescent="0.25">
      <c r="A191" s="16">
        <v>190</v>
      </c>
      <c r="B191" s="21" t="s">
        <v>345</v>
      </c>
      <c r="C191" s="20" t="s">
        <v>575</v>
      </c>
      <c r="D191" s="20" t="s">
        <v>576</v>
      </c>
    </row>
    <row r="192" spans="1:4" x14ac:dyDescent="0.25">
      <c r="A192" s="16">
        <v>191</v>
      </c>
      <c r="B192" s="21" t="s">
        <v>345</v>
      </c>
      <c r="C192" s="20" t="s">
        <v>585</v>
      </c>
      <c r="D192" s="20" t="s">
        <v>586</v>
      </c>
    </row>
    <row r="193" spans="1:4" x14ac:dyDescent="0.25">
      <c r="A193" s="16">
        <v>192</v>
      </c>
      <c r="B193" s="21" t="s">
        <v>345</v>
      </c>
      <c r="C193" s="20" t="s">
        <v>587</v>
      </c>
      <c r="D193" s="20" t="s">
        <v>588</v>
      </c>
    </row>
    <row r="194" spans="1:4" x14ac:dyDescent="0.25">
      <c r="A194" s="16">
        <v>193</v>
      </c>
      <c r="B194" s="21" t="s">
        <v>345</v>
      </c>
      <c r="C194" s="20" t="s">
        <v>581</v>
      </c>
      <c r="D194" s="20" t="s">
        <v>582</v>
      </c>
    </row>
    <row r="195" spans="1:4" x14ac:dyDescent="0.25">
      <c r="A195" s="16">
        <v>194</v>
      </c>
      <c r="B195" s="21" t="s">
        <v>345</v>
      </c>
      <c r="C195" s="20" t="s">
        <v>589</v>
      </c>
      <c r="D195" s="20" t="s">
        <v>590</v>
      </c>
    </row>
    <row r="196" spans="1:4" x14ac:dyDescent="0.25">
      <c r="A196" s="16">
        <v>195</v>
      </c>
      <c r="B196" s="21" t="s">
        <v>345</v>
      </c>
      <c r="C196" s="20" t="s">
        <v>268</v>
      </c>
      <c r="D196" s="20" t="s">
        <v>591</v>
      </c>
    </row>
    <row r="197" spans="1:4" x14ac:dyDescent="0.25">
      <c r="A197" s="16">
        <v>196</v>
      </c>
      <c r="B197" s="21" t="s">
        <v>345</v>
      </c>
      <c r="C197" s="20" t="s">
        <v>592</v>
      </c>
      <c r="D197" s="20" t="s">
        <v>593</v>
      </c>
    </row>
    <row r="198" spans="1:4" x14ac:dyDescent="0.25">
      <c r="A198" s="16">
        <v>197</v>
      </c>
      <c r="B198" s="21" t="s">
        <v>345</v>
      </c>
      <c r="C198" s="20" t="s">
        <v>594</v>
      </c>
      <c r="D198" s="20" t="s">
        <v>595</v>
      </c>
    </row>
    <row r="199" spans="1:4" x14ac:dyDescent="0.25">
      <c r="A199" s="16">
        <v>198</v>
      </c>
      <c r="B199" s="21" t="s">
        <v>345</v>
      </c>
      <c r="C199" s="20" t="s">
        <v>596</v>
      </c>
      <c r="D199" s="20" t="s">
        <v>597</v>
      </c>
    </row>
    <row r="200" spans="1:4" x14ac:dyDescent="0.25">
      <c r="A200" s="16">
        <v>199</v>
      </c>
      <c r="B200" s="21" t="s">
        <v>345</v>
      </c>
      <c r="C200" s="20" t="s">
        <v>598</v>
      </c>
      <c r="D200" s="20" t="s">
        <v>599</v>
      </c>
    </row>
    <row r="201" spans="1:4" x14ac:dyDescent="0.25">
      <c r="A201" s="16">
        <v>200</v>
      </c>
      <c r="B201" s="26" t="s">
        <v>345</v>
      </c>
      <c r="C201" s="27" t="s">
        <v>616</v>
      </c>
      <c r="D201" s="27" t="s">
        <v>617</v>
      </c>
    </row>
    <row r="202" spans="1:4" x14ac:dyDescent="0.25">
      <c r="A202" s="16">
        <v>201</v>
      </c>
      <c r="B202" s="26" t="s">
        <v>345</v>
      </c>
      <c r="C202" s="27" t="s">
        <v>618</v>
      </c>
      <c r="D202" s="27" t="s">
        <v>619</v>
      </c>
    </row>
    <row r="203" spans="1:4" x14ac:dyDescent="0.25">
      <c r="A203" s="16">
        <v>202</v>
      </c>
      <c r="B203" s="26" t="s">
        <v>345</v>
      </c>
      <c r="C203" s="27" t="s">
        <v>620</v>
      </c>
      <c r="D203" s="27" t="s">
        <v>621</v>
      </c>
    </row>
    <row r="204" spans="1:4" x14ac:dyDescent="0.25">
      <c r="A204" s="32">
        <v>203</v>
      </c>
      <c r="B204" s="21" t="s">
        <v>345</v>
      </c>
      <c r="C204" s="20" t="s">
        <v>694</v>
      </c>
      <c r="D204" s="20" t="s">
        <v>695</v>
      </c>
    </row>
    <row r="205" spans="1:4" x14ac:dyDescent="0.25">
      <c r="A205" s="16">
        <v>204</v>
      </c>
      <c r="B205" s="21" t="s">
        <v>10</v>
      </c>
      <c r="C205" s="20" t="s">
        <v>608</v>
      </c>
      <c r="D205" s="20" t="s">
        <v>609</v>
      </c>
    </row>
    <row r="206" spans="1:4" x14ac:dyDescent="0.25">
      <c r="A206" s="16">
        <v>205</v>
      </c>
      <c r="B206" s="21" t="s">
        <v>10</v>
      </c>
      <c r="C206" s="20" t="s">
        <v>651</v>
      </c>
      <c r="D206" s="20" t="s">
        <v>652</v>
      </c>
    </row>
    <row r="207" spans="1:4" x14ac:dyDescent="0.25">
      <c r="A207" s="16">
        <v>206</v>
      </c>
      <c r="B207" s="21" t="s">
        <v>10</v>
      </c>
      <c r="C207" s="20" t="s">
        <v>663</v>
      </c>
      <c r="D207" s="20" t="s">
        <v>664</v>
      </c>
    </row>
    <row r="208" spans="1:4" x14ac:dyDescent="0.25">
      <c r="A208" s="16">
        <v>207</v>
      </c>
      <c r="B208" s="21" t="s">
        <v>10</v>
      </c>
      <c r="C208" s="20" t="s">
        <v>665</v>
      </c>
      <c r="D208" s="20" t="s">
        <v>666</v>
      </c>
    </row>
    <row r="209" spans="1:4" x14ac:dyDescent="0.25">
      <c r="A209" s="16">
        <v>208</v>
      </c>
      <c r="B209" s="21" t="s">
        <v>10</v>
      </c>
      <c r="C209" s="20" t="s">
        <v>667</v>
      </c>
      <c r="D209" s="20" t="s">
        <v>668</v>
      </c>
    </row>
    <row r="210" spans="1:4" x14ac:dyDescent="0.25">
      <c r="A210" s="16">
        <v>209</v>
      </c>
      <c r="B210" s="21" t="s">
        <v>10</v>
      </c>
      <c r="C210" s="20" t="s">
        <v>669</v>
      </c>
      <c r="D210" s="20" t="s">
        <v>670</v>
      </c>
    </row>
    <row r="211" spans="1:4" x14ac:dyDescent="0.25">
      <c r="A211" s="16">
        <v>210</v>
      </c>
      <c r="B211" s="21" t="s">
        <v>10</v>
      </c>
      <c r="C211" s="20" t="s">
        <v>671</v>
      </c>
      <c r="D211" s="20" t="s">
        <v>672</v>
      </c>
    </row>
    <row r="212" spans="1:4" x14ac:dyDescent="0.25">
      <c r="A212" s="16">
        <v>211</v>
      </c>
      <c r="B212" s="21" t="s">
        <v>10</v>
      </c>
      <c r="C212" s="20" t="s">
        <v>673</v>
      </c>
      <c r="D212" s="20" t="s">
        <v>674</v>
      </c>
    </row>
    <row r="213" spans="1:4" x14ac:dyDescent="0.25">
      <c r="A213" s="16">
        <v>212</v>
      </c>
      <c r="B213" s="21" t="s">
        <v>10</v>
      </c>
      <c r="C213" s="20" t="s">
        <v>675</v>
      </c>
      <c r="D213" s="20" t="s">
        <v>676</v>
      </c>
    </row>
    <row r="214" spans="1:4" x14ac:dyDescent="0.25">
      <c r="A214" s="16">
        <v>213</v>
      </c>
      <c r="B214" s="21" t="s">
        <v>10</v>
      </c>
      <c r="C214" s="20" t="s">
        <v>677</v>
      </c>
      <c r="D214" s="20" t="s">
        <v>678</v>
      </c>
    </row>
    <row r="215" spans="1:4" x14ac:dyDescent="0.25">
      <c r="A215" s="16">
        <v>214</v>
      </c>
      <c r="B215" s="21" t="s">
        <v>10</v>
      </c>
      <c r="C215" s="20" t="s">
        <v>679</v>
      </c>
      <c r="D215" s="20" t="s">
        <v>680</v>
      </c>
    </row>
    <row r="216" spans="1:4" x14ac:dyDescent="0.25">
      <c r="A216" s="16">
        <v>215</v>
      </c>
      <c r="B216" s="21" t="s">
        <v>10</v>
      </c>
      <c r="C216" s="20" t="s">
        <v>681</v>
      </c>
      <c r="D216" s="20" t="s">
        <v>682</v>
      </c>
    </row>
    <row r="217" spans="1:4" x14ac:dyDescent="0.25">
      <c r="A217" s="16">
        <v>216</v>
      </c>
      <c r="B217" s="21" t="s">
        <v>10</v>
      </c>
      <c r="C217" s="20" t="s">
        <v>683</v>
      </c>
      <c r="D217" s="20" t="s">
        <v>684</v>
      </c>
    </row>
    <row r="218" spans="1:4" x14ac:dyDescent="0.25">
      <c r="A218" s="16">
        <v>217</v>
      </c>
      <c r="B218" s="21" t="s">
        <v>10</v>
      </c>
      <c r="C218" s="20" t="s">
        <v>685</v>
      </c>
      <c r="D218" s="20" t="s">
        <v>686</v>
      </c>
    </row>
    <row r="219" spans="1:4" x14ac:dyDescent="0.25">
      <c r="A219" s="16">
        <v>218</v>
      </c>
      <c r="B219" s="21" t="s">
        <v>10</v>
      </c>
      <c r="C219" s="20" t="s">
        <v>687</v>
      </c>
      <c r="D219" s="20" t="s">
        <v>688</v>
      </c>
    </row>
    <row r="220" spans="1:4" x14ac:dyDescent="0.25">
      <c r="A220" s="16">
        <v>219</v>
      </c>
      <c r="B220" s="21" t="s">
        <v>10</v>
      </c>
      <c r="C220" s="20" t="s">
        <v>706</v>
      </c>
      <c r="D220" s="20" t="s">
        <v>707</v>
      </c>
    </row>
    <row r="221" spans="1:4" x14ac:dyDescent="0.25">
      <c r="B221" s="1" t="s">
        <v>331</v>
      </c>
      <c r="C221" s="2" t="s">
        <v>332</v>
      </c>
      <c r="D221" s="2" t="s">
        <v>333</v>
      </c>
    </row>
    <row r="222" spans="1:4" x14ac:dyDescent="0.25">
      <c r="B222" s="15" t="s">
        <v>3</v>
      </c>
      <c r="C222" s="16">
        <f>COUNTIF(B$2:B$220,"Hubs")</f>
        <v>17</v>
      </c>
      <c r="D222" s="5" t="s">
        <v>730</v>
      </c>
    </row>
    <row r="223" spans="1:4" x14ac:dyDescent="0.25">
      <c r="B223" s="15" t="s">
        <v>28</v>
      </c>
      <c r="C223" s="16">
        <f>COUNTIF(B$2:B$220,"MCP")</f>
        <v>1</v>
      </c>
      <c r="D223" s="5" t="s">
        <v>731</v>
      </c>
    </row>
    <row r="224" spans="1:4" x14ac:dyDescent="0.25">
      <c r="B224" s="15" t="s">
        <v>4</v>
      </c>
      <c r="C224" s="16">
        <f>COUNTIF(B$2:B$220,"Ella's Corner")</f>
        <v>27</v>
      </c>
      <c r="D224" s="5" t="s">
        <v>732</v>
      </c>
    </row>
    <row r="225" spans="2:4" x14ac:dyDescent="0.25">
      <c r="B225" s="15" t="s">
        <v>83</v>
      </c>
      <c r="C225" s="16">
        <f>COUNTIF(B$2:B$220,"Science Hub")</f>
        <v>46</v>
      </c>
      <c r="D225" s="5" t="s">
        <v>733</v>
      </c>
    </row>
    <row r="226" spans="2:4" x14ac:dyDescent="0.25">
      <c r="B226" s="15" t="s">
        <v>6</v>
      </c>
      <c r="C226" s="16">
        <f>COUNTIF(B$2:B$220,"Trail Logs")</f>
        <v>32</v>
      </c>
      <c r="D226" s="5" t="s">
        <v>734</v>
      </c>
    </row>
    <row r="227" spans="2:4" x14ac:dyDescent="0.25">
      <c r="B227" s="15" t="s">
        <v>226</v>
      </c>
      <c r="C227" s="16">
        <f>COUNTIF(B$2:B$220,"Gear Hub")</f>
        <v>10</v>
      </c>
      <c r="D227" s="5" t="s">
        <v>735</v>
      </c>
    </row>
    <row r="228" spans="2:4" x14ac:dyDescent="0.25">
      <c r="B228" s="15" t="s">
        <v>247</v>
      </c>
      <c r="C228" s="16">
        <f>COUNTIF(B$2:B$220,"Nutrition Hub")</f>
        <v>9</v>
      </c>
      <c r="D228" s="5" t="s">
        <v>736</v>
      </c>
    </row>
    <row r="229" spans="2:4" x14ac:dyDescent="0.25">
      <c r="B229" s="15" t="s">
        <v>16</v>
      </c>
      <c r="C229" s="16">
        <f>COUNTIF(B$2:B$220,"Protocols")</f>
        <v>6</v>
      </c>
      <c r="D229" s="5" t="s">
        <v>737</v>
      </c>
    </row>
    <row r="230" spans="2:4" x14ac:dyDescent="0.25">
      <c r="B230" s="15" t="s">
        <v>14</v>
      </c>
      <c r="C230" s="16">
        <f>COUNTIF(B$2:B$220,"Playbooks")</f>
        <v>25</v>
      </c>
      <c r="D230" s="5" t="s">
        <v>738</v>
      </c>
    </row>
    <row r="231" spans="2:4" x14ac:dyDescent="0.25">
      <c r="B231" s="15" t="s">
        <v>306</v>
      </c>
      <c r="C231" s="16">
        <f>COUNTIF(B$2:B$220,"Podcasts (Voiced by Ella)")</f>
        <v>11</v>
      </c>
      <c r="D231" s="5" t="s">
        <v>739</v>
      </c>
    </row>
    <row r="232" spans="2:4" x14ac:dyDescent="0.25">
      <c r="B232" s="15" t="s">
        <v>26</v>
      </c>
      <c r="C232" s="16">
        <f>COUNTIF(B$2:B$220,"Recovery &amp; Conditioning")</f>
        <v>4</v>
      </c>
      <c r="D232" s="5" t="s">
        <v>740</v>
      </c>
    </row>
    <row r="233" spans="2:4" x14ac:dyDescent="0.25">
      <c r="B233" s="21" t="s">
        <v>345</v>
      </c>
      <c r="C233" s="16">
        <f>COUNTIF(B$2:B$220,"Lexicon")</f>
        <v>15</v>
      </c>
      <c r="D233" s="5" t="s">
        <v>741</v>
      </c>
    </row>
    <row r="234" spans="2:4" x14ac:dyDescent="0.25">
      <c r="B234" s="21" t="s">
        <v>10</v>
      </c>
      <c r="C234" s="25">
        <f>COUNTIF(B$2:B$220,"Physiology")</f>
        <v>16</v>
      </c>
      <c r="D234" s="20" t="s">
        <v>742</v>
      </c>
    </row>
    <row r="235" spans="2:4" x14ac:dyDescent="0.25">
      <c r="B235" s="17" t="s">
        <v>334</v>
      </c>
      <c r="C235" s="18">
        <f>COUNTA(D2:D220)</f>
        <v>219</v>
      </c>
    </row>
  </sheetData>
  <hyperlinks>
    <hyperlink ref="D47" r:id="rId1" xr:uid="{12A44BAC-781E-476E-A1AA-A40C611321A6}"/>
    <hyperlink ref="D68" r:id="rId2" xr:uid="{4467FDD9-3DCA-4DB0-8D1F-34F82251BA4A}"/>
    <hyperlink ref="D102" r:id="rId3" xr:uid="{03DC0B32-6ACF-4458-8678-FBC89652C16A}"/>
    <hyperlink ref="D93" r:id="rId4" xr:uid="{3A5C19D7-3F8C-4462-B84D-C64CCD389F1C}"/>
    <hyperlink ref="D96" r:id="rId5" xr:uid="{418133B2-009F-4323-B4AA-B00D52DFDE76}"/>
    <hyperlink ref="D97" r:id="rId6" xr:uid="{4F265BF0-8D75-4199-BEA1-957C4A35B930}"/>
    <hyperlink ref="D98" r:id="rId7" xr:uid="{F26EAF05-3044-4407-A169-88A875DA2138}"/>
    <hyperlink ref="D99" r:id="rId8" xr:uid="{ACB80AE8-75C6-4C6D-99B2-CA12F3EBD498}"/>
    <hyperlink ref="D105" r:id="rId9" xr:uid="{8A8C1C3B-05D2-4947-B047-B33600D937C0}"/>
    <hyperlink ref="D124" r:id="rId10" xr:uid="{E21242A3-55C4-446C-A6D0-85FD865DEEB9}"/>
    <hyperlink ref="D123" r:id="rId11" xr:uid="{7EB7BF53-6EDC-44E8-AB87-463090E62BC4}"/>
    <hyperlink ref="D122" r:id="rId12" xr:uid="{2EA2D828-CCF3-47CE-B8F0-993B7DEC458D}"/>
    <hyperlink ref="D118" r:id="rId13" xr:uid="{AE30AF78-B7CA-4EBC-AEC5-32ECCDB15DAD}"/>
    <hyperlink ref="D116" r:id="rId14" xr:uid="{3D4C2B46-4A15-4734-9F6D-DF134089DB18}"/>
    <hyperlink ref="D109" r:id="rId15" xr:uid="{82615E7B-901D-4947-83AB-7AEFAA62AF9D}"/>
    <hyperlink ref="D108" r:id="rId16" xr:uid="{51E5275E-E2E9-4007-8D5E-0B7671EFB3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002C-5E19-4658-A8D2-2248A9FEF0A6}">
  <dimension ref="A1:D146"/>
  <sheetViews>
    <sheetView workbookViewId="0">
      <pane ySplit="1" topLeftCell="A71" activePane="bottomLeft" state="frozen"/>
      <selection pane="bottomLeft" activeCell="C95" sqref="C95"/>
    </sheetView>
  </sheetViews>
  <sheetFormatPr defaultRowHeight="15" x14ac:dyDescent="0.25"/>
  <cols>
    <col min="2" max="2" width="34.28515625" customWidth="1"/>
    <col min="3" max="3" width="72.42578125" customWidth="1"/>
    <col min="4" max="4" width="99" customWidth="1"/>
  </cols>
  <sheetData>
    <row r="1" spans="1:4" x14ac:dyDescent="0.25">
      <c r="A1" s="2" t="s">
        <v>689</v>
      </c>
      <c r="B1" s="2" t="s">
        <v>0</v>
      </c>
      <c r="C1" s="2" t="s">
        <v>1</v>
      </c>
      <c r="D1" s="2" t="s">
        <v>2</v>
      </c>
    </row>
    <row r="2" spans="1:4" x14ac:dyDescent="0.25">
      <c r="A2" s="16">
        <v>1</v>
      </c>
      <c r="B2" s="4" t="s">
        <v>3</v>
      </c>
      <c r="C2" s="5" t="s">
        <v>335</v>
      </c>
      <c r="D2" s="5" t="s">
        <v>336</v>
      </c>
    </row>
    <row r="3" spans="1:4" x14ac:dyDescent="0.25">
      <c r="A3" s="16">
        <v>2</v>
      </c>
      <c r="B3" s="4" t="s">
        <v>3</v>
      </c>
      <c r="C3" s="5" t="s">
        <v>626</v>
      </c>
      <c r="D3" s="5" t="s">
        <v>337</v>
      </c>
    </row>
    <row r="4" spans="1:4" x14ac:dyDescent="0.25">
      <c r="A4" s="16">
        <v>3</v>
      </c>
      <c r="B4" s="4" t="s">
        <v>3</v>
      </c>
      <c r="C4" s="5" t="s">
        <v>18</v>
      </c>
      <c r="D4" s="5" t="s">
        <v>338</v>
      </c>
    </row>
    <row r="5" spans="1:4" x14ac:dyDescent="0.25">
      <c r="A5" s="16">
        <v>4</v>
      </c>
      <c r="B5" s="4" t="s">
        <v>3</v>
      </c>
      <c r="C5" s="5" t="s">
        <v>339</v>
      </c>
      <c r="D5" s="5" t="s">
        <v>340</v>
      </c>
    </row>
    <row r="6" spans="1:4" x14ac:dyDescent="0.25">
      <c r="A6" s="16">
        <v>5</v>
      </c>
      <c r="B6" s="4" t="s">
        <v>3</v>
      </c>
      <c r="C6" s="5" t="s">
        <v>341</v>
      </c>
      <c r="D6" s="5" t="s">
        <v>342</v>
      </c>
    </row>
    <row r="7" spans="1:4" x14ac:dyDescent="0.25">
      <c r="A7" s="16">
        <v>6</v>
      </c>
      <c r="B7" s="4" t="s">
        <v>3</v>
      </c>
      <c r="C7" s="5" t="s">
        <v>343</v>
      </c>
      <c r="D7" s="5" t="s">
        <v>344</v>
      </c>
    </row>
    <row r="8" spans="1:4" x14ac:dyDescent="0.25">
      <c r="A8" s="16">
        <v>7</v>
      </c>
      <c r="B8" s="4" t="s">
        <v>3</v>
      </c>
      <c r="C8" s="5" t="s">
        <v>345</v>
      </c>
      <c r="D8" s="5" t="s">
        <v>346</v>
      </c>
    </row>
    <row r="9" spans="1:4" x14ac:dyDescent="0.25">
      <c r="A9" s="16">
        <v>8</v>
      </c>
      <c r="B9" s="4" t="s">
        <v>3</v>
      </c>
      <c r="C9" s="5" t="s">
        <v>347</v>
      </c>
      <c r="D9" s="5" t="s">
        <v>348</v>
      </c>
    </row>
    <row r="10" spans="1:4" x14ac:dyDescent="0.25">
      <c r="A10" s="16">
        <v>9</v>
      </c>
      <c r="B10" s="4" t="s">
        <v>3</v>
      </c>
      <c r="C10" s="5" t="s">
        <v>349</v>
      </c>
      <c r="D10" s="5" t="s">
        <v>350</v>
      </c>
    </row>
    <row r="11" spans="1:4" x14ac:dyDescent="0.25">
      <c r="A11" s="16">
        <v>10</v>
      </c>
      <c r="B11" s="4" t="s">
        <v>3</v>
      </c>
      <c r="C11" s="5" t="s">
        <v>351</v>
      </c>
      <c r="D11" s="5" t="s">
        <v>352</v>
      </c>
    </row>
    <row r="12" spans="1:4" x14ac:dyDescent="0.25">
      <c r="A12" s="16">
        <v>11</v>
      </c>
      <c r="B12" s="4" t="s">
        <v>3</v>
      </c>
      <c r="C12" s="5" t="s">
        <v>353</v>
      </c>
      <c r="D12" s="5" t="s">
        <v>354</v>
      </c>
    </row>
    <row r="13" spans="1:4" x14ac:dyDescent="0.25">
      <c r="A13" s="16">
        <v>12</v>
      </c>
      <c r="B13" s="4" t="s">
        <v>3</v>
      </c>
      <c r="C13" s="5" t="s">
        <v>696</v>
      </c>
      <c r="D13" s="5" t="s">
        <v>698</v>
      </c>
    </row>
    <row r="14" spans="1:4" x14ac:dyDescent="0.25">
      <c r="A14" s="16">
        <v>13</v>
      </c>
      <c r="B14" s="6" t="s">
        <v>28</v>
      </c>
      <c r="C14" s="7" t="s">
        <v>29</v>
      </c>
      <c r="D14" s="7" t="s">
        <v>355</v>
      </c>
    </row>
    <row r="15" spans="1:4" x14ac:dyDescent="0.25">
      <c r="A15" s="16">
        <v>14</v>
      </c>
      <c r="B15" s="8" t="s">
        <v>341</v>
      </c>
      <c r="C15" s="5" t="s">
        <v>356</v>
      </c>
      <c r="D15" s="5" t="s">
        <v>357</v>
      </c>
    </row>
    <row r="16" spans="1:4" x14ac:dyDescent="0.25">
      <c r="A16" s="16">
        <v>15</v>
      </c>
      <c r="B16" s="8" t="s">
        <v>341</v>
      </c>
      <c r="C16" s="5" t="s">
        <v>358</v>
      </c>
      <c r="D16" s="5" t="s">
        <v>359</v>
      </c>
    </row>
    <row r="17" spans="1:4" x14ac:dyDescent="0.25">
      <c r="A17" s="16">
        <v>16</v>
      </c>
      <c r="B17" s="8" t="s">
        <v>341</v>
      </c>
      <c r="C17" s="5" t="s">
        <v>360</v>
      </c>
      <c r="D17" s="5" t="s">
        <v>361</v>
      </c>
    </row>
    <row r="18" spans="1:4" x14ac:dyDescent="0.25">
      <c r="A18" s="16">
        <v>17</v>
      </c>
      <c r="B18" s="8" t="s">
        <v>341</v>
      </c>
      <c r="C18" s="5" t="s">
        <v>362</v>
      </c>
      <c r="D18" s="5" t="s">
        <v>363</v>
      </c>
    </row>
    <row r="19" spans="1:4" x14ac:dyDescent="0.25">
      <c r="A19" s="16">
        <v>18</v>
      </c>
      <c r="B19" s="8" t="s">
        <v>341</v>
      </c>
      <c r="C19" s="5" t="s">
        <v>364</v>
      </c>
      <c r="D19" s="5" t="s">
        <v>365</v>
      </c>
    </row>
    <row r="20" spans="1:4" x14ac:dyDescent="0.25">
      <c r="A20" s="16">
        <v>19</v>
      </c>
      <c r="B20" s="8" t="s">
        <v>341</v>
      </c>
      <c r="C20" s="5" t="s">
        <v>366</v>
      </c>
      <c r="D20" s="5" t="s">
        <v>367</v>
      </c>
    </row>
    <row r="21" spans="1:4" x14ac:dyDescent="0.25">
      <c r="A21" s="16">
        <v>20</v>
      </c>
      <c r="B21" s="8" t="s">
        <v>341</v>
      </c>
      <c r="C21" s="5" t="s">
        <v>368</v>
      </c>
      <c r="D21" s="5" t="s">
        <v>369</v>
      </c>
    </row>
    <row r="22" spans="1:4" x14ac:dyDescent="0.25">
      <c r="A22" s="16">
        <v>21</v>
      </c>
      <c r="B22" s="8" t="s">
        <v>341</v>
      </c>
      <c r="C22" s="5" t="s">
        <v>370</v>
      </c>
      <c r="D22" s="5" t="s">
        <v>371</v>
      </c>
    </row>
    <row r="23" spans="1:4" x14ac:dyDescent="0.25">
      <c r="A23" s="16">
        <v>22</v>
      </c>
      <c r="B23" s="8" t="s">
        <v>341</v>
      </c>
      <c r="C23" s="5" t="s">
        <v>372</v>
      </c>
      <c r="D23" s="5" t="s">
        <v>373</v>
      </c>
    </row>
    <row r="24" spans="1:4" x14ac:dyDescent="0.25">
      <c r="A24" s="16">
        <v>23</v>
      </c>
      <c r="B24" s="8" t="s">
        <v>341</v>
      </c>
      <c r="C24" s="5" t="s">
        <v>374</v>
      </c>
      <c r="D24" s="5" t="s">
        <v>375</v>
      </c>
    </row>
    <row r="25" spans="1:4" x14ac:dyDescent="0.25">
      <c r="A25" s="16">
        <v>24</v>
      </c>
      <c r="B25" s="8" t="s">
        <v>341</v>
      </c>
      <c r="C25" s="5" t="s">
        <v>376</v>
      </c>
      <c r="D25" s="5" t="s">
        <v>377</v>
      </c>
    </row>
    <row r="26" spans="1:4" x14ac:dyDescent="0.25">
      <c r="A26" s="16">
        <v>25</v>
      </c>
      <c r="B26" s="8" t="s">
        <v>341</v>
      </c>
      <c r="C26" s="5" t="s">
        <v>378</v>
      </c>
      <c r="D26" s="5" t="s">
        <v>379</v>
      </c>
    </row>
    <row r="27" spans="1:4" x14ac:dyDescent="0.25">
      <c r="A27" s="16">
        <v>26</v>
      </c>
      <c r="B27" s="8" t="s">
        <v>341</v>
      </c>
      <c r="C27" s="5" t="s">
        <v>380</v>
      </c>
      <c r="D27" s="5" t="s">
        <v>381</v>
      </c>
    </row>
    <row r="28" spans="1:4" x14ac:dyDescent="0.25">
      <c r="A28" s="16">
        <v>27</v>
      </c>
      <c r="B28" s="8" t="s">
        <v>341</v>
      </c>
      <c r="C28" s="5" t="s">
        <v>637</v>
      </c>
      <c r="D28" s="5" t="s">
        <v>638</v>
      </c>
    </row>
    <row r="29" spans="1:4" x14ac:dyDescent="0.25">
      <c r="A29" s="16">
        <v>28</v>
      </c>
      <c r="B29" s="8" t="s">
        <v>341</v>
      </c>
      <c r="C29" s="5" t="s">
        <v>659</v>
      </c>
      <c r="D29" s="5" t="s">
        <v>660</v>
      </c>
    </row>
    <row r="30" spans="1:4" x14ac:dyDescent="0.25">
      <c r="A30" s="16">
        <v>29</v>
      </c>
      <c r="B30" s="8" t="s">
        <v>341</v>
      </c>
      <c r="C30" s="5" t="s">
        <v>708</v>
      </c>
      <c r="D30" s="5" t="s">
        <v>709</v>
      </c>
    </row>
    <row r="31" spans="1:4" x14ac:dyDescent="0.25">
      <c r="A31" s="16">
        <v>29</v>
      </c>
      <c r="B31" s="9" t="s">
        <v>339</v>
      </c>
      <c r="C31" s="5" t="s">
        <v>382</v>
      </c>
      <c r="D31" s="5" t="s">
        <v>383</v>
      </c>
    </row>
    <row r="32" spans="1:4" x14ac:dyDescent="0.25">
      <c r="A32" s="16">
        <v>30</v>
      </c>
      <c r="B32" s="9" t="s">
        <v>339</v>
      </c>
      <c r="C32" s="5" t="s">
        <v>384</v>
      </c>
      <c r="D32" s="5" t="s">
        <v>385</v>
      </c>
    </row>
    <row r="33" spans="1:4" x14ac:dyDescent="0.25">
      <c r="A33" s="16">
        <v>31</v>
      </c>
      <c r="B33" s="9" t="s">
        <v>339</v>
      </c>
      <c r="C33" s="5" t="s">
        <v>386</v>
      </c>
      <c r="D33" s="5" t="s">
        <v>387</v>
      </c>
    </row>
    <row r="34" spans="1:4" x14ac:dyDescent="0.25">
      <c r="A34" s="16">
        <v>32</v>
      </c>
      <c r="B34" s="9" t="s">
        <v>339</v>
      </c>
      <c r="C34" s="5" t="s">
        <v>388</v>
      </c>
      <c r="D34" s="5" t="s">
        <v>389</v>
      </c>
    </row>
    <row r="35" spans="1:4" x14ac:dyDescent="0.25">
      <c r="A35" s="16">
        <v>33</v>
      </c>
      <c r="B35" s="9" t="s">
        <v>339</v>
      </c>
      <c r="C35" s="5" t="s">
        <v>390</v>
      </c>
      <c r="D35" s="5" t="s">
        <v>391</v>
      </c>
    </row>
    <row r="36" spans="1:4" x14ac:dyDescent="0.25">
      <c r="A36" s="16">
        <v>34</v>
      </c>
      <c r="B36" s="9" t="s">
        <v>339</v>
      </c>
      <c r="C36" s="5" t="s">
        <v>392</v>
      </c>
      <c r="D36" s="5" t="s">
        <v>393</v>
      </c>
    </row>
    <row r="37" spans="1:4" x14ac:dyDescent="0.25">
      <c r="A37" s="16">
        <v>35</v>
      </c>
      <c r="B37" s="9" t="s">
        <v>339</v>
      </c>
      <c r="C37" s="5" t="s">
        <v>394</v>
      </c>
      <c r="D37" s="5" t="s">
        <v>395</v>
      </c>
    </row>
    <row r="38" spans="1:4" x14ac:dyDescent="0.25">
      <c r="A38" s="16">
        <v>36</v>
      </c>
      <c r="B38" s="9" t="s">
        <v>339</v>
      </c>
      <c r="C38" s="5" t="s">
        <v>396</v>
      </c>
      <c r="D38" s="5" t="s">
        <v>397</v>
      </c>
    </row>
    <row r="39" spans="1:4" x14ac:dyDescent="0.25">
      <c r="A39" s="16">
        <v>37</v>
      </c>
      <c r="B39" s="9" t="s">
        <v>339</v>
      </c>
      <c r="C39" s="5" t="s">
        <v>398</v>
      </c>
      <c r="D39" s="5" t="s">
        <v>399</v>
      </c>
    </row>
    <row r="40" spans="1:4" x14ac:dyDescent="0.25">
      <c r="A40" s="16">
        <v>38</v>
      </c>
      <c r="B40" s="9" t="s">
        <v>339</v>
      </c>
      <c r="C40" s="5" t="s">
        <v>400</v>
      </c>
      <c r="D40" s="5" t="s">
        <v>401</v>
      </c>
    </row>
    <row r="41" spans="1:4" x14ac:dyDescent="0.25">
      <c r="A41" s="16">
        <v>39</v>
      </c>
      <c r="B41" s="9" t="s">
        <v>339</v>
      </c>
      <c r="C41" s="5" t="s">
        <v>402</v>
      </c>
      <c r="D41" s="5" t="s">
        <v>403</v>
      </c>
    </row>
    <row r="42" spans="1:4" x14ac:dyDescent="0.25">
      <c r="A42" s="16">
        <v>40</v>
      </c>
      <c r="B42" s="9" t="s">
        <v>339</v>
      </c>
      <c r="C42" s="5" t="s">
        <v>404</v>
      </c>
      <c r="D42" s="5" t="s">
        <v>405</v>
      </c>
    </row>
    <row r="43" spans="1:4" x14ac:dyDescent="0.25">
      <c r="A43" s="16">
        <v>41</v>
      </c>
      <c r="B43" s="9" t="s">
        <v>339</v>
      </c>
      <c r="C43" s="5" t="s">
        <v>406</v>
      </c>
      <c r="D43" s="5" t="s">
        <v>407</v>
      </c>
    </row>
    <row r="44" spans="1:4" x14ac:dyDescent="0.25">
      <c r="A44" s="16">
        <v>42</v>
      </c>
      <c r="B44" s="9" t="s">
        <v>339</v>
      </c>
      <c r="C44" s="5" t="s">
        <v>408</v>
      </c>
      <c r="D44" s="5" t="s">
        <v>409</v>
      </c>
    </row>
    <row r="45" spans="1:4" x14ac:dyDescent="0.25">
      <c r="A45" s="16">
        <v>43</v>
      </c>
      <c r="B45" s="9" t="s">
        <v>339</v>
      </c>
      <c r="C45" s="5" t="s">
        <v>410</v>
      </c>
      <c r="D45" s="5" t="s">
        <v>411</v>
      </c>
    </row>
    <row r="46" spans="1:4" x14ac:dyDescent="0.25">
      <c r="A46" s="16">
        <v>44</v>
      </c>
      <c r="B46" s="9" t="s">
        <v>339</v>
      </c>
      <c r="C46" s="5" t="s">
        <v>412</v>
      </c>
      <c r="D46" s="5" t="s">
        <v>413</v>
      </c>
    </row>
    <row r="47" spans="1:4" x14ac:dyDescent="0.25">
      <c r="A47" s="16">
        <v>45</v>
      </c>
      <c r="B47" s="9" t="s">
        <v>339</v>
      </c>
      <c r="C47" s="5" t="s">
        <v>414</v>
      </c>
      <c r="D47" s="5" t="s">
        <v>415</v>
      </c>
    </row>
    <row r="48" spans="1:4" x14ac:dyDescent="0.25">
      <c r="A48" s="16">
        <v>46</v>
      </c>
      <c r="B48" s="9" t="s">
        <v>339</v>
      </c>
      <c r="C48" s="5" t="s">
        <v>416</v>
      </c>
      <c r="D48" s="5" t="s">
        <v>417</v>
      </c>
    </row>
    <row r="49" spans="1:4" x14ac:dyDescent="0.25">
      <c r="A49" s="16">
        <v>47</v>
      </c>
      <c r="B49" s="9" t="s">
        <v>339</v>
      </c>
      <c r="C49" s="5" t="s">
        <v>418</v>
      </c>
      <c r="D49" s="5" t="s">
        <v>419</v>
      </c>
    </row>
    <row r="50" spans="1:4" x14ac:dyDescent="0.25">
      <c r="A50" s="16">
        <v>48</v>
      </c>
      <c r="B50" s="9" t="s">
        <v>339</v>
      </c>
      <c r="C50" s="5" t="s">
        <v>420</v>
      </c>
      <c r="D50" s="5" t="s">
        <v>421</v>
      </c>
    </row>
    <row r="51" spans="1:4" x14ac:dyDescent="0.25">
      <c r="A51" s="16">
        <v>49</v>
      </c>
      <c r="B51" s="9" t="s">
        <v>339</v>
      </c>
      <c r="C51" s="5" t="s">
        <v>422</v>
      </c>
      <c r="D51" s="5" t="s">
        <v>423</v>
      </c>
    </row>
    <row r="52" spans="1:4" x14ac:dyDescent="0.25">
      <c r="A52" s="16">
        <v>50</v>
      </c>
      <c r="B52" s="9" t="s">
        <v>339</v>
      </c>
      <c r="C52" s="5" t="s">
        <v>424</v>
      </c>
      <c r="D52" s="5" t="s">
        <v>425</v>
      </c>
    </row>
    <row r="53" spans="1:4" x14ac:dyDescent="0.25">
      <c r="A53" s="16">
        <v>51</v>
      </c>
      <c r="B53" s="9" t="s">
        <v>339</v>
      </c>
      <c r="C53" s="5" t="s">
        <v>426</v>
      </c>
      <c r="D53" s="5" t="s">
        <v>427</v>
      </c>
    </row>
    <row r="54" spans="1:4" x14ac:dyDescent="0.25">
      <c r="A54" s="16">
        <v>52</v>
      </c>
      <c r="B54" s="9" t="s">
        <v>339</v>
      </c>
      <c r="C54" s="5" t="s">
        <v>428</v>
      </c>
      <c r="D54" s="5" t="s">
        <v>429</v>
      </c>
    </row>
    <row r="55" spans="1:4" x14ac:dyDescent="0.25">
      <c r="A55" s="16">
        <v>53</v>
      </c>
      <c r="B55" s="9" t="s">
        <v>339</v>
      </c>
      <c r="C55" s="5" t="s">
        <v>639</v>
      </c>
      <c r="D55" s="5" t="s">
        <v>640</v>
      </c>
    </row>
    <row r="56" spans="1:4" x14ac:dyDescent="0.25">
      <c r="A56" s="16">
        <v>54</v>
      </c>
      <c r="B56" s="9" t="s">
        <v>339</v>
      </c>
      <c r="C56" s="5" t="s">
        <v>743</v>
      </c>
      <c r="D56" s="5" t="s">
        <v>744</v>
      </c>
    </row>
    <row r="57" spans="1:4" x14ac:dyDescent="0.25">
      <c r="A57" s="16">
        <v>54</v>
      </c>
      <c r="B57" s="6" t="s">
        <v>430</v>
      </c>
      <c r="C57" s="5" t="s">
        <v>362</v>
      </c>
      <c r="D57" s="5" t="s">
        <v>431</v>
      </c>
    </row>
    <row r="58" spans="1:4" x14ac:dyDescent="0.25">
      <c r="A58" s="16">
        <v>55</v>
      </c>
      <c r="B58" s="6" t="s">
        <v>430</v>
      </c>
      <c r="C58" s="5" t="s">
        <v>432</v>
      </c>
      <c r="D58" s="5" t="s">
        <v>433</v>
      </c>
    </row>
    <row r="59" spans="1:4" x14ac:dyDescent="0.25">
      <c r="A59" s="16">
        <v>56</v>
      </c>
      <c r="B59" s="6" t="s">
        <v>430</v>
      </c>
      <c r="C59" s="5" t="s">
        <v>434</v>
      </c>
      <c r="D59" s="5" t="s">
        <v>435</v>
      </c>
    </row>
    <row r="60" spans="1:4" x14ac:dyDescent="0.25">
      <c r="A60" s="16">
        <v>57</v>
      </c>
      <c r="B60" s="6" t="s">
        <v>430</v>
      </c>
      <c r="C60" s="5" t="s">
        <v>436</v>
      </c>
      <c r="D60" s="5" t="s">
        <v>437</v>
      </c>
    </row>
    <row r="61" spans="1:4" x14ac:dyDescent="0.25">
      <c r="A61" s="16">
        <v>58</v>
      </c>
      <c r="B61" s="6" t="s">
        <v>430</v>
      </c>
      <c r="C61" s="5" t="s">
        <v>438</v>
      </c>
      <c r="D61" s="5" t="s">
        <v>439</v>
      </c>
    </row>
    <row r="62" spans="1:4" x14ac:dyDescent="0.25">
      <c r="A62" s="16">
        <v>59</v>
      </c>
      <c r="B62" s="6" t="s">
        <v>430</v>
      </c>
      <c r="C62" s="5" t="s">
        <v>440</v>
      </c>
      <c r="D62" s="5" t="s">
        <v>441</v>
      </c>
    </row>
    <row r="63" spans="1:4" x14ac:dyDescent="0.25">
      <c r="A63" s="16">
        <v>60</v>
      </c>
      <c r="B63" s="6" t="s">
        <v>430</v>
      </c>
      <c r="C63" s="5" t="s">
        <v>442</v>
      </c>
      <c r="D63" s="5" t="s">
        <v>443</v>
      </c>
    </row>
    <row r="64" spans="1:4" x14ac:dyDescent="0.25">
      <c r="A64" s="16">
        <v>61</v>
      </c>
      <c r="B64" s="6" t="s">
        <v>430</v>
      </c>
      <c r="C64" s="5" t="s">
        <v>444</v>
      </c>
      <c r="D64" s="5" t="s">
        <v>445</v>
      </c>
    </row>
    <row r="65" spans="1:4" x14ac:dyDescent="0.25">
      <c r="A65" s="16">
        <v>62</v>
      </c>
      <c r="B65" s="6" t="s">
        <v>430</v>
      </c>
      <c r="C65" s="5" t="s">
        <v>446</v>
      </c>
      <c r="D65" s="5" t="s">
        <v>447</v>
      </c>
    </row>
    <row r="66" spans="1:4" x14ac:dyDescent="0.25">
      <c r="A66" s="16">
        <v>63</v>
      </c>
      <c r="B66" s="6" t="s">
        <v>430</v>
      </c>
      <c r="C66" s="5" t="s">
        <v>448</v>
      </c>
      <c r="D66" s="5" t="s">
        <v>449</v>
      </c>
    </row>
    <row r="67" spans="1:4" x14ac:dyDescent="0.25">
      <c r="A67" s="16">
        <v>64</v>
      </c>
      <c r="B67" s="6" t="s">
        <v>430</v>
      </c>
      <c r="C67" s="5" t="s">
        <v>450</v>
      </c>
      <c r="D67" s="5" t="s">
        <v>451</v>
      </c>
    </row>
    <row r="68" spans="1:4" x14ac:dyDescent="0.25">
      <c r="A68" s="16">
        <v>65</v>
      </c>
      <c r="B68" s="6" t="s">
        <v>430</v>
      </c>
      <c r="C68" s="5" t="s">
        <v>351</v>
      </c>
      <c r="D68" s="5" t="s">
        <v>452</v>
      </c>
    </row>
    <row r="69" spans="1:4" x14ac:dyDescent="0.25">
      <c r="A69" s="16">
        <v>66</v>
      </c>
      <c r="B69" s="6" t="s">
        <v>430</v>
      </c>
      <c r="C69" s="5" t="s">
        <v>453</v>
      </c>
      <c r="D69" s="5" t="s">
        <v>454</v>
      </c>
    </row>
    <row r="70" spans="1:4" x14ac:dyDescent="0.25">
      <c r="A70" s="16">
        <v>67</v>
      </c>
      <c r="B70" s="6" t="s">
        <v>430</v>
      </c>
      <c r="C70" s="5" t="s">
        <v>455</v>
      </c>
      <c r="D70" s="5" t="s">
        <v>456</v>
      </c>
    </row>
    <row r="71" spans="1:4" x14ac:dyDescent="0.25">
      <c r="A71" s="16">
        <v>68</v>
      </c>
      <c r="B71" s="6" t="s">
        <v>430</v>
      </c>
      <c r="C71" s="5" t="s">
        <v>457</v>
      </c>
      <c r="D71" s="5" t="s">
        <v>458</v>
      </c>
    </row>
    <row r="72" spans="1:4" x14ac:dyDescent="0.25">
      <c r="A72" s="16">
        <v>69</v>
      </c>
      <c r="B72" s="6" t="s">
        <v>430</v>
      </c>
      <c r="C72" s="5" t="s">
        <v>459</v>
      </c>
      <c r="D72" s="5" t="s">
        <v>460</v>
      </c>
    </row>
    <row r="73" spans="1:4" x14ac:dyDescent="0.25">
      <c r="A73" s="16">
        <v>70</v>
      </c>
      <c r="B73" s="6" t="s">
        <v>430</v>
      </c>
      <c r="C73" s="5" t="s">
        <v>461</v>
      </c>
      <c r="D73" s="5" t="s">
        <v>462</v>
      </c>
    </row>
    <row r="74" spans="1:4" x14ac:dyDescent="0.25">
      <c r="A74" s="16">
        <v>71</v>
      </c>
      <c r="B74" s="6" t="s">
        <v>430</v>
      </c>
      <c r="C74" s="5" t="s">
        <v>463</v>
      </c>
      <c r="D74" s="5" t="s">
        <v>464</v>
      </c>
    </row>
    <row r="75" spans="1:4" x14ac:dyDescent="0.25">
      <c r="A75" s="16">
        <v>72</v>
      </c>
      <c r="B75" s="6" t="s">
        <v>430</v>
      </c>
      <c r="C75" s="5" t="s">
        <v>465</v>
      </c>
      <c r="D75" s="5" t="s">
        <v>466</v>
      </c>
    </row>
    <row r="76" spans="1:4" x14ac:dyDescent="0.25">
      <c r="A76" s="16">
        <v>73</v>
      </c>
      <c r="B76" s="6" t="s">
        <v>430</v>
      </c>
      <c r="C76" s="5" t="s">
        <v>467</v>
      </c>
      <c r="D76" s="5" t="s">
        <v>468</v>
      </c>
    </row>
    <row r="77" spans="1:4" x14ac:dyDescent="0.25">
      <c r="A77" s="16">
        <v>74</v>
      </c>
      <c r="B77" s="6" t="s">
        <v>430</v>
      </c>
      <c r="C77" s="5" t="s">
        <v>570</v>
      </c>
      <c r="D77" s="5" t="s">
        <v>571</v>
      </c>
    </row>
    <row r="78" spans="1:4" x14ac:dyDescent="0.25">
      <c r="A78" s="16">
        <v>75</v>
      </c>
      <c r="B78" s="6" t="s">
        <v>430</v>
      </c>
      <c r="C78" s="5" t="s">
        <v>629</v>
      </c>
      <c r="D78" s="5" t="s">
        <v>630</v>
      </c>
    </row>
    <row r="79" spans="1:4" x14ac:dyDescent="0.25">
      <c r="A79" s="16">
        <v>76</v>
      </c>
      <c r="B79" s="6" t="s">
        <v>430</v>
      </c>
      <c r="C79" s="5" t="s">
        <v>631</v>
      </c>
      <c r="D79" s="5" t="s">
        <v>632</v>
      </c>
    </row>
    <row r="80" spans="1:4" x14ac:dyDescent="0.25">
      <c r="A80" s="16">
        <v>77</v>
      </c>
      <c r="B80" s="6" t="s">
        <v>430</v>
      </c>
      <c r="C80" s="5" t="s">
        <v>633</v>
      </c>
      <c r="D80" s="5" t="s">
        <v>634</v>
      </c>
    </row>
    <row r="81" spans="1:4" x14ac:dyDescent="0.25">
      <c r="A81" s="16">
        <v>78</v>
      </c>
      <c r="B81" s="6" t="s">
        <v>430</v>
      </c>
      <c r="C81" s="5" t="s">
        <v>641</v>
      </c>
      <c r="D81" s="5" t="s">
        <v>642</v>
      </c>
    </row>
    <row r="82" spans="1:4" x14ac:dyDescent="0.25">
      <c r="A82" s="16">
        <v>79</v>
      </c>
      <c r="B82" s="6" t="s">
        <v>430</v>
      </c>
      <c r="C82" s="5" t="s">
        <v>643</v>
      </c>
      <c r="D82" s="5" t="s">
        <v>644</v>
      </c>
    </row>
    <row r="83" spans="1:4" x14ac:dyDescent="0.25">
      <c r="A83" s="16">
        <v>80</v>
      </c>
      <c r="B83" s="30" t="s">
        <v>430</v>
      </c>
      <c r="C83" s="20" t="s">
        <v>645</v>
      </c>
      <c r="D83" s="20" t="s">
        <v>646</v>
      </c>
    </row>
    <row r="84" spans="1:4" x14ac:dyDescent="0.25">
      <c r="A84" s="16">
        <v>81</v>
      </c>
      <c r="B84" s="30" t="s">
        <v>430</v>
      </c>
      <c r="C84" s="20" t="s">
        <v>647</v>
      </c>
      <c r="D84" s="20" t="s">
        <v>648</v>
      </c>
    </row>
    <row r="85" spans="1:4" x14ac:dyDescent="0.25">
      <c r="A85" s="16">
        <v>82</v>
      </c>
      <c r="B85" s="30" t="s">
        <v>430</v>
      </c>
      <c r="C85" s="20" t="s">
        <v>649</v>
      </c>
      <c r="D85" s="20" t="s">
        <v>650</v>
      </c>
    </row>
    <row r="86" spans="1:4" x14ac:dyDescent="0.25">
      <c r="A86" s="16">
        <v>83</v>
      </c>
      <c r="B86" s="30" t="s">
        <v>430</v>
      </c>
      <c r="C86" s="20" t="s">
        <v>655</v>
      </c>
      <c r="D86" s="20" t="s">
        <v>656</v>
      </c>
    </row>
    <row r="87" spans="1:4" x14ac:dyDescent="0.25">
      <c r="A87" s="16">
        <v>84</v>
      </c>
      <c r="B87" s="30" t="s">
        <v>430</v>
      </c>
      <c r="C87" s="20" t="s">
        <v>657</v>
      </c>
      <c r="D87" s="20" t="s">
        <v>658</v>
      </c>
    </row>
    <row r="88" spans="1:4" x14ac:dyDescent="0.25">
      <c r="A88" s="16">
        <v>85</v>
      </c>
      <c r="B88" s="10" t="s">
        <v>469</v>
      </c>
      <c r="C88" s="5" t="s">
        <v>470</v>
      </c>
      <c r="D88" s="5" t="s">
        <v>471</v>
      </c>
    </row>
    <row r="89" spans="1:4" x14ac:dyDescent="0.25">
      <c r="A89" s="16">
        <v>86</v>
      </c>
      <c r="B89" s="10" t="s">
        <v>469</v>
      </c>
      <c r="C89" s="5" t="s">
        <v>472</v>
      </c>
      <c r="D89" s="5" t="s">
        <v>473</v>
      </c>
    </row>
    <row r="90" spans="1:4" x14ac:dyDescent="0.25">
      <c r="A90" s="16">
        <v>87</v>
      </c>
      <c r="B90" s="10" t="s">
        <v>469</v>
      </c>
      <c r="C90" s="5" t="s">
        <v>474</v>
      </c>
      <c r="D90" s="5" t="s">
        <v>475</v>
      </c>
    </row>
    <row r="91" spans="1:4" hidden="1" x14ac:dyDescent="0.25">
      <c r="A91" s="16">
        <v>88</v>
      </c>
      <c r="B91" s="10" t="s">
        <v>469</v>
      </c>
      <c r="C91" s="5" t="s">
        <v>476</v>
      </c>
      <c r="D91" s="5" t="s">
        <v>477</v>
      </c>
    </row>
    <row r="92" spans="1:4" hidden="1" x14ac:dyDescent="0.25">
      <c r="A92" s="16">
        <v>89</v>
      </c>
      <c r="B92" s="10" t="s">
        <v>469</v>
      </c>
      <c r="C92" s="5" t="s">
        <v>478</v>
      </c>
      <c r="D92" s="5" t="s">
        <v>479</v>
      </c>
    </row>
    <row r="93" spans="1:4" hidden="1" x14ac:dyDescent="0.25">
      <c r="A93" s="16">
        <v>90</v>
      </c>
      <c r="B93" s="10" t="s">
        <v>469</v>
      </c>
      <c r="C93" s="5" t="s">
        <v>480</v>
      </c>
      <c r="D93" s="5" t="s">
        <v>481</v>
      </c>
    </row>
    <row r="94" spans="1:4" hidden="1" x14ac:dyDescent="0.25">
      <c r="A94" s="16">
        <v>91</v>
      </c>
      <c r="B94" s="10" t="s">
        <v>469</v>
      </c>
      <c r="C94" s="5" t="s">
        <v>482</v>
      </c>
      <c r="D94" s="5" t="s">
        <v>483</v>
      </c>
    </row>
    <row r="95" spans="1:4" x14ac:dyDescent="0.25">
      <c r="A95" s="16">
        <v>92</v>
      </c>
      <c r="B95" s="10" t="s">
        <v>469</v>
      </c>
      <c r="C95" s="5" t="s">
        <v>484</v>
      </c>
      <c r="D95" s="5" t="s">
        <v>485</v>
      </c>
    </row>
    <row r="96" spans="1:4" x14ac:dyDescent="0.25">
      <c r="A96" s="16">
        <v>93</v>
      </c>
      <c r="B96" s="10" t="s">
        <v>469</v>
      </c>
      <c r="C96" s="5" t="s">
        <v>486</v>
      </c>
      <c r="D96" s="5" t="s">
        <v>487</v>
      </c>
    </row>
    <row r="97" spans="1:4" x14ac:dyDescent="0.25">
      <c r="A97" s="16">
        <v>96</v>
      </c>
      <c r="B97" s="10" t="s">
        <v>469</v>
      </c>
      <c r="C97" s="5" t="s">
        <v>712</v>
      </c>
      <c r="D97" s="5" t="s">
        <v>713</v>
      </c>
    </row>
    <row r="98" spans="1:4" x14ac:dyDescent="0.25">
      <c r="A98" s="16">
        <v>97</v>
      </c>
      <c r="B98" s="10" t="s">
        <v>469</v>
      </c>
      <c r="C98" s="5" t="s">
        <v>714</v>
      </c>
      <c r="D98" s="5" t="s">
        <v>715</v>
      </c>
    </row>
    <row r="99" spans="1:4" x14ac:dyDescent="0.25">
      <c r="A99" s="16">
        <v>96</v>
      </c>
      <c r="B99" s="10" t="s">
        <v>469</v>
      </c>
      <c r="C99" s="5" t="s">
        <v>488</v>
      </c>
      <c r="D99" s="5" t="s">
        <v>489</v>
      </c>
    </row>
    <row r="100" spans="1:4" x14ac:dyDescent="0.25">
      <c r="A100" s="16">
        <v>97</v>
      </c>
      <c r="B100" s="10" t="s">
        <v>469</v>
      </c>
      <c r="C100" s="5" t="s">
        <v>490</v>
      </c>
      <c r="D100" s="5" t="s">
        <v>491</v>
      </c>
    </row>
    <row r="101" spans="1:4" x14ac:dyDescent="0.25">
      <c r="A101" s="16">
        <v>98</v>
      </c>
      <c r="B101" s="10" t="s">
        <v>469</v>
      </c>
      <c r="C101" s="5" t="s">
        <v>752</v>
      </c>
      <c r="D101" s="5" t="s">
        <v>753</v>
      </c>
    </row>
    <row r="102" spans="1:4" x14ac:dyDescent="0.25">
      <c r="A102" s="16">
        <v>98</v>
      </c>
      <c r="B102" s="11" t="s">
        <v>347</v>
      </c>
      <c r="C102" s="5" t="s">
        <v>347</v>
      </c>
      <c r="D102" s="5" t="s">
        <v>348</v>
      </c>
    </row>
    <row r="103" spans="1:4" x14ac:dyDescent="0.25">
      <c r="A103" s="16">
        <v>99</v>
      </c>
      <c r="B103" s="11" t="s">
        <v>347</v>
      </c>
      <c r="C103" s="5" t="s">
        <v>349</v>
      </c>
      <c r="D103" s="5" t="s">
        <v>350</v>
      </c>
    </row>
    <row r="104" spans="1:4" x14ac:dyDescent="0.25">
      <c r="A104" s="16">
        <v>100</v>
      </c>
      <c r="B104" s="11" t="s">
        <v>347</v>
      </c>
      <c r="C104" s="5" t="s">
        <v>492</v>
      </c>
      <c r="D104" s="5" t="s">
        <v>493</v>
      </c>
    </row>
    <row r="105" spans="1:4" x14ac:dyDescent="0.25">
      <c r="A105" s="16">
        <v>101</v>
      </c>
      <c r="B105" s="11" t="s">
        <v>347</v>
      </c>
      <c r="C105" s="5" t="s">
        <v>494</v>
      </c>
      <c r="D105" s="5" t="s">
        <v>495</v>
      </c>
    </row>
    <row r="106" spans="1:4" x14ac:dyDescent="0.25">
      <c r="A106" s="16">
        <v>102</v>
      </c>
      <c r="B106" s="12" t="s">
        <v>496</v>
      </c>
      <c r="C106" s="5" t="s">
        <v>497</v>
      </c>
      <c r="D106" s="5" t="s">
        <v>498</v>
      </c>
    </row>
    <row r="107" spans="1:4" x14ac:dyDescent="0.25">
      <c r="A107" s="16">
        <v>103</v>
      </c>
      <c r="B107" s="12" t="s">
        <v>496</v>
      </c>
      <c r="C107" s="5" t="s">
        <v>499</v>
      </c>
      <c r="D107" s="5" t="s">
        <v>500</v>
      </c>
    </row>
    <row r="108" spans="1:4" x14ac:dyDescent="0.25">
      <c r="A108" s="16">
        <v>104</v>
      </c>
      <c r="B108" s="12" t="s">
        <v>496</v>
      </c>
      <c r="C108" s="5" t="s">
        <v>501</v>
      </c>
      <c r="D108" s="5" t="s">
        <v>502</v>
      </c>
    </row>
    <row r="109" spans="1:4" x14ac:dyDescent="0.25">
      <c r="A109" s="16">
        <v>105</v>
      </c>
      <c r="B109" s="12" t="s">
        <v>496</v>
      </c>
      <c r="C109" s="5" t="s">
        <v>503</v>
      </c>
      <c r="D109" s="5" t="s">
        <v>504</v>
      </c>
    </row>
    <row r="110" spans="1:4" x14ac:dyDescent="0.25">
      <c r="A110" s="16">
        <v>106</v>
      </c>
      <c r="B110" s="12" t="s">
        <v>496</v>
      </c>
      <c r="C110" s="5" t="s">
        <v>505</v>
      </c>
      <c r="D110" s="5" t="s">
        <v>506</v>
      </c>
    </row>
    <row r="111" spans="1:4" x14ac:dyDescent="0.25">
      <c r="A111" s="16">
        <v>107</v>
      </c>
      <c r="B111" s="12" t="s">
        <v>496</v>
      </c>
      <c r="C111" s="5" t="s">
        <v>507</v>
      </c>
      <c r="D111" s="5" t="s">
        <v>508</v>
      </c>
    </row>
    <row r="112" spans="1:4" x14ac:dyDescent="0.25">
      <c r="A112" s="16">
        <v>108</v>
      </c>
      <c r="B112" s="12" t="s">
        <v>496</v>
      </c>
      <c r="C112" s="5" t="s">
        <v>509</v>
      </c>
      <c r="D112" s="5" t="s">
        <v>510</v>
      </c>
    </row>
    <row r="113" spans="1:4" x14ac:dyDescent="0.25">
      <c r="A113" s="16">
        <v>109</v>
      </c>
      <c r="B113" s="12" t="s">
        <v>496</v>
      </c>
      <c r="C113" s="5" t="s">
        <v>511</v>
      </c>
      <c r="D113" s="5" t="s">
        <v>512</v>
      </c>
    </row>
    <row r="114" spans="1:4" x14ac:dyDescent="0.25">
      <c r="A114" s="16">
        <v>110</v>
      </c>
      <c r="B114" s="12" t="s">
        <v>496</v>
      </c>
      <c r="C114" s="5" t="s">
        <v>513</v>
      </c>
      <c r="D114" s="5" t="s">
        <v>514</v>
      </c>
    </row>
    <row r="115" spans="1:4" x14ac:dyDescent="0.25">
      <c r="A115" s="16">
        <v>111</v>
      </c>
      <c r="B115" s="12" t="s">
        <v>496</v>
      </c>
      <c r="C115" s="5" t="s">
        <v>515</v>
      </c>
      <c r="D115" s="5" t="s">
        <v>516</v>
      </c>
    </row>
    <row r="116" spans="1:4" x14ac:dyDescent="0.25">
      <c r="A116" s="16">
        <v>112</v>
      </c>
      <c r="B116" s="12" t="s">
        <v>496</v>
      </c>
      <c r="C116" s="5" t="s">
        <v>517</v>
      </c>
      <c r="D116" s="5" t="s">
        <v>518</v>
      </c>
    </row>
    <row r="117" spans="1:4" x14ac:dyDescent="0.25">
      <c r="A117" s="16">
        <v>113</v>
      </c>
      <c r="B117" s="12" t="s">
        <v>496</v>
      </c>
      <c r="C117" s="5" t="s">
        <v>519</v>
      </c>
      <c r="D117" s="5" t="s">
        <v>520</v>
      </c>
    </row>
    <row r="118" spans="1:4" x14ac:dyDescent="0.25">
      <c r="A118" s="16">
        <v>114</v>
      </c>
      <c r="B118" s="12" t="s">
        <v>496</v>
      </c>
      <c r="C118" s="5" t="s">
        <v>521</v>
      </c>
      <c r="D118" s="5" t="s">
        <v>522</v>
      </c>
    </row>
    <row r="119" spans="1:4" x14ac:dyDescent="0.25">
      <c r="A119" s="16">
        <v>115</v>
      </c>
      <c r="B119" s="13" t="s">
        <v>523</v>
      </c>
      <c r="C119" s="5" t="s">
        <v>524</v>
      </c>
      <c r="D119" s="5" t="s">
        <v>525</v>
      </c>
    </row>
    <row r="120" spans="1:4" x14ac:dyDescent="0.25">
      <c r="A120" s="16">
        <v>116</v>
      </c>
      <c r="B120" s="13" t="s">
        <v>523</v>
      </c>
      <c r="C120" s="5" t="s">
        <v>526</v>
      </c>
      <c r="D120" s="5" t="s">
        <v>527</v>
      </c>
    </row>
    <row r="121" spans="1:4" x14ac:dyDescent="0.25">
      <c r="A121" s="16">
        <v>117</v>
      </c>
      <c r="B121" s="13" t="s">
        <v>523</v>
      </c>
      <c r="C121" s="5" t="s">
        <v>528</v>
      </c>
      <c r="D121" s="5" t="s">
        <v>529</v>
      </c>
    </row>
    <row r="122" spans="1:4" x14ac:dyDescent="0.25">
      <c r="A122" s="16">
        <v>118</v>
      </c>
      <c r="B122" s="13" t="s">
        <v>523</v>
      </c>
      <c r="C122" s="5" t="s">
        <v>530</v>
      </c>
      <c r="D122" s="5" t="s">
        <v>531</v>
      </c>
    </row>
    <row r="123" spans="1:4" x14ac:dyDescent="0.25">
      <c r="A123" s="16">
        <v>119</v>
      </c>
      <c r="B123" s="13" t="s">
        <v>523</v>
      </c>
      <c r="C123" s="5" t="s">
        <v>532</v>
      </c>
      <c r="D123" s="5" t="s">
        <v>533</v>
      </c>
    </row>
    <row r="124" spans="1:4" x14ac:dyDescent="0.25">
      <c r="A124" s="16">
        <v>120</v>
      </c>
      <c r="B124" s="13" t="s">
        <v>523</v>
      </c>
      <c r="C124" s="5" t="s">
        <v>534</v>
      </c>
      <c r="D124" s="5" t="s">
        <v>535</v>
      </c>
    </row>
    <row r="125" spans="1:4" x14ac:dyDescent="0.25">
      <c r="A125" s="16">
        <v>121</v>
      </c>
      <c r="B125" s="13" t="s">
        <v>523</v>
      </c>
      <c r="C125" s="5" t="s">
        <v>536</v>
      </c>
      <c r="D125" s="5" t="s">
        <v>537</v>
      </c>
    </row>
    <row r="126" spans="1:4" x14ac:dyDescent="0.25">
      <c r="A126" s="16">
        <v>122</v>
      </c>
      <c r="B126" s="13" t="s">
        <v>523</v>
      </c>
      <c r="C126" s="5" t="s">
        <v>538</v>
      </c>
      <c r="D126" s="5" t="s">
        <v>539</v>
      </c>
    </row>
    <row r="127" spans="1:4" x14ac:dyDescent="0.25">
      <c r="A127" s="16">
        <v>123</v>
      </c>
      <c r="B127" s="13" t="s">
        <v>523</v>
      </c>
      <c r="C127" s="5" t="s">
        <v>540</v>
      </c>
      <c r="D127" s="5" t="s">
        <v>541</v>
      </c>
    </row>
    <row r="128" spans="1:4" x14ac:dyDescent="0.25">
      <c r="A128" s="16">
        <v>124</v>
      </c>
      <c r="B128" s="13" t="s">
        <v>523</v>
      </c>
      <c r="C128" s="5" t="s">
        <v>624</v>
      </c>
      <c r="D128" s="5" t="s">
        <v>625</v>
      </c>
    </row>
    <row r="129" spans="1:4" x14ac:dyDescent="0.25">
      <c r="A129" s="16">
        <v>125</v>
      </c>
      <c r="B129" s="13" t="s">
        <v>523</v>
      </c>
      <c r="C129" s="5" t="s">
        <v>568</v>
      </c>
      <c r="D129" s="5" t="s">
        <v>569</v>
      </c>
    </row>
    <row r="130" spans="1:4" x14ac:dyDescent="0.25">
      <c r="A130" s="16">
        <v>126</v>
      </c>
      <c r="B130" s="13" t="s">
        <v>523</v>
      </c>
      <c r="C130" s="5" t="s">
        <v>627</v>
      </c>
      <c r="D130" s="5" t="s">
        <v>628</v>
      </c>
    </row>
    <row r="131" spans="1:4" x14ac:dyDescent="0.25">
      <c r="A131" s="16">
        <v>127</v>
      </c>
      <c r="B131" s="14" t="s">
        <v>542</v>
      </c>
      <c r="C131" s="5" t="s">
        <v>543</v>
      </c>
      <c r="D131" s="5" t="s">
        <v>544</v>
      </c>
    </row>
    <row r="132" spans="1:4" x14ac:dyDescent="0.25">
      <c r="A132" s="16">
        <v>128</v>
      </c>
      <c r="B132" s="14" t="s">
        <v>542</v>
      </c>
      <c r="C132" s="5" t="s">
        <v>545</v>
      </c>
      <c r="D132" s="5" t="s">
        <v>546</v>
      </c>
    </row>
    <row r="133" spans="1:4" x14ac:dyDescent="0.25">
      <c r="A133" s="16">
        <v>127</v>
      </c>
      <c r="B133" s="14" t="s">
        <v>542</v>
      </c>
      <c r="C133" s="5" t="s">
        <v>547</v>
      </c>
      <c r="D133" s="5" t="s">
        <v>548</v>
      </c>
    </row>
    <row r="135" spans="1:4" x14ac:dyDescent="0.25">
      <c r="B135" s="1" t="s">
        <v>331</v>
      </c>
      <c r="C135" s="2" t="s">
        <v>332</v>
      </c>
      <c r="D135" s="2" t="s">
        <v>333</v>
      </c>
    </row>
    <row r="136" spans="1:4" x14ac:dyDescent="0.25">
      <c r="B136" s="14" t="s">
        <v>3</v>
      </c>
      <c r="C136" s="16">
        <f>COUNTIF(B2:B133,"Hubs")</f>
        <v>12</v>
      </c>
      <c r="D136" s="5" t="s">
        <v>699</v>
      </c>
    </row>
    <row r="137" spans="1:4" x14ac:dyDescent="0.25">
      <c r="B137" s="14" t="s">
        <v>28</v>
      </c>
      <c r="C137" s="16">
        <f>COUNTIF(B2:B133,"MCP")</f>
        <v>1</v>
      </c>
      <c r="D137" s="5" t="s">
        <v>700</v>
      </c>
    </row>
    <row r="138" spans="1:4" x14ac:dyDescent="0.25">
      <c r="B138" s="14" t="s">
        <v>341</v>
      </c>
      <c r="C138" s="16">
        <f>COUNTIF(B2:B133,"Frameworks")</f>
        <v>16</v>
      </c>
      <c r="D138" s="5" t="s">
        <v>701</v>
      </c>
    </row>
    <row r="139" spans="1:4" x14ac:dyDescent="0.25">
      <c r="B139" s="14" t="s">
        <v>339</v>
      </c>
      <c r="C139" s="16">
        <f>COUNTIF(B2:B133,"Signal Briefs")</f>
        <v>26</v>
      </c>
      <c r="D139" s="5" t="s">
        <v>745</v>
      </c>
    </row>
    <row r="140" spans="1:4" x14ac:dyDescent="0.25">
      <c r="B140" s="14" t="s">
        <v>430</v>
      </c>
      <c r="C140" s="16">
        <f>COUNTIF(B2:B133,"Lexicons")</f>
        <v>31</v>
      </c>
      <c r="D140" s="5" t="s">
        <v>746</v>
      </c>
    </row>
    <row r="141" spans="1:4" x14ac:dyDescent="0.25">
      <c r="B141" s="14" t="s">
        <v>469</v>
      </c>
      <c r="C141" s="16">
        <f>COUNTIF(B2:B133,"Leadership &amp; Doctrine")</f>
        <v>14</v>
      </c>
      <c r="D141" s="5" t="s">
        <v>747</v>
      </c>
    </row>
    <row r="142" spans="1:4" x14ac:dyDescent="0.25">
      <c r="B142" s="14" t="s">
        <v>347</v>
      </c>
      <c r="C142" s="16">
        <f>COUNTIF(B2:B133,"EEI Index Hub")</f>
        <v>4</v>
      </c>
      <c r="D142" s="5" t="s">
        <v>748</v>
      </c>
    </row>
    <row r="143" spans="1:4" x14ac:dyDescent="0.25">
      <c r="B143" s="14" t="s">
        <v>496</v>
      </c>
      <c r="C143" s="16">
        <f>COUNTIF(B2:B133,"EEI Signals")</f>
        <v>13</v>
      </c>
      <c r="D143" s="5" t="s">
        <v>749</v>
      </c>
    </row>
    <row r="144" spans="1:4" x14ac:dyDescent="0.25">
      <c r="B144" s="14" t="s">
        <v>523</v>
      </c>
      <c r="C144" s="16">
        <f>COUNTIF(B2:B133,"ECI Reports")</f>
        <v>12</v>
      </c>
      <c r="D144" s="5" t="s">
        <v>750</v>
      </c>
    </row>
    <row r="145" spans="2:4" x14ac:dyDescent="0.25">
      <c r="B145" s="14" t="s">
        <v>542</v>
      </c>
      <c r="C145" s="16">
        <f>COUNTIF(B2:B133,"sPEG Indices")</f>
        <v>3</v>
      </c>
      <c r="D145" s="5" t="s">
        <v>751</v>
      </c>
    </row>
    <row r="146" spans="2:4" x14ac:dyDescent="0.25">
      <c r="B146" s="17" t="s">
        <v>334</v>
      </c>
      <c r="C146" s="18">
        <f>COUNTA(D2:D133)</f>
        <v>132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C4D1-9743-4395-9881-D5D8267ADDE8}">
  <dimension ref="A1:C19"/>
  <sheetViews>
    <sheetView tabSelected="1" workbookViewId="0">
      <pane ySplit="1" topLeftCell="A2" activePane="bottomLeft" state="frozen"/>
      <selection pane="bottomLeft" sqref="A1:C12"/>
    </sheetView>
  </sheetViews>
  <sheetFormatPr defaultRowHeight="15" x14ac:dyDescent="0.25"/>
  <cols>
    <col min="1" max="1" width="34.28515625" customWidth="1"/>
    <col min="2" max="2" width="72.42578125" customWidth="1"/>
    <col min="3" max="3" width="99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4" t="s">
        <v>3</v>
      </c>
      <c r="B2" s="5" t="s">
        <v>335</v>
      </c>
      <c r="C2" s="5" t="s">
        <v>549</v>
      </c>
    </row>
    <row r="3" spans="1:3" x14ac:dyDescent="0.25">
      <c r="A3" s="4" t="s">
        <v>3</v>
      </c>
      <c r="B3" s="5" t="s">
        <v>550</v>
      </c>
      <c r="C3" s="5" t="s">
        <v>551</v>
      </c>
    </row>
    <row r="4" spans="1:3" x14ac:dyDescent="0.25">
      <c r="A4" s="4" t="s">
        <v>3</v>
      </c>
      <c r="B4" s="5" t="s">
        <v>552</v>
      </c>
      <c r="C4" s="5" t="s">
        <v>553</v>
      </c>
    </row>
    <row r="5" spans="1:3" x14ac:dyDescent="0.25">
      <c r="A5" s="4" t="s">
        <v>3</v>
      </c>
      <c r="B5" s="5" t="s">
        <v>554</v>
      </c>
      <c r="C5" s="5" t="s">
        <v>555</v>
      </c>
    </row>
    <row r="6" spans="1:3" x14ac:dyDescent="0.25">
      <c r="A6" s="4" t="s">
        <v>3</v>
      </c>
      <c r="B6" s="5" t="s">
        <v>696</v>
      </c>
      <c r="C6" s="5" t="s">
        <v>702</v>
      </c>
    </row>
    <row r="7" spans="1:3" x14ac:dyDescent="0.25">
      <c r="A7" s="8" t="s">
        <v>556</v>
      </c>
      <c r="B7" s="5" t="s">
        <v>557</v>
      </c>
      <c r="C7" s="5" t="s">
        <v>558</v>
      </c>
    </row>
    <row r="8" spans="1:3" x14ac:dyDescent="0.25">
      <c r="A8" s="8" t="s">
        <v>556</v>
      </c>
      <c r="B8" s="5" t="s">
        <v>559</v>
      </c>
      <c r="C8" s="5" t="s">
        <v>560</v>
      </c>
    </row>
    <row r="9" spans="1:3" x14ac:dyDescent="0.25">
      <c r="A9" s="8" t="s">
        <v>556</v>
      </c>
      <c r="B9" s="5" t="s">
        <v>561</v>
      </c>
      <c r="C9" s="5" t="s">
        <v>562</v>
      </c>
    </row>
    <row r="10" spans="1:3" x14ac:dyDescent="0.25">
      <c r="A10" s="8" t="s">
        <v>556</v>
      </c>
      <c r="B10" s="5" t="s">
        <v>563</v>
      </c>
      <c r="C10" s="5" t="s">
        <v>564</v>
      </c>
    </row>
    <row r="11" spans="1:3" x14ac:dyDescent="0.25">
      <c r="A11" s="8" t="s">
        <v>556</v>
      </c>
      <c r="B11" s="5" t="s">
        <v>565</v>
      </c>
      <c r="C11" s="5" t="s">
        <v>566</v>
      </c>
    </row>
    <row r="12" spans="1:3" x14ac:dyDescent="0.25">
      <c r="A12" s="6" t="s">
        <v>28</v>
      </c>
      <c r="B12" s="7" t="s">
        <v>29</v>
      </c>
      <c r="C12" s="7" t="s">
        <v>567</v>
      </c>
    </row>
    <row r="14" spans="1:3" x14ac:dyDescent="0.25">
      <c r="A14" s="1" t="s">
        <v>331</v>
      </c>
      <c r="B14" s="2" t="s">
        <v>332</v>
      </c>
      <c r="C14" s="2" t="s">
        <v>333</v>
      </c>
    </row>
    <row r="15" spans="1:3" x14ac:dyDescent="0.25">
      <c r="A15" s="3" t="s">
        <v>3</v>
      </c>
      <c r="B15" s="16">
        <f>COUNTIF(A2:A12,"Hubs")</f>
        <v>5</v>
      </c>
      <c r="C15" t="s">
        <v>703</v>
      </c>
    </row>
    <row r="16" spans="1:3" x14ac:dyDescent="0.25">
      <c r="A16" s="3" t="s">
        <v>556</v>
      </c>
      <c r="B16" s="16">
        <f>COUNTIF(A2:A12,"Intelligence")</f>
        <v>5</v>
      </c>
      <c r="C16" t="s">
        <v>704</v>
      </c>
    </row>
    <row r="17" spans="1:3" x14ac:dyDescent="0.25">
      <c r="A17" s="3" t="s">
        <v>28</v>
      </c>
      <c r="B17" s="16">
        <f>COUNTIF(A2:A12,"MCP")</f>
        <v>1</v>
      </c>
      <c r="C17" t="s">
        <v>705</v>
      </c>
    </row>
    <row r="19" spans="1:3" x14ac:dyDescent="0.25">
      <c r="A19" s="17" t="s">
        <v>334</v>
      </c>
      <c r="B19" s="18">
        <f>COUNTA(C2:C12)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TG</vt:lpstr>
      <vt:lpstr>EXMXC</vt:lpstr>
      <vt:lpstr>MikeYe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Ye</dc:creator>
  <cp:lastModifiedBy>Michael Ye</cp:lastModifiedBy>
  <dcterms:created xsi:type="dcterms:W3CDTF">2026-02-23T23:32:42Z</dcterms:created>
  <dcterms:modified xsi:type="dcterms:W3CDTF">2026-04-12T18:46:43Z</dcterms:modified>
</cp:coreProperties>
</file>
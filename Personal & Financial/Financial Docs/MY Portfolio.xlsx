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8160fc85f4c918/Documents/Claude CoWork/"/>
    </mc:Choice>
  </mc:AlternateContent>
  <xr:revisionPtr revIDLastSave="771" documentId="14_{32E5E7DA-1BF7-49CE-814E-CFC121AFADCB}" xr6:coauthVersionLast="47" xr6:coauthVersionMax="47" xr10:uidLastSave="{5A15586E-93EC-4906-A786-C0113281A515}"/>
  <bookViews>
    <workbookView xWindow="-120" yWindow="-120" windowWidth="29040" windowHeight="15720" activeTab="1" xr2:uid="{51658058-8315-A640-B733-1DFC39D6EEC8}"/>
  </bookViews>
  <sheets>
    <sheet name="Total" sheetId="3" r:id="rId1"/>
    <sheet name="Port 1" sheetId="1" r:id="rId2"/>
    <sheet name="Port IRA" sheetId="2" r:id="rId3"/>
    <sheet name="Values" sheetId="4" r:id="rId4"/>
    <sheet name="War Risk Analysi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 a="1"/>
  <c r="K14" i="1" s="1"/>
  <c r="K2" i="1"/>
  <c r="K3" i="1"/>
  <c r="K4" i="1"/>
  <c r="K5" i="1"/>
  <c r="K6" i="1"/>
  <c r="K7" i="1"/>
  <c r="K8" i="1"/>
  <c r="K9" i="1"/>
  <c r="K10" i="1"/>
  <c r="K11" i="1"/>
  <c r="F23" i="1"/>
  <c r="F22" i="1"/>
  <c r="F19" i="1"/>
  <c r="E23" i="1"/>
  <c r="E22" i="1"/>
  <c r="E19" i="1"/>
  <c r="M14" i="1"/>
  <c r="L13" i="1"/>
  <c r="L2" i="1"/>
  <c r="L14" i="1" s="1"/>
  <c r="L3" i="1"/>
  <c r="L4" i="1"/>
  <c r="L5" i="1"/>
  <c r="L6" i="1"/>
  <c r="L7" i="1"/>
  <c r="L8" i="1"/>
  <c r="L9" i="1"/>
  <c r="L10" i="1"/>
  <c r="L11" i="1"/>
  <c r="J14" i="1"/>
  <c r="I14" i="1"/>
  <c r="H14" i="1"/>
  <c r="F43" i="5"/>
  <c r="E29" i="3"/>
  <c r="E19" i="2"/>
  <c r="E17" i="2"/>
  <c r="E16" i="2"/>
  <c r="J13" i="2"/>
  <c r="L4" i="2" s="1"/>
  <c r="I13" i="2"/>
  <c r="K13" i="2" s="1" a="1"/>
  <c r="K13" i="2" s="1"/>
  <c r="H13" i="2"/>
  <c r="K4" i="2"/>
  <c r="K3" i="2"/>
  <c r="K2" i="2"/>
  <c r="M13" i="2"/>
  <c r="C6" i="3"/>
  <c r="D24" i="3"/>
  <c r="C24" i="3"/>
  <c r="E23" i="3"/>
  <c r="E22" i="3"/>
  <c r="E21" i="3"/>
  <c r="E20" i="3"/>
  <c r="D17" i="3"/>
  <c r="C17" i="3"/>
  <c r="E16" i="3"/>
  <c r="G16" i="3" s="1"/>
  <c r="E15" i="3"/>
  <c r="G15" i="3" s="1"/>
  <c r="E14" i="3"/>
  <c r="G14" i="3" s="1"/>
  <c r="E13" i="3"/>
  <c r="G13" i="3" s="1"/>
  <c r="E12" i="3"/>
  <c r="G12" i="3" s="1"/>
  <c r="E11" i="3"/>
  <c r="G11" i="3" s="1"/>
  <c r="E10" i="3"/>
  <c r="G10" i="3" s="1"/>
  <c r="E9" i="3"/>
  <c r="G9" i="3" s="1"/>
  <c r="E6" i="3"/>
  <c r="F5" i="3" s="1"/>
  <c r="D6" i="3"/>
  <c r="E24" i="3" l="1"/>
  <c r="F23" i="3" s="1"/>
  <c r="L3" i="2"/>
  <c r="L2" i="2"/>
  <c r="G17" i="3"/>
  <c r="H12" i="3" s="1"/>
  <c r="E17" i="3"/>
  <c r="F4" i="3"/>
  <c r="F6" i="3" s="1"/>
  <c r="L12" i="2"/>
  <c r="N13" i="2"/>
  <c r="E20" i="2"/>
  <c r="F17" i="2" s="1"/>
  <c r="L13" i="2" l="1"/>
  <c r="F22" i="3"/>
  <c r="F21" i="3"/>
  <c r="F20" i="3"/>
  <c r="F24" i="3" s="1"/>
  <c r="H14" i="3"/>
  <c r="H13" i="3"/>
  <c r="H16" i="3"/>
  <c r="H15" i="3"/>
  <c r="H9" i="3"/>
  <c r="H11" i="3"/>
  <c r="H10" i="3"/>
  <c r="F20" i="2"/>
  <c r="F18" i="2"/>
  <c r="F19" i="2"/>
  <c r="F16" i="2"/>
  <c r="H1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Ye</author>
  </authors>
  <commentList>
    <comment ref="A4" authorId="0" shapeId="0" xr:uid="{B7908F5D-2850-47EB-B068-C814A13DD0AE}">
      <text>
        <r>
          <rPr>
            <b/>
            <sz val="9"/>
            <color indexed="81"/>
            <rFont val="Tahoma"/>
            <family val="2"/>
          </rPr>
          <t>Michael Ye:</t>
        </r>
        <r>
          <rPr>
            <sz val="9"/>
            <color indexed="81"/>
            <rFont val="Tahoma"/>
            <family val="2"/>
          </rPr>
          <t xml:space="preserve">
Linked to Port 1 sheet totals (J30, H30, I30)</t>
        </r>
      </text>
    </comment>
    <comment ref="C4" authorId="0" shapeId="0" xr:uid="{B2262789-3FD0-4D1C-886E-0CB17EC81924}">
      <text>
        <r>
          <rPr>
            <b/>
            <sz val="9"/>
            <color indexed="81"/>
            <rFont val="Tahoma"/>
            <family val="2"/>
          </rPr>
          <t>Source: 'Port 1'!H31 — Day's Gain total</t>
        </r>
      </text>
    </comment>
    <comment ref="D4" authorId="0" shapeId="0" xr:uid="{3AFC944B-9AC8-4863-93B1-57BF7ADCC843}">
      <text>
        <r>
          <rPr>
            <b/>
            <sz val="9"/>
            <color indexed="81"/>
            <rFont val="Tahoma"/>
            <family val="2"/>
          </rPr>
          <t>Source: 'Port 1'!I31 — Total Gain</t>
        </r>
      </text>
    </comment>
    <comment ref="E4" authorId="0" shapeId="0" xr:uid="{6AF08D83-85C1-4BFA-86B2-5A37150F9F2F}">
      <text>
        <r>
          <rPr>
            <b/>
            <sz val="9"/>
            <color indexed="81"/>
            <rFont val="Tahoma"/>
            <family val="2"/>
          </rPr>
          <t>Source: 'Port 1'!J31 — Grand Total value</t>
        </r>
      </text>
    </comment>
    <comment ref="A5" authorId="0" shapeId="0" xr:uid="{9C420B22-8FA5-49D2-942C-66924313030F}">
      <text>
        <r>
          <rPr>
            <b/>
            <sz val="9"/>
            <color indexed="81"/>
            <rFont val="Tahoma"/>
            <family val="2"/>
          </rPr>
          <t>Michael Ye:</t>
        </r>
        <r>
          <rPr>
            <sz val="9"/>
            <color indexed="81"/>
            <rFont val="Tahoma"/>
            <family val="2"/>
          </rPr>
          <t xml:space="preserve">
Linked to Port IRA sheet totals (J12, H12, I12)</t>
        </r>
      </text>
    </comment>
    <comment ref="C5" authorId="0" shapeId="0" xr:uid="{13B0401B-6F4C-4027-8BEB-11AD13CEDDFB}">
      <text>
        <r>
          <rPr>
            <b/>
            <sz val="9"/>
            <color indexed="81"/>
            <rFont val="Tahoma"/>
            <family val="2"/>
          </rPr>
          <t>Source: 'Port IRA'!H12 — Day's Gain total (sum of H2:H6)</t>
        </r>
      </text>
    </comment>
    <comment ref="D5" authorId="0" shapeId="0" xr:uid="{E376E8F8-BC8D-4C76-8267-4FA58E29654C}">
      <text>
        <r>
          <rPr>
            <b/>
            <sz val="9"/>
            <color indexed="81"/>
            <rFont val="Tahoma"/>
            <family val="2"/>
          </rPr>
          <t>Source: 'Port IRA'!I12 — Total Gain total (sum of I2:I6)</t>
        </r>
      </text>
    </comment>
    <comment ref="E5" authorId="0" shapeId="0" xr:uid="{2BCFD9A0-C93E-4D0C-8324-BECAE3553F96}">
      <text>
        <r>
          <rPr>
            <b/>
            <sz val="9"/>
            <color indexed="81"/>
            <rFont val="Tahoma"/>
            <family val="2"/>
          </rPr>
          <t>Source: 'Port IRA'!J13 — Grand Total value</t>
        </r>
      </text>
    </comment>
    <comment ref="C9" authorId="0" shapeId="0" xr:uid="{855082B3-84B7-4872-BB9B-ED942AA6D80B}">
      <text>
        <r>
          <rPr>
            <b/>
            <sz val="9"/>
            <color indexed="81"/>
            <rFont val="Tahoma"/>
            <family val="2"/>
          </rPr>
          <t>Source: 'Port 1'!F5</t>
        </r>
      </text>
    </comment>
    <comment ref="D9" authorId="0" shapeId="0" xr:uid="{497157CF-6B5D-4455-993D-46C9994B3879}">
      <text>
        <r>
          <rPr>
            <b/>
            <sz val="9"/>
            <color indexed="81"/>
            <rFont val="Tahoma"/>
            <family val="2"/>
          </rPr>
          <t>Source: 'Port IRA'!F2</t>
        </r>
      </text>
    </comment>
    <comment ref="F9" authorId="0" shapeId="0" xr:uid="{FB6905B3-F9F6-4847-B1E8-818B41394D1D}">
      <text>
        <r>
          <rPr>
            <b/>
            <sz val="9"/>
            <color indexed="81"/>
            <rFont val="Tahoma"/>
            <family val="2"/>
          </rPr>
          <t>Source: 'Port 1'!C5</t>
        </r>
      </text>
    </comment>
    <comment ref="C10" authorId="0" shapeId="0" xr:uid="{E2F673AC-CFDC-4B9D-88E9-28D058389C2A}">
      <text>
        <r>
          <rPr>
            <b/>
            <sz val="9"/>
            <color indexed="81"/>
            <rFont val="Tahoma"/>
            <family val="2"/>
          </rPr>
          <t>Source: 'Port 1'!F24</t>
        </r>
      </text>
    </comment>
    <comment ref="F10" authorId="0" shapeId="0" xr:uid="{49831EEE-075B-4353-A3DF-8D9C71873C06}">
      <text>
        <r>
          <rPr>
            <b/>
            <sz val="9"/>
            <color indexed="81"/>
            <rFont val="Tahoma"/>
            <family val="2"/>
          </rPr>
          <t>Source: 'Port 1'!C24</t>
        </r>
      </text>
    </comment>
    <comment ref="C11" authorId="0" shapeId="0" xr:uid="{A798D8CF-1773-4282-88C6-A8EEF628C5F5}">
      <text>
        <r>
          <rPr>
            <b/>
            <sz val="9"/>
            <color indexed="81"/>
            <rFont val="Tahoma"/>
            <family val="2"/>
          </rPr>
          <t>Source: 'Port 1'!F11</t>
        </r>
      </text>
    </comment>
    <comment ref="D11" authorId="0" shapeId="0" xr:uid="{F6FEF6F8-E224-46C9-B69F-F29F0DCD854D}">
      <text>
        <r>
          <rPr>
            <b/>
            <sz val="9"/>
            <color indexed="81"/>
            <rFont val="Tahoma"/>
            <family val="2"/>
          </rPr>
          <t>Source: 'Port IRA'!F3</t>
        </r>
      </text>
    </comment>
    <comment ref="F11" authorId="0" shapeId="0" xr:uid="{FEABE8D6-DC62-40B2-8065-1A4595336C18}">
      <text>
        <r>
          <rPr>
            <b/>
            <sz val="9"/>
            <color indexed="81"/>
            <rFont val="Tahoma"/>
            <family val="2"/>
          </rPr>
          <t>Source: 'Port 1'!C11</t>
        </r>
      </text>
    </comment>
    <comment ref="C12" authorId="0" shapeId="0" xr:uid="{D9F3AA48-98B3-47CB-884B-1F6DECD2EEBD}">
      <text>
        <r>
          <rPr>
            <b/>
            <sz val="9"/>
            <color indexed="81"/>
            <rFont val="Tahoma"/>
            <family val="2"/>
          </rPr>
          <t>Source: 'Port 1'!F22</t>
        </r>
      </text>
    </comment>
    <comment ref="F12" authorId="0" shapeId="0" xr:uid="{8F35D1B8-599A-49FE-87BF-AA36857D7F4B}">
      <text>
        <r>
          <rPr>
            <b/>
            <sz val="9"/>
            <color indexed="81"/>
            <rFont val="Tahoma"/>
            <family val="2"/>
          </rPr>
          <t>Source: 'Port 1'!C22</t>
        </r>
      </text>
    </comment>
    <comment ref="C13" authorId="0" shapeId="0" xr:uid="{82655D1D-BD1B-46A8-AB8E-41C14AC4505B}">
      <text>
        <r>
          <rPr>
            <b/>
            <sz val="9"/>
            <color indexed="81"/>
            <rFont val="Tahoma"/>
            <family val="2"/>
          </rPr>
          <t>Source: 'Port 1'!F18</t>
        </r>
      </text>
    </comment>
    <comment ref="D13" authorId="0" shapeId="0" xr:uid="{7F242464-1AC0-40FA-B07A-4B3349D516D9}">
      <text>
        <r>
          <rPr>
            <b/>
            <sz val="9"/>
            <color indexed="81"/>
            <rFont val="Tahoma"/>
            <family val="2"/>
          </rPr>
          <t>Michael Ye:</t>
        </r>
        <r>
          <rPr>
            <sz val="9"/>
            <color indexed="81"/>
            <rFont val="Tahoma"/>
            <family val="2"/>
          </rPr>
          <t xml:space="preserve">
Source: 'Port IRA'!F7</t>
        </r>
      </text>
    </comment>
    <comment ref="F13" authorId="0" shapeId="0" xr:uid="{5C02ADFE-89C9-4CFA-9FAD-0ACFA1F652D1}">
      <text>
        <r>
          <rPr>
            <b/>
            <sz val="9"/>
            <color indexed="81"/>
            <rFont val="Tahoma"/>
            <family val="2"/>
          </rPr>
          <t>Source: 'Port 1'!C18</t>
        </r>
      </text>
    </comment>
    <comment ref="C14" authorId="0" shapeId="0" xr:uid="{F732A8A7-688C-46E0-B4D4-89F234225BAE}">
      <text>
        <r>
          <rPr>
            <b/>
            <sz val="9"/>
            <color indexed="81"/>
            <rFont val="Tahoma"/>
            <family val="2"/>
          </rPr>
          <t>Michael Ye:</t>
        </r>
        <r>
          <rPr>
            <sz val="9"/>
            <color indexed="81"/>
            <rFont val="Tahoma"/>
            <family val="2"/>
          </rPr>
          <t xml:space="preserve">
Source: 'Port 1'!F16</t>
        </r>
      </text>
    </comment>
    <comment ref="D14" authorId="0" shapeId="0" xr:uid="{95A38D1F-D687-4B61-BAFE-79537DDDE506}">
      <text>
        <r>
          <rPr>
            <b/>
            <sz val="9"/>
            <color indexed="81"/>
            <rFont val="Tahoma"/>
            <family val="2"/>
          </rPr>
          <t>Source: 'Port IRA'!F4</t>
        </r>
      </text>
    </comment>
    <comment ref="F14" authorId="0" shapeId="0" xr:uid="{838CDB27-8C7B-4857-8160-3666F6D1EFB6}">
      <text>
        <r>
          <rPr>
            <b/>
            <sz val="9"/>
            <color indexed="81"/>
            <rFont val="Tahoma"/>
            <family val="2"/>
          </rPr>
          <t>Source: 'Port IRA'!C4</t>
        </r>
      </text>
    </comment>
    <comment ref="D15" authorId="0" shapeId="0" xr:uid="{9BCEC5FD-C98E-4469-A2D7-CB004B393302}">
      <text>
        <r>
          <rPr>
            <b/>
            <sz val="9"/>
            <color indexed="81"/>
            <rFont val="Tahoma"/>
            <family val="2"/>
          </rPr>
          <t>Source: 'Port IRA'!F6</t>
        </r>
      </text>
    </comment>
    <comment ref="F15" authorId="0" shapeId="0" xr:uid="{706D9147-092E-4076-A27E-743F4EB39F1D}">
      <text>
        <r>
          <rPr>
            <b/>
            <sz val="9"/>
            <color indexed="81"/>
            <rFont val="Tahoma"/>
            <family val="2"/>
          </rPr>
          <t>Source: 'Port IRA'!C6</t>
        </r>
      </text>
    </comment>
    <comment ref="C16" authorId="0" shapeId="0" xr:uid="{747F0E18-7179-4281-8354-8FE300534FCD}">
      <text>
        <r>
          <rPr>
            <b/>
            <sz val="9"/>
            <color indexed="81"/>
            <rFont val="Tahoma"/>
            <family val="2"/>
          </rPr>
          <t>Michael Ye:</t>
        </r>
        <r>
          <rPr>
            <sz val="9"/>
            <color indexed="81"/>
            <rFont val="Tahoma"/>
            <family val="2"/>
          </rPr>
          <t xml:space="preserve">
Source: 'Port 1'!F20</t>
        </r>
      </text>
    </comment>
    <comment ref="D16" authorId="0" shapeId="0" xr:uid="{22CA9B6D-B953-48CA-82DC-B06CFC751E65}">
      <text>
        <r>
          <rPr>
            <b/>
            <sz val="9"/>
            <color indexed="81"/>
            <rFont val="Tahoma"/>
            <family val="2"/>
          </rPr>
          <t>Michael Ye:</t>
        </r>
        <r>
          <rPr>
            <sz val="9"/>
            <color indexed="81"/>
            <rFont val="Tahoma"/>
            <family val="2"/>
          </rPr>
          <t xml:space="preserve">
Source: 'Port IRA'!F2</t>
        </r>
      </text>
    </comment>
    <comment ref="F16" authorId="0" shapeId="0" xr:uid="{4654615F-724E-4012-8C9E-F685CD9E54E0}">
      <text>
        <r>
          <rPr>
            <b/>
            <sz val="9"/>
            <color indexed="81"/>
            <rFont val="Tahoma"/>
            <family val="2"/>
          </rPr>
          <t>Source: 'Port 1'!C20</t>
        </r>
      </text>
    </comment>
    <comment ref="C20" authorId="0" shapeId="0" xr:uid="{1DAACF57-60A5-4135-9B2C-03C7E900B15E}">
      <text>
        <r>
          <rPr>
            <b/>
            <sz val="9"/>
            <color indexed="81"/>
            <rFont val="Tahoma"/>
            <family val="2"/>
          </rPr>
          <t>Source: 'Port 1'!E34 — Sum of stock values</t>
        </r>
      </text>
    </comment>
    <comment ref="D20" authorId="0" shapeId="0" xr:uid="{45F5A409-FD25-4F2D-B0FC-FE9ECEB6B04B}">
      <text>
        <r>
          <rPr>
            <b/>
            <sz val="9"/>
            <color indexed="81"/>
            <rFont val="Tahoma"/>
            <family val="2"/>
          </rPr>
          <t>Source: 'Port IRA'!E16 — Sum of stock values</t>
        </r>
      </text>
    </comment>
    <comment ref="C21" authorId="0" shapeId="0" xr:uid="{59EC2565-56EE-4798-BA4A-7C22CBC1C586}">
      <text>
        <r>
          <rPr>
            <b/>
            <sz val="9"/>
            <color indexed="81"/>
            <rFont val="Tahoma"/>
            <family val="2"/>
          </rPr>
          <t>Source: 'Port 1'!E35 — Long option values (EWY $160 Call + AAPL $310 Call + AAPL $300 Call)</t>
        </r>
      </text>
    </comment>
    <comment ref="D21" authorId="0" shapeId="0" xr:uid="{84FE35F2-9B0B-4414-94A4-5527C2B7E8E7}">
      <text>
        <r>
          <rPr>
            <b/>
            <sz val="9"/>
            <color indexed="81"/>
            <rFont val="Tahoma"/>
            <family val="2"/>
          </rPr>
          <t>Source: 'Port IRA'!E17 — AAPL $320 Call</t>
        </r>
      </text>
    </comment>
    <comment ref="C22" authorId="0" shapeId="0" xr:uid="{84263B34-EED9-4B35-8575-B1EB22B99CE7}">
      <text>
        <r>
          <rPr>
            <b/>
            <sz val="9"/>
            <color indexed="81"/>
            <rFont val="Tahoma"/>
            <family val="2"/>
          </rPr>
          <t>Source: 'Port 1'!E36 — Sum of short put values</t>
        </r>
      </text>
    </comment>
    <comment ref="D22" authorId="0" shapeId="0" xr:uid="{32C3286E-4C04-4750-B151-BC2E66C5C4EE}">
      <text>
        <r>
          <rPr>
            <b/>
            <sz val="9"/>
            <color indexed="81"/>
            <rFont val="Tahoma"/>
            <family val="2"/>
          </rPr>
          <t>No short options in Port IRA</t>
        </r>
      </text>
    </comment>
    <comment ref="C23" authorId="0" shapeId="0" xr:uid="{ABC675AE-961C-432D-9DE0-5FDDA42D8BD0}">
      <text>
        <r>
          <rPr>
            <b/>
            <sz val="9"/>
            <color indexed="81"/>
            <rFont val="Tahoma"/>
            <family val="2"/>
          </rPr>
          <t>Source: 'Port 1'!J30 — Cash balance</t>
        </r>
      </text>
    </comment>
    <comment ref="D23" authorId="0" shapeId="0" xr:uid="{896E1496-9435-447E-9C9A-FC13D564DF49}">
      <text>
        <r>
          <rPr>
            <b/>
            <sz val="9"/>
            <color indexed="81"/>
            <rFont val="Tahoma"/>
            <family val="2"/>
          </rPr>
          <t>Source: 'Port IRA'!J12 — Cash balance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<sst xmlns="http://schemas.openxmlformats.org/spreadsheetml/2006/main" count="527" uniqueCount="422">
  <si>
    <t>Symbol</t>
  </si>
  <si>
    <t>Description</t>
  </si>
  <si>
    <t>Last Price $</t>
  </si>
  <si>
    <t>Change $</t>
  </si>
  <si>
    <t>Change %</t>
  </si>
  <si>
    <t>Qty</t>
  </si>
  <si>
    <t>Price Paid $</t>
  </si>
  <si>
    <t>Day's Gain $</t>
  </si>
  <si>
    <t>Total Gain $</t>
  </si>
  <si>
    <t>Value $</t>
  </si>
  <si>
    <t>VRT</t>
  </si>
  <si>
    <t>TSM</t>
  </si>
  <si>
    <t>Stock</t>
  </si>
  <si>
    <t>SNDK</t>
  </si>
  <si>
    <t>MU</t>
  </si>
  <si>
    <t>KLAC</t>
  </si>
  <si>
    <t>ETN</t>
  </si>
  <si>
    <t>ASML</t>
  </si>
  <si>
    <t>ADI</t>
  </si>
  <si>
    <t>AAPL</t>
  </si>
  <si>
    <t>Cash</t>
  </si>
  <si>
    <t>Total</t>
  </si>
  <si>
    <t>Total Gain %</t>
  </si>
  <si>
    <t>% of Portfolio</t>
  </si>
  <si>
    <t>EWY</t>
  </si>
  <si>
    <t>COMBINED PORTFOLIO SUMMARY</t>
  </si>
  <si>
    <t>ACCOUNT OVERVIEW</t>
  </si>
  <si>
    <t>% of Total</t>
  </si>
  <si>
    <t>Port 1</t>
  </si>
  <si>
    <t>Port IRA</t>
  </si>
  <si>
    <t>Combined Total</t>
  </si>
  <si>
    <t>Day's Gain</t>
  </si>
  <si>
    <t>Total Gain</t>
  </si>
  <si>
    <t>Value</t>
  </si>
  <si>
    <t>COMBINED STOCK HOLDINGS</t>
  </si>
  <si>
    <t>Port 1 Qty</t>
  </si>
  <si>
    <t>IRA Qty</t>
  </si>
  <si>
    <t>Total Qty</t>
  </si>
  <si>
    <t>Last Price</t>
  </si>
  <si>
    <t>Total Value</t>
  </si>
  <si>
    <t>% of Combined</t>
  </si>
  <si>
    <t>Taiwan Semiconductor</t>
  </si>
  <si>
    <t>Analog Devices</t>
  </si>
  <si>
    <t>Micron Technology</t>
  </si>
  <si>
    <t>ASML Holdings</t>
  </si>
  <si>
    <t>Eaton Corp</t>
  </si>
  <si>
    <t>iShares South Korea</t>
  </si>
  <si>
    <t>Apple Inc</t>
  </si>
  <si>
    <t>Total Equities</t>
  </si>
  <si>
    <t>ASSET ALLOCATION</t>
  </si>
  <si>
    <t>Combined Value</t>
  </si>
  <si>
    <t>Equities</t>
  </si>
  <si>
    <t>Options (Long)</t>
  </si>
  <si>
    <t>Options (Short)</t>
  </si>
  <si>
    <t>GRAND TOTAL</t>
  </si>
  <si>
    <t>Rank</t>
  </si>
  <si>
    <t>Company</t>
  </si>
  <si>
    <t>Raw P/EBITDA</t>
  </si>
  <si>
    <t>Scarcity Multiplier</t>
  </si>
  <si>
    <t>sPEBITDA</t>
  </si>
  <si>
    <t>True Valuation</t>
  </si>
  <si>
    <t>#1</t>
  </si>
  <si>
    <t>22.1×</t>
  </si>
  <si>
    <t>3.2×</t>
  </si>
  <si>
    <t>6.9×</t>
  </si>
  <si>
    <t>Extremely undervalued</t>
  </si>
  <si>
    <t>#2</t>
  </si>
  <si>
    <t>18.9×</t>
  </si>
  <si>
    <t>2.3×</t>
  </si>
  <si>
    <t>8.2×</t>
  </si>
  <si>
    <t>#3</t>
  </si>
  <si>
    <t>Applied Materials</t>
  </si>
  <si>
    <t>19.6×</t>
  </si>
  <si>
    <t>2.0×</t>
  </si>
  <si>
    <t>9.8×</t>
  </si>
  <si>
    <t>Very undervalued</t>
  </si>
  <si>
    <t>#4</t>
  </si>
  <si>
    <t>18.6×</t>
  </si>
  <si>
    <t>1.9×</t>
  </si>
  <si>
    <t>#5</t>
  </si>
  <si>
    <t>SK Hynix</t>
  </si>
  <si>
    <t>23.1×</t>
  </si>
  <si>
    <t>2.4×</t>
  </si>
  <si>
    <t>9.6×</t>
  </si>
  <si>
    <t>#6</t>
  </si>
  <si>
    <t>Arista Networks</t>
  </si>
  <si>
    <t>26.8×</t>
  </si>
  <si>
    <t>2.1×</t>
  </si>
  <si>
    <t>12.8×</t>
  </si>
  <si>
    <t>Fair / undervalued</t>
  </si>
  <si>
    <t>#7</t>
  </si>
  <si>
    <t>ASML Holding</t>
  </si>
  <si>
    <t>27.6×</t>
  </si>
  <si>
    <t>3.5×</t>
  </si>
  <si>
    <t>7.9×</t>
  </si>
  <si>
    <t>#8</t>
  </si>
  <si>
    <t>NVIDIA</t>
  </si>
  <si>
    <t>30.1×</t>
  </si>
  <si>
    <t>2.6×</t>
  </si>
  <si>
    <t>11.6×</t>
  </si>
  <si>
    <t>Fair valuation</t>
  </si>
  <si>
    <t>sPEBITDA Results — True Valuation Ranking</t>
  </si>
  <si>
    <t>Optimal $</t>
  </si>
  <si>
    <t>Add/Decrease</t>
  </si>
  <si>
    <t>CEG</t>
  </si>
  <si>
    <t>PORTFOLIO THESIS</t>
  </si>
  <si>
    <t>Core Thesis:</t>
  </si>
  <si>
    <t>AI Infrastructure Bottleneck + Software Disruption from AI</t>
  </si>
  <si>
    <t>LONG — AI Infrastructure Bottleneck (Physical Scarcity Layer)</t>
  </si>
  <si>
    <t>Foundational chokepoint — nearly all advanced AI chips flow through TSMC</t>
  </si>
  <si>
    <t>Memory/HBM is the critical bottleneck for AI training &amp; inference</t>
  </si>
  <si>
    <t>ASML (15%)</t>
  </si>
  <si>
    <t>Sole source of EUV lithography — ultimate scarcity asset</t>
  </si>
  <si>
    <t>Nuclear/clean energy supplying massive AI data center power demand</t>
  </si>
  <si>
    <t>Analog/mixed-signal semis essential for data center power management</t>
  </si>
  <si>
    <t>Power infrastructure backbone for AI data centers</t>
  </si>
  <si>
    <t>Hedging semiconductor equipment cyclicality</t>
  </si>
  <si>
    <t>Key Insight:</t>
  </si>
  <si>
    <t>Long the physical scarcity layer (fabs, memory, lithography, power) that can't be</t>
  </si>
  <si>
    <t>replicated quickly. Short software/services companies whose moats erode as AI</t>
  </si>
  <si>
    <t>commoditizes their value propositions.</t>
  </si>
  <si>
    <t>Concentrated AI Infrastructure + Energy Transformation</t>
  </si>
  <si>
    <t>TSM (35%)</t>
  </si>
  <si>
    <t>Dominant position — highest conviction bet on the AI fab chokepoint</t>
  </si>
  <si>
    <t>HBM memory demand driven by AI training &amp; inference scaling</t>
  </si>
  <si>
    <t>EWY (3%)</t>
  </si>
  <si>
    <t>Contrarian play: Apple owns the hardware that AI agents run on. 2B+ active devices,</t>
  </si>
  <si>
    <t>purpose-built Apple Silicon for on-device inference, and the privacy trust required</t>
  </si>
  <si>
    <t>for agents to access personal data. AI supercycle drives hardware upgrades.</t>
  </si>
  <si>
    <t>WDC</t>
  </si>
  <si>
    <t>TSM (22%)</t>
  </si>
  <si>
    <t>MU (16%)</t>
  </si>
  <si>
    <t>ADI (14%)</t>
  </si>
  <si>
    <t>CEG (8%)</t>
  </si>
  <si>
    <t>South Korea ETF — exposure to Korean semiconductor &amp; tech ecosystem</t>
  </si>
  <si>
    <t>AAPL (2%)</t>
  </si>
  <si>
    <t>ETN (1%)</t>
  </si>
  <si>
    <t>SHORT PUTS — Income &amp; Entry Points on Conviction Holdings</t>
  </si>
  <si>
    <t>Consumer storage — selling puts for income/hedging</t>
  </si>
  <si>
    <t>Storage sector — selling puts for premium income</t>
  </si>
  <si>
    <t>Data center infrastructure — selling puts for premium income</t>
  </si>
  <si>
    <t>LONG — AI Semiconductor Backbone (65% of portfolio)</t>
  </si>
  <si>
    <t>MU (30%)</t>
  </si>
  <si>
    <t>LONG — Emerging Market Tech Exposure (13% of portfolio)</t>
  </si>
  <si>
    <t>EWY (13%)</t>
  </si>
  <si>
    <t>South Korea ETF — broad exposure to Korean semiconductor &amp; tech ecosystem</t>
  </si>
  <si>
    <t>LONG — Hardware Platform for Agentic AI (15% of portfolio)</t>
  </si>
  <si>
    <t>AAPL (15%)</t>
  </si>
  <si>
    <t>Concentrated AI semiconductor conviction (TSM + MU = 65%), with Korean tech exposure (EWY) and a contrarian bet that Apple is the edge AI hardware platform.</t>
  </si>
  <si>
    <t>Constellation Energy</t>
  </si>
  <si>
    <t>US-ISRAEL-IRAN WAR: PORTFOLIO RISK ANALYSIS — Monday March 2, 2026</t>
  </si>
  <si>
    <t>SITUATION SUMMARY (as of Feb 28, 2026 evening)</t>
  </si>
  <si>
    <t>Event</t>
  </si>
  <si>
    <t>US &amp; Israel launched joint strikes on Iran ('Operation Epic Fury / Roaring Lion')</t>
  </si>
  <si>
    <t>Targets</t>
  </si>
  <si>
    <t>Nuclear facilities, IRGC HQ, military bases, leadership compounds across 24 provinces</t>
  </si>
  <si>
    <t>Key Development</t>
  </si>
  <si>
    <t>Supreme Leader Khamenei confirmed killed; top security officials also killed</t>
  </si>
  <si>
    <t>Iran Retaliation</t>
  </si>
  <si>
    <t>Missiles launched at 27 US bases in Middle East + Tel Aviv + Qatar/UAE/Bahrain/Kuwait</t>
  </si>
  <si>
    <t>Strait of Hormuz</t>
  </si>
  <si>
    <t>Iran broadcasting radio warnings to halt transit; oil companies paused shipments</t>
  </si>
  <si>
    <t>Stated Objective</t>
  </si>
  <si>
    <t>Regime change — Trump: 'hour of your freedom is at hand'; multi-day operation planned</t>
  </si>
  <si>
    <t>Escalation Risk</t>
  </si>
  <si>
    <t>VERY HIGH — Iran declaring 'no red lines', striking Gulf states hosting US military</t>
  </si>
  <si>
    <t>MONDAY MARKET SCENARIOS (CNBC, Barclays, Natixis, Eurasia Group consensus)</t>
  </si>
  <si>
    <t>Scenario</t>
  </si>
  <si>
    <t>Probability</t>
  </si>
  <si>
    <t>S&amp;P 500</t>
  </si>
  <si>
    <t>Nasdaq</t>
  </si>
  <si>
    <t>Oil (Brent)</t>
  </si>
  <si>
    <t>Gold</t>
  </si>
  <si>
    <t>Base Case: Contained Strikes</t>
  </si>
  <si>
    <t>-2% to -3%</t>
  </si>
  <si>
    <t>-3% to -4%</t>
  </si>
  <si>
    <t>$78-85/bbl</t>
  </si>
  <si>
    <t>+3-5%</t>
  </si>
  <si>
    <t>Strikes end in days, Hormuz reopens, diplomatic off-ramp</t>
  </si>
  <si>
    <t>Escalation: Prolonged Conflict</t>
  </si>
  <si>
    <t>-4% to -6%</t>
  </si>
  <si>
    <t>-5% to -8%</t>
  </si>
  <si>
    <t>$85-100/bbl</t>
  </si>
  <si>
    <t>+5-8%</t>
  </si>
  <si>
    <t>Multi-week campaign, Hormuz disrupted, Iran hits Gulf infra</t>
  </si>
  <si>
    <t>De-escalation: Quick Resolution</t>
  </si>
  <si>
    <t>-1% to -2%</t>
  </si>
  <si>
    <t>-1% to -3%</t>
  </si>
  <si>
    <t>$75-80/bbl</t>
  </si>
  <si>
    <t>+1-2%</t>
  </si>
  <si>
    <t>Iran signals willingness to negotiate, Hormuz reopens fast</t>
  </si>
  <si>
    <t>Tail Risk: Full Regional War</t>
  </si>
  <si>
    <t>-8% to -12%</t>
  </si>
  <si>
    <t>-10% to -15%</t>
  </si>
  <si>
    <t>$100-130/bbl</t>
  </si>
  <si>
    <t>+10-15%</t>
  </si>
  <si>
    <t>Iran attacks Saudi/UAE oil facilities, full Hormuz closure</t>
  </si>
  <si>
    <t>YOUR PORTFOLIO EXPOSURE ANALYSIS</t>
  </si>
  <si>
    <t>Combined Portfolio: $408,067 | Port 1: $283,525 | Port IRA: $124,543</t>
  </si>
  <si>
    <t>Holding</t>
  </si>
  <si>
    <t>Weight</t>
  </si>
  <si>
    <t>Risk Level</t>
  </si>
  <si>
    <t>Geopolitical Exposure</t>
  </si>
  <si>
    <t>Est. Monday Impact (Base)</t>
  </si>
  <si>
    <t>Action Recommended</t>
  </si>
  <si>
    <t>TSM (TSMC)</t>
  </si>
  <si>
    <t>VERY HIGH</t>
  </si>
  <si>
    <t>Taiwan/China tensions escalate if Iran draws China in</t>
  </si>
  <si>
    <t>REDUCE to 20% — sell ~85 shares across accounts</t>
  </si>
  <si>
    <t>HIGH</t>
  </si>
  <si>
    <t>European defense spending shift; supply chain risk</t>
  </si>
  <si>
    <t>REDUCE to 8% — sell 12 shares</t>
  </si>
  <si>
    <t>MU (Micron)</t>
  </si>
  <si>
    <t>MEDIUM-HIGH</t>
  </si>
  <si>
    <t>Memory demand intact but risk-off selling in semis</t>
  </si>
  <si>
    <t>REDUCE to 18% — sell 60 shares (30 P1 + 30 IRA)</t>
  </si>
  <si>
    <t>MEDIUM</t>
  </si>
  <si>
    <t>Defense/industrial exposure is a partial hedge</t>
  </si>
  <si>
    <t>-2% to -4%</t>
  </si>
  <si>
    <t>HOLD — defense-adjacent benefits</t>
  </si>
  <si>
    <t>CEG (Constellation)</t>
  </si>
  <si>
    <t>LOW-MED</t>
  </si>
  <si>
    <t>Nuclear energy; energy prices rising helps</t>
  </si>
  <si>
    <t>HOLD — energy price tailwind</t>
  </si>
  <si>
    <t>EWY (Korea ETF)</t>
  </si>
  <si>
    <t>Korean won weakens; Asian risk-off; oil import costs</t>
  </si>
  <si>
    <t>-4% to -7%</t>
  </si>
  <si>
    <t>REDUCE IRA position — sell 45 shares</t>
  </si>
  <si>
    <t>Consumer defensive; but Asia supply chain risk</t>
  </si>
  <si>
    <t>HOLD — relatively defensive</t>
  </si>
  <si>
    <t>ETN (Eaton)</t>
  </si>
  <si>
    <t>LOW</t>
  </si>
  <si>
    <t>US power infrastructure; defense-adjacent</t>
  </si>
  <si>
    <t>HOLD — small position, defense upside</t>
  </si>
  <si>
    <t>SHORT PUT OPTIONS — CRITICAL RISK</t>
  </si>
  <si>
    <t>Position</t>
  </si>
  <si>
    <t>Expiry</t>
  </si>
  <si>
    <t>Strike</t>
  </si>
  <si>
    <t>Current $ at Risk</t>
  </si>
  <si>
    <t>Risk if -8% gap down</t>
  </si>
  <si>
    <t>Max Loss Risk</t>
  </si>
  <si>
    <t>Action</t>
  </si>
  <si>
    <t>MU $347.50 Put x2</t>
  </si>
  <si>
    <t>Deep ITM if MU gaps to $380</t>
  </si>
  <si>
    <t>~$3,500</t>
  </si>
  <si>
    <t>BUY TO CLOSE at open</t>
  </si>
  <si>
    <t>MU $340 Put x1</t>
  </si>
  <si>
    <t>ITM if MU drops 6%+</t>
  </si>
  <si>
    <t>~$2,000</t>
  </si>
  <si>
    <t>MU $330 Put x1</t>
  </si>
  <si>
    <t>At risk if panic selling</t>
  </si>
  <si>
    <t>~$1,500</t>
  </si>
  <si>
    <t>KLAC $1150 Put x1</t>
  </si>
  <si>
    <t>Already losing $479; deep ITM risk</t>
  </si>
  <si>
    <t>~$5,000+</t>
  </si>
  <si>
    <t>PRIORITY — BUY TO CLOSE</t>
  </si>
  <si>
    <t>ASML $1250 Put x2</t>
  </si>
  <si>
    <t>At risk if ASML drops 5%+</t>
  </si>
  <si>
    <t>~$4,000</t>
  </si>
  <si>
    <t>TSM $325 Put x1</t>
  </si>
  <si>
    <t>Safe unless &gt;13% drop</t>
  </si>
  <si>
    <t>~$500</t>
  </si>
  <si>
    <t>Monitor — likely OK</t>
  </si>
  <si>
    <t>Other short puts (near exp)</t>
  </si>
  <si>
    <t>Various</t>
  </si>
  <si>
    <t>~$700</t>
  </si>
  <si>
    <t>Low risk — far OTM</t>
  </si>
  <si>
    <t>~$1,000</t>
  </si>
  <si>
    <t>Monitor — likely expire worthless</t>
  </si>
  <si>
    <t>DE-RISK ACTION PLAN — MONDAY MORNING PRIORITY LIST</t>
  </si>
  <si>
    <t>Priority</t>
  </si>
  <si>
    <t>Account</t>
  </si>
  <si>
    <t>Details</t>
  </si>
  <si>
    <t>Est. Proceeds / Cost</t>
  </si>
  <si>
    <t>Rationale</t>
  </si>
  <si>
    <t>Urgency</t>
  </si>
  <si>
    <t>1 - CRITICAL</t>
  </si>
  <si>
    <t>Buy to close KLAC $1150 Put</t>
  </si>
  <si>
    <t>Already $479 underwater; Apr expiry = time risk</t>
  </si>
  <si>
    <t>~$1,250 cost</t>
  </si>
  <si>
    <t>Largest single-position loss risk in a selloff</t>
  </si>
  <si>
    <t>AT OPEN</t>
  </si>
  <si>
    <t>2 - CRITICAL</t>
  </si>
  <si>
    <t>Buy to close ASML $1250 Puts x2</t>
  </si>
  <si>
    <t>ASML will gap down; puts go ITM</t>
  </si>
  <si>
    <t>~$940 cost</t>
  </si>
  <si>
    <t>European semi exposure amplifies risk</t>
  </si>
  <si>
    <t>3 - HIGH</t>
  </si>
  <si>
    <t>Buy to close MU $347.50 Puts x2</t>
  </si>
  <si>
    <t>MU at $412; a -8% gap = $379, puts ITM</t>
  </si>
  <si>
    <t>~$420 cost</t>
  </si>
  <si>
    <t>2 contracts doubles the pain</t>
  </si>
  <si>
    <t>4 - HIGH</t>
  </si>
  <si>
    <t>Buy to close MU $340 + $330 Puts</t>
  </si>
  <si>
    <t>Close all MU short puts to de-risk</t>
  </si>
  <si>
    <t>~$290 cost</t>
  </si>
  <si>
    <t>Clean up all MU short gamma exposure</t>
  </si>
  <si>
    <t>5 - MEDIUM</t>
  </si>
  <si>
    <t>Sell 50 shares TSM</t>
  </si>
  <si>
    <t>Reduce from 170 to 120 shares</t>
  </si>
  <si>
    <t>~$18,735 proceeds</t>
  </si>
  <si>
    <t>TSM 31% weight is dangerous in war scenario</t>
  </si>
  <si>
    <t>MORNING</t>
  </si>
  <si>
    <t>6 - MEDIUM</t>
  </si>
  <si>
    <t>Sell 35 shares TSM</t>
  </si>
  <si>
    <t>Reduce from 115 to 80 shares</t>
  </si>
  <si>
    <t>~$13,114 proceeds</t>
  </si>
  <si>
    <t>Reduce combined TSM to ~22% weight</t>
  </si>
  <si>
    <t>7 - MEDIUM</t>
  </si>
  <si>
    <t>Sell 30 shares MU</t>
  </si>
  <si>
    <t>Reduce from 90 to 60 shares</t>
  </si>
  <si>
    <t>~$12,371 proceeds</t>
  </si>
  <si>
    <t>MU 24% combined weight too concentrated</t>
  </si>
  <si>
    <t>8 - MEDIUM</t>
  </si>
  <si>
    <t>Sell 45 shares EWY</t>
  </si>
  <si>
    <t>Reduce from 105 to 60 shares</t>
  </si>
  <si>
    <t>~$6,809 proceeds</t>
  </si>
  <si>
    <t>Asian markets will sell off hard; oil import shock</t>
  </si>
  <si>
    <t>9 - MEDIUM</t>
  </si>
  <si>
    <t>Sell 10 shares ASML</t>
  </si>
  <si>
    <t>Reduce from 30 to 20 shares</t>
  </si>
  <si>
    <t>~$14,506 proceeds</t>
  </si>
  <si>
    <t>European semis highly vulnerable to risk-off</t>
  </si>
  <si>
    <t>10 - HEDGE</t>
  </si>
  <si>
    <t>Buy GLD or gold ETF</t>
  </si>
  <si>
    <t>Both</t>
  </si>
  <si>
    <t>Allocate ~5-8% of freed cash to gold</t>
  </si>
  <si>
    <t>~$20-25K allocation</t>
  </si>
  <si>
    <t>Gold up 22% YTD, safe haven in war</t>
  </si>
  <si>
    <t>WEEK 1</t>
  </si>
  <si>
    <t>11 - HEDGE</t>
  </si>
  <si>
    <t>Buy TLT (long-term treasuries)</t>
  </si>
  <si>
    <t>Allocate ~3-5% to treasuries</t>
  </si>
  <si>
    <t>~$5-8K allocation</t>
  </si>
  <si>
    <t>Flight to safety trade; yields falling</t>
  </si>
  <si>
    <t>12 - HEDGE</t>
  </si>
  <si>
    <t>Buy XLE or energy ETF</t>
  </si>
  <si>
    <t>Allocate ~3% to energy as oil hedge</t>
  </si>
  <si>
    <t>~$8-10K allocation</t>
  </si>
  <si>
    <t>Oil spike hedge; Brent could hit $85-100</t>
  </si>
  <si>
    <t>13 - HEDGE</t>
  </si>
  <si>
    <t>Consider VIX calls or SPY puts</t>
  </si>
  <si>
    <t>Portfolio insurance for tail risk</t>
  </si>
  <si>
    <t>~$2-3K allocation</t>
  </si>
  <si>
    <t>Cheap insurance against -10%+ scenario</t>
  </si>
  <si>
    <t>ESTIMATED PORTFOLIO IMPACT — BEFORE vs AFTER DE-RISKING</t>
  </si>
  <si>
    <t>Metric</t>
  </si>
  <si>
    <t>Current Value</t>
  </si>
  <si>
    <t>Base Case (-3%)</t>
  </si>
  <si>
    <t>Escalation (-6%)</t>
  </si>
  <si>
    <t>Tail Risk (-12%)</t>
  </si>
  <si>
    <t>After De-Risk (Est.)</t>
  </si>
  <si>
    <t>Port 1 Equities</t>
  </si>
  <si>
    <t>-$4,100 to -$8,200</t>
  </si>
  <si>
    <t>Reduced concentration</t>
  </si>
  <si>
    <t>Port 1 Short Puts</t>
  </si>
  <si>
    <t>-$3,000 add'l</t>
  </si>
  <si>
    <t>-$8,000 add'l</t>
  </si>
  <si>
    <t>-$15,000+ add'l</t>
  </si>
  <si>
    <t>$0 (closed)</t>
  </si>
  <si>
    <t>Eliminated tail risk</t>
  </si>
  <si>
    <t>Port IRA Equities</t>
  </si>
  <si>
    <t>-$2,200 to -$4,400</t>
  </si>
  <si>
    <t>More diversified</t>
  </si>
  <si>
    <t>Port 1 Cash</t>
  </si>
  <si>
    <t>~$85,000</t>
  </si>
  <si>
    <t>Dry powder to buy dip</t>
  </si>
  <si>
    <t>Port IRA Cash</t>
  </si>
  <si>
    <t>~$40,000</t>
  </si>
  <si>
    <t>Flexibility for re-entry</t>
  </si>
  <si>
    <t>COMBINED TOTAL</t>
  </si>
  <si>
    <t>~$394,000</t>
  </si>
  <si>
    <t>~$379,000</t>
  </si>
  <si>
    <t>~$350,000</t>
  </si>
  <si>
    <t>~$390,000-$395,000</t>
  </si>
  <si>
    <t>Smaller drawdown range</t>
  </si>
  <si>
    <t>KEY ADVANTAGES OF DE-RISKING:</t>
  </si>
  <si>
    <t>Eliminate ~$15-25K in short put tail risk that could blow up on a gap down</t>
  </si>
  <si>
    <t>Raise cash from $59K (14.5%) to ~$125K (30.6%) — massive dry powder for buying panic dips</t>
  </si>
  <si>
    <t>Reduce TSM from 31% to ~22% — still your highest conviction bet but survivable</t>
  </si>
  <si>
    <t>Add gold/treasuries/energy as hedges that BENEFIT from war escalation</t>
  </si>
  <si>
    <t>Preserve ability to re-enter positions at lower prices if conflict is contained</t>
  </si>
  <si>
    <t>DISCLAIMER: This is analysis only, not financial advice. Consult your financial advisor.</t>
  </si>
  <si>
    <t>Market conditions are extremely fluid. Monitor news before market open Sunday evening.</t>
  </si>
  <si>
    <t>Sources: CNBC, CNN, PBS, Al Jazeera, Chatham House, CSIS, Fox Business, Globe &amp; Mail, NPR</t>
  </si>
  <si>
    <t>MAX POTENTIAL LOSS ANALYSIS: DO NOTHING vs DE-RISK PLAN</t>
  </si>
  <si>
    <t>Market Drop</t>
  </si>
  <si>
    <t>Do Nothing Loss</t>
  </si>
  <si>
    <t>Do Nothing Value</t>
  </si>
  <si>
    <t>De-Risked Loss</t>
  </si>
  <si>
    <t>De-Risked Value</t>
  </si>
  <si>
    <t>$ You Save</t>
  </si>
  <si>
    <t>Base Case (Contained)</t>
  </si>
  <si>
    <t>Escalation (Prolonged)</t>
  </si>
  <si>
    <t>Tail Risk (Regional War)</t>
  </si>
  <si>
    <t>WHERE THE DAMAGE COMES FROM (Do Nothing, -15% Tail Risk Scenario)</t>
  </si>
  <si>
    <t>Source of Loss</t>
  </si>
  <si>
    <t>Dollar Loss</t>
  </si>
  <si>
    <t>% of Total Loss</t>
  </si>
  <si>
    <t>Port 1 — Stock Declines</t>
  </si>
  <si>
    <t>Port 1 — Short Put Blow-Up</t>
  </si>
  <si>
    <t>← THIS IS THE KILLER</t>
  </si>
  <si>
    <t>Port 1 — Long Option Losses</t>
  </si>
  <si>
    <t>Port IRA — Stock Declines</t>
  </si>
  <si>
    <t>Port IRA — Long Option Losses</t>
  </si>
  <si>
    <t>TOTAL</t>
  </si>
  <si>
    <t>KEY INSIGHT:</t>
  </si>
  <si>
    <t>Your short puts account for 40% of your total tail-risk loss ($36,262 of $90,196)</t>
  </si>
  <si>
    <t>These are positions generating &lt;$4K in premium income but exposing you to $36K+ in loss</t>
  </si>
  <si>
    <t>The KLAC $1150 Put alone could cost you $11,625 in the tail scenario</t>
  </si>
  <si>
    <t>BOTTOM LINE:</t>
  </si>
  <si>
    <t>Do Nothing worst case:   -$90,196  (portfolio drops to $317,871 — a 22.1% loss)</t>
  </si>
  <si>
    <t>De-Risked worst case:    -$42,474  (portfolio drops to $365,593 — a 10.4% loss)</t>
  </si>
  <si>
    <t>De-risking saves you up to $47,721 and cuts your max loss nearly in HALF</t>
  </si>
  <si>
    <t>ALAB</t>
  </si>
  <si>
    <t>Mar 27 '26 $520 Put</t>
  </si>
  <si>
    <t>May 15 '26 $500 Call</t>
  </si>
  <si>
    <t>May 15 '26 $460 Call</t>
  </si>
  <si>
    <t>Mar 27 '26 $320 Put</t>
  </si>
  <si>
    <t>Mar 20 '26 $370 Put</t>
  </si>
  <si>
    <t>Mar 20 '26 $120 Put</t>
  </si>
  <si>
    <t>Mar 20 '26 $111 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</si>
</sst>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164" formatCode="&quot;$&quot;#,##0.00"/>
    <numFmt numFmtId="165" formatCode="&quot;$&quot;#,##0"/>
    <numFmt numFmtId="166" formatCode="0.0%"/>
    <numFmt numFmtId="167" formatCode="&quot;$&quot;#,##0;\(&quot;$&quot;#,##0\);\-"/>
  </numFmts>
  <fonts count="3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4"/>
      <color rgb="FF1B3A5C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008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1B7A1B"/>
      <name val="Arial"/>
      <family val="2"/>
    </font>
    <font>
      <b/>
      <sz val="11"/>
      <color rgb="FF2E7D32"/>
      <name val="Arial"/>
      <family val="2"/>
    </font>
    <font>
      <b/>
      <sz val="11"/>
      <color rgb="FFF57F17"/>
      <name val="Arial"/>
      <family val="2"/>
    </font>
    <font>
      <b/>
      <sz val="14"/>
      <color rgb="FF1B2A4A"/>
      <name val="Arial"/>
      <family val="2"/>
    </font>
    <font>
      <sz val="11"/>
      <color rgb="FF0000FF"/>
      <name val="Calibri"/>
      <family val="2"/>
      <scheme val="minor"/>
    </font>
    <font>
      <b/>
      <sz val="11"/>
      <color rgb="FF1B3A5C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1B7A1B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555555"/>
      <name val="Calibri"/>
      <family val="2"/>
      <scheme val="minor"/>
    </font>
    <font>
      <b/>
      <sz val="11"/>
      <color rgb="FFCC0000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8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B3A5C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DCEDC8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thin">
        <color rgb="FFB0BEC5"/>
      </left>
      <right/>
      <top style="thin">
        <color rgb="FF1B2A4A"/>
      </top>
      <bottom/>
      <diagonal/>
    </border>
    <border>
      <left style="thin">
        <color rgb="FFB0BEC5"/>
      </left>
      <right style="thin">
        <color rgb="FFB0BEC5"/>
      </right>
      <top style="thin">
        <color rgb="FF1B2A4A"/>
      </top>
      <bottom/>
      <diagonal/>
    </border>
    <border>
      <left style="thin">
        <color rgb="FFB0BEC5"/>
      </left>
      <right/>
      <top style="thick">
        <color rgb="FF1B2A4A"/>
      </top>
      <bottom/>
      <diagonal/>
    </border>
    <border>
      <left style="thin">
        <color rgb="FFB0BEC5"/>
      </left>
      <right style="thin">
        <color rgb="FFB0BEC5"/>
      </right>
      <top style="thick">
        <color rgb="FF1B2A4A"/>
      </top>
      <bottom/>
      <diagonal/>
    </border>
    <border>
      <left style="thin">
        <color rgb="FFB0BEC5"/>
      </left>
      <right/>
      <top style="thin">
        <color rgb="FFB0BEC5"/>
      </top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/>
      <diagonal/>
    </border>
    <border>
      <left style="thin">
        <color rgb="FFB0BEC5"/>
      </left>
      <right/>
      <top style="thin">
        <color rgb="FFB0BEC5"/>
      </top>
      <bottom style="thin">
        <color rgb="FF1B2A4A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1B2A4A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0" xfId="0" applyFont="1"/>
    <xf numFmtId="164" fontId="4" fillId="0" borderId="0" xfId="0" applyNumberFormat="1" applyFont="1"/>
    <xf numFmtId="0" fontId="0" fillId="2" borderId="0" xfId="0" applyFill="1"/>
    <xf numFmtId="164" fontId="0" fillId="0" borderId="0" xfId="0" applyNumberFormat="1"/>
    <xf numFmtId="10" fontId="0" fillId="0" borderId="0" xfId="0" applyNumberFormat="1"/>
    <xf numFmtId="0" fontId="0" fillId="3" borderId="0" xfId="0" applyFill="1"/>
    <xf numFmtId="164" fontId="0" fillId="3" borderId="0" xfId="0" applyNumberFormat="1" applyFill="1"/>
    <xf numFmtId="10" fontId="0" fillId="3" borderId="0" xfId="0" applyNumberFormat="1" applyFill="1"/>
    <xf numFmtId="10" fontId="4" fillId="0" borderId="0" xfId="0" applyNumberFormat="1" applyFont="1"/>
    <xf numFmtId="0" fontId="3" fillId="2" borderId="1" xfId="0" applyFont="1" applyFill="1" applyBorder="1"/>
    <xf numFmtId="10" fontId="3" fillId="2" borderId="1" xfId="0" applyNumberFormat="1" applyFont="1" applyFill="1" applyBorder="1"/>
    <xf numFmtId="0" fontId="0" fillId="2" borderId="1" xfId="0" applyFill="1" applyBorder="1"/>
    <xf numFmtId="164" fontId="3" fillId="2" borderId="1" xfId="0" applyNumberFormat="1" applyFont="1" applyFill="1" applyBorder="1"/>
    <xf numFmtId="165" fontId="0" fillId="3" borderId="0" xfId="0" applyNumberFormat="1" applyFill="1"/>
    <xf numFmtId="165" fontId="0" fillId="0" borderId="0" xfId="0" applyNumberFormat="1"/>
    <xf numFmtId="166" fontId="0" fillId="3" borderId="0" xfId="0" applyNumberFormat="1" applyFill="1"/>
    <xf numFmtId="0" fontId="6" fillId="0" borderId="0" xfId="0" applyFont="1"/>
    <xf numFmtId="164" fontId="9" fillId="0" borderId="0" xfId="0" applyNumberFormat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3" borderId="0" xfId="0" applyFont="1" applyFill="1"/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/>
    <xf numFmtId="0" fontId="3" fillId="2" borderId="1" xfId="0" applyFont="1" applyFill="1" applyBorder="1" applyAlignment="1">
      <alignment horizontal="center"/>
    </xf>
    <xf numFmtId="0" fontId="11" fillId="4" borderId="0" xfId="0" applyFont="1" applyFill="1"/>
    <xf numFmtId="0" fontId="0" fillId="4" borderId="0" xfId="0" applyFill="1"/>
    <xf numFmtId="164" fontId="10" fillId="4" borderId="0" xfId="0" applyNumberFormat="1" applyFont="1" applyFill="1" applyAlignment="1">
      <alignment horizontal="right"/>
    </xf>
    <xf numFmtId="10" fontId="10" fillId="4" borderId="0" xfId="0" applyNumberFormat="1" applyFont="1" applyFill="1" applyAlignment="1">
      <alignment horizontal="right"/>
    </xf>
    <xf numFmtId="0" fontId="3" fillId="2" borderId="2" xfId="0" applyFont="1" applyFill="1" applyBorder="1"/>
    <xf numFmtId="0" fontId="0" fillId="2" borderId="2" xfId="0" applyFill="1" applyBorder="1"/>
    <xf numFmtId="164" fontId="3" fillId="2" borderId="2" xfId="0" applyNumberFormat="1" applyFont="1" applyFill="1" applyBorder="1" applyAlignment="1">
      <alignment horizontal="right"/>
    </xf>
    <xf numFmtId="10" fontId="3" fillId="2" borderId="2" xfId="0" applyNumberFormat="1" applyFont="1" applyFill="1" applyBorder="1" applyAlignment="1">
      <alignment horizontal="right"/>
    </xf>
    <xf numFmtId="10" fontId="5" fillId="4" borderId="0" xfId="0" applyNumberFormat="1" applyFont="1" applyFill="1" applyAlignment="1">
      <alignment horizontal="right"/>
    </xf>
    <xf numFmtId="164" fontId="5" fillId="4" borderId="0" xfId="0" applyNumberFormat="1" applyFont="1" applyFill="1" applyAlignment="1">
      <alignment horizontal="right"/>
    </xf>
    <xf numFmtId="0" fontId="14" fillId="8" borderId="0" xfId="0" applyFont="1" applyFill="1" applyAlignment="1">
      <alignment horizontal="center"/>
    </xf>
    <xf numFmtId="0" fontId="13" fillId="8" borderId="0" xfId="0" applyFont="1" applyFill="1"/>
    <xf numFmtId="0" fontId="13" fillId="8" borderId="0" xfId="0" applyFont="1" applyFill="1" applyAlignment="1">
      <alignment horizontal="center"/>
    </xf>
    <xf numFmtId="0" fontId="17" fillId="8" borderId="0" xfId="0" applyFont="1" applyFill="1"/>
    <xf numFmtId="0" fontId="12" fillId="5" borderId="3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14" fillId="6" borderId="5" xfId="0" applyFont="1" applyFill="1" applyBorder="1" applyAlignment="1">
      <alignment horizontal="center"/>
    </xf>
    <xf numFmtId="0" fontId="13" fillId="6" borderId="5" xfId="0" applyFont="1" applyFill="1" applyBorder="1"/>
    <xf numFmtId="0" fontId="13" fillId="6" borderId="5" xfId="0" applyFont="1" applyFill="1" applyBorder="1" applyAlignment="1">
      <alignment horizontal="center"/>
    </xf>
    <xf numFmtId="0" fontId="15" fillId="6" borderId="6" xfId="0" applyFont="1" applyFill="1" applyBorder="1"/>
    <xf numFmtId="0" fontId="14" fillId="6" borderId="7" xfId="0" applyFont="1" applyFill="1" applyBorder="1" applyAlignment="1">
      <alignment horizontal="center"/>
    </xf>
    <xf numFmtId="0" fontId="13" fillId="6" borderId="7" xfId="0" applyFont="1" applyFill="1" applyBorder="1"/>
    <xf numFmtId="0" fontId="13" fillId="6" borderId="7" xfId="0" applyFont="1" applyFill="1" applyBorder="1" applyAlignment="1">
      <alignment horizontal="center"/>
    </xf>
    <xf numFmtId="0" fontId="15" fillId="6" borderId="8" xfId="0" applyFont="1" applyFill="1" applyBorder="1"/>
    <xf numFmtId="0" fontId="14" fillId="7" borderId="7" xfId="0" applyFont="1" applyFill="1" applyBorder="1" applyAlignment="1">
      <alignment horizontal="center"/>
    </xf>
    <xf numFmtId="0" fontId="13" fillId="7" borderId="7" xfId="0" applyFont="1" applyFill="1" applyBorder="1"/>
    <xf numFmtId="0" fontId="13" fillId="7" borderId="7" xfId="0" applyFont="1" applyFill="1" applyBorder="1" applyAlignment="1">
      <alignment horizontal="center"/>
    </xf>
    <xf numFmtId="0" fontId="16" fillId="7" borderId="8" xfId="0" applyFont="1" applyFill="1" applyBorder="1"/>
    <xf numFmtId="0" fontId="14" fillId="8" borderId="7" xfId="0" applyFont="1" applyFill="1" applyBorder="1" applyAlignment="1">
      <alignment horizontal="center"/>
    </xf>
    <xf numFmtId="0" fontId="14" fillId="6" borderId="9" xfId="0" applyFont="1" applyFill="1" applyBorder="1" applyAlignment="1">
      <alignment horizontal="center"/>
    </xf>
    <xf numFmtId="0" fontId="13" fillId="8" borderId="7" xfId="0" applyFont="1" applyFill="1" applyBorder="1"/>
    <xf numFmtId="0" fontId="13" fillId="6" borderId="9" xfId="0" applyFont="1" applyFill="1" applyBorder="1"/>
    <xf numFmtId="0" fontId="13" fillId="8" borderId="7" xfId="0" applyFont="1" applyFill="1" applyBorder="1" applyAlignment="1">
      <alignment horizontal="center"/>
    </xf>
    <xf numFmtId="0" fontId="13" fillId="6" borderId="9" xfId="0" applyFont="1" applyFill="1" applyBorder="1" applyAlignment="1">
      <alignment horizontal="center"/>
    </xf>
    <xf numFmtId="0" fontId="17" fillId="8" borderId="8" xfId="0" applyFont="1" applyFill="1" applyBorder="1"/>
    <xf numFmtId="0" fontId="15" fillId="6" borderId="10" xfId="0" applyFont="1" applyFill="1" applyBorder="1"/>
    <xf numFmtId="165" fontId="19" fillId="3" borderId="0" xfId="0" applyNumberFormat="1" applyFont="1" applyFill="1" applyAlignment="1">
      <alignment horizontal="center"/>
    </xf>
    <xf numFmtId="165" fontId="19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0" fontId="10" fillId="4" borderId="0" xfId="0" applyFont="1" applyFill="1"/>
    <xf numFmtId="165" fontId="10" fillId="4" borderId="0" xfId="0" applyNumberFormat="1" applyFont="1" applyFill="1"/>
    <xf numFmtId="165" fontId="19" fillId="4" borderId="0" xfId="0" applyNumberFormat="1" applyFont="1" applyFill="1" applyAlignment="1">
      <alignment horizontal="center"/>
    </xf>
    <xf numFmtId="167" fontId="2" fillId="4" borderId="0" xfId="0" applyNumberFormat="1" applyFont="1" applyFill="1" applyAlignment="1">
      <alignment horizont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9" fontId="0" fillId="0" borderId="0" xfId="0" applyNumberFormat="1"/>
    <xf numFmtId="0" fontId="1" fillId="0" borderId="0" xfId="0" applyFont="1"/>
    <xf numFmtId="0" fontId="27" fillId="0" borderId="0" xfId="0" applyFont="1"/>
    <xf numFmtId="0" fontId="30" fillId="10" borderId="0" xfId="0" applyFont="1" applyFill="1"/>
    <xf numFmtId="0" fontId="29" fillId="10" borderId="0" xfId="0" applyFont="1" applyFill="1"/>
    <xf numFmtId="0" fontId="4" fillId="11" borderId="0" xfId="0" applyFont="1" applyFill="1"/>
    <xf numFmtId="0" fontId="4" fillId="12" borderId="0" xfId="0" applyFont="1" applyFill="1"/>
    <xf numFmtId="0" fontId="0" fillId="13" borderId="0" xfId="0" applyFill="1"/>
    <xf numFmtId="9" fontId="0" fillId="13" borderId="0" xfId="0" applyNumberFormat="1" applyFill="1"/>
    <xf numFmtId="0" fontId="0" fillId="14" borderId="0" xfId="0" applyFill="1"/>
    <xf numFmtId="9" fontId="0" fillId="14" borderId="0" xfId="0" applyNumberFormat="1" applyFill="1"/>
    <xf numFmtId="0" fontId="0" fillId="15" borderId="0" xfId="0" applyFill="1"/>
    <xf numFmtId="9" fontId="0" fillId="15" borderId="0" xfId="0" applyNumberFormat="1" applyFill="1"/>
    <xf numFmtId="0" fontId="0" fillId="16" borderId="0" xfId="0" applyFill="1"/>
    <xf numFmtId="9" fontId="0" fillId="16" borderId="0" xfId="0" applyNumberFormat="1" applyFill="1"/>
    <xf numFmtId="0" fontId="31" fillId="0" borderId="0" xfId="0" applyFont="1"/>
    <xf numFmtId="0" fontId="32" fillId="0" borderId="0" xfId="0" applyFont="1"/>
    <xf numFmtId="6" fontId="0" fillId="0" borderId="0" xfId="0" applyNumberFormat="1"/>
    <xf numFmtId="16" fontId="0" fillId="0" borderId="0" xfId="0" applyNumberFormat="1"/>
    <xf numFmtId="8" fontId="0" fillId="0" borderId="0" xfId="0" applyNumberFormat="1"/>
    <xf numFmtId="0" fontId="3" fillId="10" borderId="0" xfId="0" applyFont="1" applyFill="1"/>
    <xf numFmtId="0" fontId="33" fillId="0" borderId="0" xfId="0" applyFont="1"/>
    <xf numFmtId="0" fontId="29" fillId="17" borderId="0" xfId="0" applyFont="1" applyFill="1"/>
    <xf numFmtId="0" fontId="3" fillId="17" borderId="0" xfId="0" applyFont="1" applyFill="1"/>
    <xf numFmtId="0" fontId="30" fillId="17" borderId="0" xfId="0" applyFont="1" applyFill="1"/>
    <xf numFmtId="0" fontId="4" fillId="16" borderId="0" xfId="0" applyFont="1" applyFill="1"/>
    <xf numFmtId="0" fontId="29" fillId="18" borderId="0" xfId="0" applyFont="1" applyFill="1"/>
    <xf numFmtId="0" fontId="3" fillId="18" borderId="0" xfId="0" applyFont="1" applyFill="1"/>
    <xf numFmtId="0" fontId="30" fillId="18" borderId="0" xfId="0" applyFont="1" applyFill="1"/>
    <xf numFmtId="0" fontId="32" fillId="13" borderId="0" xfId="0" applyFont="1" applyFill="1"/>
    <xf numFmtId="0" fontId="4" fillId="14" borderId="0" xfId="0" applyFont="1" applyFill="1"/>
    <xf numFmtId="0" fontId="4" fillId="15" borderId="0" xfId="0" applyFont="1" applyFill="1"/>
    <xf numFmtId="0" fontId="4" fillId="19" borderId="0" xfId="0" applyFont="1" applyFill="1"/>
    <xf numFmtId="6" fontId="4" fillId="19" borderId="0" xfId="0" applyNumberFormat="1" applyFont="1" applyFill="1"/>
    <xf numFmtId="0" fontId="34" fillId="0" borderId="0" xfId="0" applyFont="1"/>
    <xf numFmtId="0" fontId="35" fillId="0" borderId="0" xfId="0" applyFont="1"/>
    <xf numFmtId="0" fontId="0" fillId="0" borderId="0" xfId="0" applyAlignment="1">
      <alignment horizontal="left"/>
    </xf>
    <xf numFmtId="0" fontId="36" fillId="15" borderId="0" xfId="0" applyFont="1" applyFill="1"/>
    <xf numFmtId="10" fontId="29" fillId="17" borderId="0" xfId="0" applyNumberFormat="1" applyFont="1" applyFill="1"/>
    <xf numFmtId="9" fontId="4" fillId="19" borderId="0" xfId="0" applyNumberFormat="1" applyFont="1" applyFill="1"/>
    <xf numFmtId="0" fontId="37" fillId="0" borderId="0" xfId="0" applyFont="1"/>
    <xf numFmtId="0" fontId="38" fillId="0" borderId="0" xfId="0" applyFont="1"/>
    <xf numFmtId="0" fontId="0" fillId="20" borderId="0" xfId="0" applyFill="1"/>
    <xf numFmtId="0" fontId="18" fillId="0" borderId="0" xfId="0" applyFont="1" applyAlignment="1">
      <alignment horizontal="center"/>
    </xf>
    <xf numFmtId="0" fontId="28" fillId="9" borderId="0" xfId="0" applyFont="1" applyFill="1"/>
    <xf numFmtId="0" fontId="29" fillId="9" borderId="0" xfId="0" applyFont="1" applyFill="1"/>
    <xf numFmtId="165" fontId="3" fillId="2" borderId="0" xfId="0" applyNumberFormat="1" applyFont="1" applyFill="1"/>
    <xf numFmtId="10" fontId="3" fillId="2" borderId="0" xfId="0" applyNumberFormat="1" applyFont="1" applyFill="1"/>
    <xf numFmtId="165" fontId="30" fillId="2" borderId="0" xfId="0" applyNumberFormat="1" applyFont="1" applyFill="1" applyAlignment="1">
      <alignment horizontal="center"/>
    </xf>
    <xf numFmtId="0" fontId="0" fillId="0" borderId="0" xfId="0" applyBorder="1"/>
    <xf numFmtId="165" fontId="4" fillId="3" borderId="0" xfId="0" applyNumberFormat="1" applyFont="1" applyFill="1"/>
    <xf numFmtId="166" fontId="4" fillId="3" borderId="0" xfId="0" applyNumberFormat="1" applyFont="1" applyFill="1"/>
    <xf numFmtId="164" fontId="0" fillId="4" borderId="0" xfId="0" applyNumberFormat="1" applyFill="1"/>
    <xf numFmtId="10" fontId="0" fillId="4" borderId="0" xfId="0" applyNumberFormat="1" applyFill="1"/>
    <xf numFmtId="165" fontId="0" fillId="4" borderId="0" xfId="0" applyNumberFormat="1" applyFill="1"/>
    <xf numFmtId="166" fontId="0" fillId="4" borderId="0" xfId="0" applyNumberFormat="1" applyFill="1"/>
    <xf numFmtId="0" fontId="4" fillId="0" borderId="11" xfId="0" applyFont="1" applyBorder="1"/>
    <xf numFmtId="0" fontId="0" fillId="0" borderId="11" xfId="0" applyBorder="1"/>
    <xf numFmtId="165" fontId="0" fillId="0" borderId="11" xfId="0" applyNumberFormat="1" applyBorder="1"/>
    <xf numFmtId="165" fontId="4" fillId="0" borderId="11" xfId="0" applyNumberFormat="1" applyFont="1" applyBorder="1"/>
    <xf numFmtId="10" fontId="4" fillId="0" borderId="11" xfId="0" applyNumberFormat="1" applyFont="1" applyBorder="1"/>
    <xf numFmtId="165" fontId="19" fillId="0" borderId="11" xfId="0" applyNumberFormat="1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06fe898-66fc-41e1-bf0d-5fe7b6f0fd15}">
  <we:reference id="WA200009404" version="1.0.0.5" store="en-US" storeType="OMEX"/>
  <we:alternateReferences/>
  <we:properties>
    <we:property name="Microsoft.Office.CampaignId" value="&quot;none&quot;"/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30E4E-2A08-48ED-B432-1CA6F93D4E8D}">
  <dimension ref="A1:H29"/>
  <sheetViews>
    <sheetView topLeftCell="A6" workbookViewId="0">
      <selection activeCell="C10" sqref="C10"/>
    </sheetView>
  </sheetViews>
  <sheetFormatPr defaultRowHeight="15.75" x14ac:dyDescent="0.25"/>
  <cols>
    <col min="1" max="1" width="36.5" bestFit="1" customWidth="1"/>
    <col min="2" max="2" width="19.375" bestFit="1" customWidth="1"/>
    <col min="3" max="4" width="10.875" bestFit="1" customWidth="1"/>
    <col min="5" max="5" width="14.875" bestFit="1" customWidth="1"/>
    <col min="6" max="6" width="9.5" bestFit="1" customWidth="1"/>
    <col min="7" max="7" width="10.875" bestFit="1" customWidth="1"/>
    <col min="8" max="8" width="13.875" bestFit="1" customWidth="1"/>
  </cols>
  <sheetData>
    <row r="1" spans="1:8" ht="18.75" x14ac:dyDescent="0.3">
      <c r="A1" s="19" t="s">
        <v>25</v>
      </c>
    </row>
    <row r="3" spans="1:8" x14ac:dyDescent="0.25">
      <c r="A3" s="1" t="s">
        <v>26</v>
      </c>
      <c r="B3" s="5"/>
      <c r="C3" s="2" t="s">
        <v>31</v>
      </c>
      <c r="D3" s="2" t="s">
        <v>32</v>
      </c>
      <c r="E3" s="2" t="s">
        <v>33</v>
      </c>
      <c r="F3" s="2" t="s">
        <v>27</v>
      </c>
    </row>
    <row r="4" spans="1:8" x14ac:dyDescent="0.25">
      <c r="A4" s="3" t="s">
        <v>28</v>
      </c>
      <c r="C4" s="20">
        <v>-282.14</v>
      </c>
      <c r="D4" s="20">
        <v>8955.01</v>
      </c>
      <c r="E4" s="20">
        <v>283524.56</v>
      </c>
      <c r="F4" s="7">
        <f>E4/$E$6</f>
        <v>0.69479881900803919</v>
      </c>
    </row>
    <row r="5" spans="1:8" ht="16.5" thickBot="1" x14ac:dyDescent="0.3">
      <c r="A5" s="3" t="s">
        <v>29</v>
      </c>
      <c r="C5" s="20">
        <v>-962.03</v>
      </c>
      <c r="D5" s="20">
        <v>3712.94</v>
      </c>
      <c r="E5" s="20">
        <v>124542.57</v>
      </c>
      <c r="F5" s="7">
        <f>E5/$E$6</f>
        <v>0.30520118099196081</v>
      </c>
    </row>
    <row r="6" spans="1:8" ht="16.5" thickBot="1" x14ac:dyDescent="0.3">
      <c r="A6" s="12" t="s">
        <v>30</v>
      </c>
      <c r="B6" s="14"/>
      <c r="C6" s="15">
        <f>SUM(C4:C5)</f>
        <v>-1244.17</v>
      </c>
      <c r="D6" s="15">
        <f>SUM(D4:D5)</f>
        <v>12667.95</v>
      </c>
      <c r="E6" s="15">
        <f>SUM(E4:E5)</f>
        <v>408067.13</v>
      </c>
      <c r="F6" s="13">
        <f>SUM(F4:F5)</f>
        <v>1</v>
      </c>
    </row>
    <row r="7" spans="1:8" ht="16.5" thickTop="1" x14ac:dyDescent="0.25"/>
    <row r="8" spans="1:8" x14ac:dyDescent="0.25">
      <c r="A8" s="1" t="s">
        <v>34</v>
      </c>
      <c r="B8" s="5"/>
      <c r="C8" s="2" t="s">
        <v>35</v>
      </c>
      <c r="D8" s="2" t="s">
        <v>36</v>
      </c>
      <c r="E8" s="2" t="s">
        <v>37</v>
      </c>
      <c r="F8" s="2" t="s">
        <v>38</v>
      </c>
      <c r="G8" s="2" t="s">
        <v>39</v>
      </c>
      <c r="H8" s="2" t="s">
        <v>40</v>
      </c>
    </row>
    <row r="9" spans="1:8" x14ac:dyDescent="0.25">
      <c r="A9" s="23" t="s">
        <v>11</v>
      </c>
      <c r="B9" s="8" t="s">
        <v>41</v>
      </c>
      <c r="C9" s="24">
        <v>170</v>
      </c>
      <c r="D9" s="24">
        <v>115</v>
      </c>
      <c r="E9" s="25">
        <f t="shared" ref="E9:E16" si="0">C9+D9</f>
        <v>285</v>
      </c>
      <c r="F9" s="9">
        <v>374.69</v>
      </c>
      <c r="G9" s="26">
        <f t="shared" ref="G9:G16" si="1">E9*F9</f>
        <v>106786.65</v>
      </c>
      <c r="H9" s="10">
        <f t="shared" ref="H9:H16" si="2">G9/$G$17</f>
        <v>0.31434483582848755</v>
      </c>
    </row>
    <row r="10" spans="1:8" x14ac:dyDescent="0.25">
      <c r="A10" s="3" t="s">
        <v>18</v>
      </c>
      <c r="B10" t="s">
        <v>42</v>
      </c>
      <c r="C10" s="21">
        <v>115</v>
      </c>
      <c r="D10" s="21">
        <v>0</v>
      </c>
      <c r="E10" s="22">
        <f t="shared" si="0"/>
        <v>115</v>
      </c>
      <c r="F10" s="6">
        <v>355.79</v>
      </c>
      <c r="G10" s="4">
        <f t="shared" si="1"/>
        <v>40915.850000000006</v>
      </c>
      <c r="H10" s="7">
        <f t="shared" si="2"/>
        <v>0.12044282830328533</v>
      </c>
    </row>
    <row r="11" spans="1:8" x14ac:dyDescent="0.25">
      <c r="A11" s="23" t="s">
        <v>14</v>
      </c>
      <c r="B11" s="8" t="s">
        <v>43</v>
      </c>
      <c r="C11" s="24">
        <v>110</v>
      </c>
      <c r="D11" s="24">
        <v>90</v>
      </c>
      <c r="E11" s="25">
        <f t="shared" si="0"/>
        <v>200</v>
      </c>
      <c r="F11" s="9">
        <v>412.37</v>
      </c>
      <c r="G11" s="26">
        <f t="shared" si="1"/>
        <v>82474</v>
      </c>
      <c r="H11" s="10">
        <f t="shared" si="2"/>
        <v>0.24277637691713977</v>
      </c>
    </row>
    <row r="12" spans="1:8" x14ac:dyDescent="0.25">
      <c r="A12" s="3" t="s">
        <v>17</v>
      </c>
      <c r="B12" t="s">
        <v>44</v>
      </c>
      <c r="C12" s="21">
        <v>30</v>
      </c>
      <c r="D12" s="21">
        <v>0</v>
      </c>
      <c r="E12" s="22">
        <f t="shared" si="0"/>
        <v>30</v>
      </c>
      <c r="F12" s="6">
        <v>1450.56</v>
      </c>
      <c r="G12" s="4">
        <f t="shared" si="1"/>
        <v>43516.799999999996</v>
      </c>
      <c r="H12" s="7">
        <f t="shared" si="2"/>
        <v>0.1280991711209325</v>
      </c>
    </row>
    <row r="13" spans="1:8" x14ac:dyDescent="0.25">
      <c r="A13" s="23" t="s">
        <v>16</v>
      </c>
      <c r="B13" s="8" t="s">
        <v>45</v>
      </c>
      <c r="C13" s="24">
        <v>10</v>
      </c>
      <c r="D13" s="24">
        <v>0</v>
      </c>
      <c r="E13" s="25">
        <f t="shared" si="0"/>
        <v>10</v>
      </c>
      <c r="F13" s="9">
        <v>375.77</v>
      </c>
      <c r="G13" s="26">
        <f t="shared" si="1"/>
        <v>3757.7</v>
      </c>
      <c r="H13" s="10">
        <f t="shared" si="2"/>
        <v>1.1061435016387421E-2</v>
      </c>
    </row>
    <row r="14" spans="1:8" x14ac:dyDescent="0.25">
      <c r="A14" s="3" t="s">
        <v>24</v>
      </c>
      <c r="B14" t="s">
        <v>46</v>
      </c>
      <c r="C14" s="21">
        <v>60</v>
      </c>
      <c r="D14" s="21">
        <v>105</v>
      </c>
      <c r="E14" s="22">
        <f t="shared" si="0"/>
        <v>165</v>
      </c>
      <c r="F14" s="6">
        <v>151.32</v>
      </c>
      <c r="G14" s="4">
        <f t="shared" si="1"/>
        <v>24967.8</v>
      </c>
      <c r="H14" s="7">
        <f t="shared" si="2"/>
        <v>7.349700540281498E-2</v>
      </c>
    </row>
    <row r="15" spans="1:8" x14ac:dyDescent="0.25">
      <c r="A15" s="23" t="s">
        <v>19</v>
      </c>
      <c r="B15" s="8" t="s">
        <v>47</v>
      </c>
      <c r="C15" s="24">
        <v>0</v>
      </c>
      <c r="D15" s="24">
        <v>60</v>
      </c>
      <c r="E15" s="25">
        <f t="shared" si="0"/>
        <v>60</v>
      </c>
      <c r="F15" s="9">
        <v>264.18</v>
      </c>
      <c r="G15" s="26">
        <f t="shared" si="1"/>
        <v>15850.800000000001</v>
      </c>
      <c r="H15" s="10">
        <f t="shared" si="2"/>
        <v>4.6659550831027956E-2</v>
      </c>
    </row>
    <row r="16" spans="1:8" ht="16.5" thickBot="1" x14ac:dyDescent="0.3">
      <c r="A16" s="3" t="s">
        <v>104</v>
      </c>
      <c r="B16" t="s">
        <v>149</v>
      </c>
      <c r="C16" s="21">
        <v>65</v>
      </c>
      <c r="D16" s="21">
        <v>0</v>
      </c>
      <c r="E16" s="22">
        <f t="shared" si="0"/>
        <v>65</v>
      </c>
      <c r="F16" s="6">
        <v>329.88</v>
      </c>
      <c r="G16" s="4">
        <f t="shared" si="1"/>
        <v>21442.2</v>
      </c>
      <c r="H16" s="7">
        <f t="shared" si="2"/>
        <v>6.3118796579924516E-2</v>
      </c>
    </row>
    <row r="17" spans="1:8" ht="16.5" thickBot="1" x14ac:dyDescent="0.3">
      <c r="A17" s="12" t="s">
        <v>48</v>
      </c>
      <c r="B17" s="14"/>
      <c r="C17" s="27">
        <f>SUM(C9:C16)</f>
        <v>560</v>
      </c>
      <c r="D17" s="27">
        <f>SUM(D9:D16)</f>
        <v>370</v>
      </c>
      <c r="E17" s="27">
        <f>SUM(E9:E16)</f>
        <v>930</v>
      </c>
      <c r="F17" s="14"/>
      <c r="G17" s="15">
        <f>SUM(G9:G16)</f>
        <v>339711.8</v>
      </c>
      <c r="H17" s="13">
        <f>SUM(H9:H16)</f>
        <v>1</v>
      </c>
    </row>
    <row r="18" spans="1:8" ht="16.5" thickTop="1" x14ac:dyDescent="0.25"/>
    <row r="19" spans="1:8" x14ac:dyDescent="0.25">
      <c r="A19" s="1" t="s">
        <v>49</v>
      </c>
      <c r="B19" s="5"/>
      <c r="C19" s="2" t="s">
        <v>28</v>
      </c>
      <c r="D19" s="2" t="s">
        <v>29</v>
      </c>
      <c r="E19" s="2" t="s">
        <v>50</v>
      </c>
      <c r="F19" s="2" t="s">
        <v>27</v>
      </c>
    </row>
    <row r="20" spans="1:8" x14ac:dyDescent="0.25">
      <c r="A20" s="23" t="s">
        <v>51</v>
      </c>
      <c r="B20" s="8"/>
      <c r="C20" s="9">
        <v>227769.75</v>
      </c>
      <c r="D20" s="9">
        <v>111942.05</v>
      </c>
      <c r="E20" s="26">
        <f>C20+D20</f>
        <v>339711.8</v>
      </c>
      <c r="F20" s="10">
        <f>E20/$E$24</f>
        <v>0.83248998761551807</v>
      </c>
    </row>
    <row r="21" spans="1:8" x14ac:dyDescent="0.25">
      <c r="A21" s="3" t="s">
        <v>52</v>
      </c>
      <c r="C21" s="6">
        <v>10405</v>
      </c>
      <c r="D21" s="6">
        <v>2825</v>
      </c>
      <c r="E21" s="4">
        <f>C21+D21</f>
        <v>13230</v>
      </c>
      <c r="F21" s="7">
        <f>E21/$E$24</f>
        <v>3.2421136198840614E-2</v>
      </c>
    </row>
    <row r="22" spans="1:8" x14ac:dyDescent="0.25">
      <c r="A22" s="23" t="s">
        <v>53</v>
      </c>
      <c r="B22" s="8"/>
      <c r="C22" s="9">
        <v>-4064</v>
      </c>
      <c r="D22" s="9">
        <v>0</v>
      </c>
      <c r="E22" s="26">
        <f>C22+D22</f>
        <v>-4064</v>
      </c>
      <c r="F22" s="10">
        <f>E22/$E$24</f>
        <v>-9.9591456925236781E-3</v>
      </c>
    </row>
    <row r="23" spans="1:8" ht="16.5" thickBot="1" x14ac:dyDescent="0.3">
      <c r="A23" s="3" t="s">
        <v>20</v>
      </c>
      <c r="C23" s="6">
        <v>49413.81</v>
      </c>
      <c r="D23" s="6">
        <v>9775.52</v>
      </c>
      <c r="E23" s="4">
        <f>C23+D23</f>
        <v>59189.33</v>
      </c>
      <c r="F23" s="7">
        <f>E23/$E$24</f>
        <v>0.14504802187816501</v>
      </c>
    </row>
    <row r="24" spans="1:8" ht="16.5" thickBot="1" x14ac:dyDescent="0.3">
      <c r="A24" s="12" t="s">
        <v>54</v>
      </c>
      <c r="B24" s="14"/>
      <c r="C24" s="15">
        <f>SUM(C20:C23)</f>
        <v>283524.56</v>
      </c>
      <c r="D24" s="15">
        <f>SUM(D20:D23)</f>
        <v>124542.57</v>
      </c>
      <c r="E24" s="15">
        <f>SUM(E20:E23)</f>
        <v>408067.13</v>
      </c>
      <c r="F24" s="13">
        <f>SUM(F20:F23)</f>
        <v>1</v>
      </c>
    </row>
    <row r="25" spans="1:8" ht="16.5" thickTop="1" x14ac:dyDescent="0.25"/>
    <row r="26" spans="1:8" x14ac:dyDescent="0.25">
      <c r="C26" s="17"/>
      <c r="E26" s="17">
        <v>57000</v>
      </c>
    </row>
    <row r="27" spans="1:8" x14ac:dyDescent="0.25">
      <c r="C27" s="17"/>
      <c r="E27" s="17">
        <v>16000</v>
      </c>
    </row>
    <row r="29" spans="1:8" x14ac:dyDescent="0.25">
      <c r="C29" s="17"/>
      <c r="E29" s="17">
        <f>SUM(E24:E27)</f>
        <v>481067.13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:M48"/>
  <sheetViews>
    <sheetView tabSelected="1" zoomScaleNormal="100" workbookViewId="0">
      <pane ySplit="1" topLeftCell="A2" activePane="bottomLeft" state="frozen"/>
      <selection pane="bottomLeft" activeCell="C10" sqref="C10"/>
    </sheetView>
  </sheetViews>
  <sheetFormatPr defaultColWidth="10.625" defaultRowHeight="15.75" outlineLevelRow="1" x14ac:dyDescent="0.25"/>
  <cols>
    <col min="1" max="1" width="15.625" bestFit="1" customWidth="1"/>
    <col min="2" max="2" width="19.625" bestFit="1" customWidth="1"/>
    <col min="3" max="3" width="10.5" bestFit="1" customWidth="1"/>
    <col min="4" max="4" width="8.625" bestFit="1" customWidth="1"/>
    <col min="5" max="7" width="10.875" bestFit="1" customWidth="1"/>
    <col min="8" max="8" width="11.25" bestFit="1" customWidth="1"/>
    <col min="9" max="9" width="11.125" bestFit="1" customWidth="1"/>
    <col min="10" max="10" width="10.875" bestFit="1" customWidth="1"/>
    <col min="11" max="11" width="11.625" bestFit="1" customWidth="1"/>
    <col min="12" max="12" width="12.75" bestFit="1" customWidth="1"/>
    <col min="13" max="13" width="18.375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22</v>
      </c>
      <c r="L1" s="2" t="s">
        <v>23</v>
      </c>
      <c r="M1" s="2" t="s">
        <v>102</v>
      </c>
    </row>
    <row r="2" spans="1:13" x14ac:dyDescent="0.25">
      <c r="A2" s="29" t="s">
        <v>11</v>
      </c>
      <c r="B2" s="29" t="s">
        <v>12</v>
      </c>
      <c r="C2" s="131">
        <v>340.16</v>
      </c>
      <c r="D2" s="131">
        <v>1.85</v>
      </c>
      <c r="E2" s="132">
        <v>5.4999999999999997E-3</v>
      </c>
      <c r="F2" s="29">
        <v>100</v>
      </c>
      <c r="G2" s="131">
        <v>340.79649999999998</v>
      </c>
      <c r="H2" s="133">
        <v>84.35</v>
      </c>
      <c r="I2" s="133">
        <v>-63.65</v>
      </c>
      <c r="J2" s="133">
        <v>34016</v>
      </c>
      <c r="K2" s="132">
        <f>IF(ABS(J2-I2)=0,"",I2/ABS(J2-I2))</f>
        <v>-1.8676835002706892E-3</v>
      </c>
      <c r="L2" s="134">
        <f>IF($J$14=0,"",J2/$J$14)</f>
        <v>0.12703588012960679</v>
      </c>
      <c r="M2" s="29"/>
    </row>
    <row r="3" spans="1:13" x14ac:dyDescent="0.25">
      <c r="A3" s="8" t="s">
        <v>13</v>
      </c>
      <c r="B3" s="8" t="s">
        <v>415</v>
      </c>
      <c r="C3" s="9">
        <v>3.8</v>
      </c>
      <c r="D3" s="9">
        <v>-4.0999999999999996</v>
      </c>
      <c r="E3" s="10">
        <v>-0.52229999999999999</v>
      </c>
      <c r="F3" s="8">
        <v>-1</v>
      </c>
      <c r="G3" s="9">
        <v>3.73</v>
      </c>
      <c r="H3" s="16">
        <v>-2.52</v>
      </c>
      <c r="I3" s="16">
        <v>-2.52</v>
      </c>
      <c r="J3" s="16">
        <v>-375</v>
      </c>
      <c r="K3" s="10">
        <f>IF(ABS(J3-I3)=0,"",I3/ABS(J3-I3))</f>
        <v>-6.7654639175257726E-3</v>
      </c>
      <c r="L3" s="18">
        <f>IF($J$14=0,"",J3/$J$14)</f>
        <v>-1.4004719852011565E-3</v>
      </c>
      <c r="M3" s="8"/>
    </row>
    <row r="4" spans="1:13" x14ac:dyDescent="0.25">
      <c r="A4" s="68" t="s">
        <v>14</v>
      </c>
      <c r="B4" s="68" t="s">
        <v>416</v>
      </c>
      <c r="C4" s="131">
        <v>30.8</v>
      </c>
      <c r="D4" s="131">
        <v>5.5250000000000004</v>
      </c>
      <c r="E4" s="132">
        <v>0.2228</v>
      </c>
      <c r="F4" s="29">
        <v>-1</v>
      </c>
      <c r="G4" s="131">
        <v>34.69</v>
      </c>
      <c r="H4" s="133">
        <v>435.98</v>
      </c>
      <c r="I4" s="133">
        <v>435.98</v>
      </c>
      <c r="J4" s="69">
        <v>-3032.5</v>
      </c>
      <c r="K4" s="132">
        <f>IF(ABS(J4-I4)=0,"",I4/ABS(J4-I4))</f>
        <v>0.12569771196604854</v>
      </c>
      <c r="L4" s="134">
        <f>IF($J$14=0,"",J4/$J$14)</f>
        <v>-1.1325150120326685E-2</v>
      </c>
      <c r="M4" s="70"/>
    </row>
    <row r="5" spans="1:13" x14ac:dyDescent="0.25">
      <c r="A5" s="8" t="s">
        <v>14</v>
      </c>
      <c r="B5" s="8" t="s">
        <v>417</v>
      </c>
      <c r="C5" s="9">
        <v>44</v>
      </c>
      <c r="D5" s="9">
        <v>7.8250000000000002</v>
      </c>
      <c r="E5" s="10">
        <v>0.2135</v>
      </c>
      <c r="F5" s="8">
        <v>1</v>
      </c>
      <c r="G5" s="9">
        <v>50.34</v>
      </c>
      <c r="H5" s="16">
        <v>-587.01</v>
      </c>
      <c r="I5" s="16">
        <v>-587.01</v>
      </c>
      <c r="J5" s="16">
        <v>4447.5</v>
      </c>
      <c r="K5" s="10">
        <f>IF(ABS(J5-I5)=0,"",I5/ABS(J5-I5))</f>
        <v>-0.11659724580942335</v>
      </c>
      <c r="L5" s="18">
        <f>IF($J$14=0,"",J5/$J$14)</f>
        <v>1.6609597744485716E-2</v>
      </c>
      <c r="M5" s="8"/>
    </row>
    <row r="6" spans="1:13" x14ac:dyDescent="0.25">
      <c r="A6" s="29" t="s">
        <v>14</v>
      </c>
      <c r="B6" s="29" t="s">
        <v>418</v>
      </c>
      <c r="C6" s="131">
        <v>1.25</v>
      </c>
      <c r="D6" s="131">
        <v>-0.85499999999999998</v>
      </c>
      <c r="E6" s="132">
        <v>-0.39040000000000002</v>
      </c>
      <c r="F6" s="29">
        <v>-1</v>
      </c>
      <c r="G6" s="131">
        <v>0.91</v>
      </c>
      <c r="H6" s="133">
        <v>-43.02</v>
      </c>
      <c r="I6" s="133">
        <v>-43.02</v>
      </c>
      <c r="J6" s="133">
        <v>-133.5</v>
      </c>
      <c r="K6" s="132">
        <f>IF(ABS(J6-I6)=0,"",I6/ABS(J6-I6))</f>
        <v>-0.47546419098143244</v>
      </c>
      <c r="L6" s="134">
        <f>IF($J$14=0,"",J6/$J$14)</f>
        <v>-4.9856802673161173E-4</v>
      </c>
      <c r="M6" s="29"/>
    </row>
    <row r="7" spans="1:13" x14ac:dyDescent="0.25">
      <c r="A7" s="8" t="s">
        <v>14</v>
      </c>
      <c r="B7" s="8" t="s">
        <v>419</v>
      </c>
      <c r="C7" s="9">
        <v>2.4500000000000002</v>
      </c>
      <c r="D7" s="9">
        <v>-2.2000000000000002</v>
      </c>
      <c r="E7" s="10">
        <v>-0.47310000000000002</v>
      </c>
      <c r="F7" s="8">
        <v>-2</v>
      </c>
      <c r="G7" s="9">
        <v>1.82</v>
      </c>
      <c r="H7" s="16">
        <v>-127.03</v>
      </c>
      <c r="I7" s="16">
        <v>-127.03</v>
      </c>
      <c r="J7" s="16">
        <v>-490</v>
      </c>
      <c r="K7" s="10">
        <f>IF(ABS(J7-I7)=0,"",I7/ABS(J7-I7))</f>
        <v>-0.34997382703804719</v>
      </c>
      <c r="L7" s="18">
        <f>IF($J$14=0,"",J7/$J$14)</f>
        <v>-1.8299500606628446E-3</v>
      </c>
      <c r="M7" s="8"/>
    </row>
    <row r="8" spans="1:13" x14ac:dyDescent="0.25">
      <c r="A8" s="29" t="s">
        <v>14</v>
      </c>
      <c r="B8" s="29" t="s">
        <v>12</v>
      </c>
      <c r="C8" s="131">
        <v>441.8</v>
      </c>
      <c r="D8" s="131">
        <v>15.67</v>
      </c>
      <c r="E8" s="132">
        <v>3.6799999999999999E-2</v>
      </c>
      <c r="F8" s="29">
        <v>185</v>
      </c>
      <c r="G8" s="131">
        <v>415.55930000000001</v>
      </c>
      <c r="H8" s="133">
        <v>2608.6</v>
      </c>
      <c r="I8" s="133">
        <v>4854.53</v>
      </c>
      <c r="J8" s="133">
        <v>81733</v>
      </c>
      <c r="K8" s="132">
        <f>IF(ABS(J8-I8)=0,"",I8/ABS(J8-I8))</f>
        <v>6.3145507448314195E-2</v>
      </c>
      <c r="L8" s="134">
        <f>IF($J$14=0,"",J8/$J$14)</f>
        <v>0.30523940471052302</v>
      </c>
      <c r="M8" s="70"/>
    </row>
    <row r="9" spans="1:13" x14ac:dyDescent="0.25">
      <c r="A9" s="8" t="s">
        <v>24</v>
      </c>
      <c r="B9" s="8" t="s">
        <v>420</v>
      </c>
      <c r="C9" s="9">
        <v>0.85</v>
      </c>
      <c r="D9" s="9">
        <v>-2.8250000000000002</v>
      </c>
      <c r="E9" s="10">
        <v>-0.77400000000000002</v>
      </c>
      <c r="F9" s="8">
        <v>-1</v>
      </c>
      <c r="G9" s="9">
        <v>1.1499999999999999</v>
      </c>
      <c r="H9" s="16">
        <v>31.98</v>
      </c>
      <c r="I9" s="16">
        <v>31.98</v>
      </c>
      <c r="J9" s="16">
        <v>-82.5</v>
      </c>
      <c r="K9" s="10">
        <f>IF(ABS(J9-I9)=0,"",I9/ABS(J9-I9))</f>
        <v>0.27935010482180295</v>
      </c>
      <c r="L9" s="18">
        <f>IF($J$14=0,"",J9/$J$14)</f>
        <v>-3.0810383674425445E-4</v>
      </c>
      <c r="M9" s="8"/>
    </row>
    <row r="10" spans="1:13" x14ac:dyDescent="0.25">
      <c r="A10" s="29" t="s">
        <v>414</v>
      </c>
      <c r="B10" s="29" t="s">
        <v>421</v>
      </c>
      <c r="C10" s="131">
        <v>0.71</v>
      </c>
      <c r="D10" s="131">
        <v>-1.99</v>
      </c>
      <c r="E10" s="132">
        <v>-0.71330000000000005</v>
      </c>
      <c r="F10" s="29">
        <v>-1</v>
      </c>
      <c r="G10" s="131">
        <v>0.87</v>
      </c>
      <c r="H10" s="133">
        <v>6.48</v>
      </c>
      <c r="I10" s="133">
        <v>6.48</v>
      </c>
      <c r="J10" s="133">
        <v>-80</v>
      </c>
      <c r="K10" s="132">
        <f>IF(ABS(J10-I10)=0,"",I10/ABS(J10-I10))</f>
        <v>7.4930619796484743E-2</v>
      </c>
      <c r="L10" s="134">
        <f>IF($J$14=0,"",J10/$J$14)</f>
        <v>-2.9876735684291342E-4</v>
      </c>
      <c r="M10" s="29"/>
    </row>
    <row r="11" spans="1:13" x14ac:dyDescent="0.25">
      <c r="A11" s="23" t="s">
        <v>18</v>
      </c>
      <c r="B11" s="8" t="s">
        <v>12</v>
      </c>
      <c r="C11" s="9">
        <v>310.92</v>
      </c>
      <c r="D11" s="9">
        <v>4.8499999999999996</v>
      </c>
      <c r="E11" s="10">
        <v>1.5800000000000002E-2</v>
      </c>
      <c r="F11" s="8">
        <v>40</v>
      </c>
      <c r="G11" s="9">
        <v>312.00420000000003</v>
      </c>
      <c r="H11" s="16">
        <v>-43.37</v>
      </c>
      <c r="I11" s="16">
        <v>-43.37</v>
      </c>
      <c r="J11" s="129">
        <v>12436.8</v>
      </c>
      <c r="K11" s="10">
        <f>IF(ABS(J11-I11)=0,"",I11/ABS(J11-I11))</f>
        <v>-3.4751129191349156E-3</v>
      </c>
      <c r="L11" s="130">
        <f>IF($J$14=0,"",J11/$J$14)</f>
        <v>4.6446373294799316E-2</v>
      </c>
      <c r="M11" s="64"/>
    </row>
    <row r="13" spans="1:13" ht="16.5" thickBot="1" x14ac:dyDescent="0.3">
      <c r="A13" s="135" t="s">
        <v>20</v>
      </c>
      <c r="B13" s="136"/>
      <c r="C13" s="136"/>
      <c r="D13" s="136"/>
      <c r="E13" s="136"/>
      <c r="F13" s="136"/>
      <c r="G13" s="136"/>
      <c r="H13" s="137"/>
      <c r="I13" s="137"/>
      <c r="J13" s="138">
        <v>139327.07</v>
      </c>
      <c r="K13" s="136"/>
      <c r="L13" s="139">
        <f>IF($J$14=0,"",J13/$J$14)</f>
        <v>0.5203297555070947</v>
      </c>
      <c r="M13" s="140"/>
    </row>
    <row r="14" spans="1:13" x14ac:dyDescent="0.25">
      <c r="A14" s="1" t="s">
        <v>21</v>
      </c>
      <c r="B14" s="1"/>
      <c r="C14" s="1"/>
      <c r="D14" s="1"/>
      <c r="E14" s="1"/>
      <c r="F14" s="1"/>
      <c r="G14" s="1"/>
      <c r="H14" s="125">
        <f>SUM(H2:H11)</f>
        <v>2364.44</v>
      </c>
      <c r="I14" s="125">
        <f>SUM(I2:I11)</f>
        <v>4462.369999999999</v>
      </c>
      <c r="J14" s="125">
        <f>SUM(J2:J11)+J13</f>
        <v>267766.87</v>
      </c>
      <c r="K14" s="126" cm="1">
        <f t="array" ref="K14">IF(SUMPRODUCT(ABS(J2:J11-I2:I11))=0,"",I14/SUMPRODUCT(ABS(J2:J11-I2:I11)))</f>
        <v>3.3559685750356637E-2</v>
      </c>
      <c r="L14" s="126">
        <f>SUM(L2:L11)+L13</f>
        <v>1</v>
      </c>
      <c r="M14" s="127">
        <f>SUM(M2:M13)</f>
        <v>0</v>
      </c>
    </row>
    <row r="17" spans="1:13" x14ac:dyDescent="0.25">
      <c r="A17" s="128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</row>
    <row r="18" spans="1:13" x14ac:dyDescent="0.25">
      <c r="A18" s="1" t="s">
        <v>49</v>
      </c>
      <c r="B18" s="5"/>
      <c r="C18" s="5"/>
      <c r="D18" s="5"/>
      <c r="E18" s="2" t="s">
        <v>28</v>
      </c>
      <c r="F18" s="2" t="s">
        <v>27</v>
      </c>
    </row>
    <row r="19" spans="1:13" outlineLevel="1" x14ac:dyDescent="0.25">
      <c r="A19" s="28" t="s">
        <v>51</v>
      </c>
      <c r="B19" s="29"/>
      <c r="C19" s="29"/>
      <c r="D19" s="29"/>
      <c r="E19" s="30">
        <f>SUM(J2:J11)</f>
        <v>128439.8</v>
      </c>
      <c r="F19" s="31">
        <f>E19/E23</f>
        <v>0.47967024449290535</v>
      </c>
    </row>
    <row r="20" spans="1:13" outlineLevel="1" x14ac:dyDescent="0.25">
      <c r="A20" s="28"/>
      <c r="B20" s="29"/>
      <c r="C20" s="29"/>
      <c r="D20" s="29"/>
      <c r="E20" s="30"/>
      <c r="F20" s="31"/>
    </row>
    <row r="21" spans="1:13" outlineLevel="1" x14ac:dyDescent="0.25">
      <c r="A21" s="28"/>
      <c r="B21" s="29"/>
      <c r="C21" s="29"/>
      <c r="D21" s="29"/>
      <c r="E21" s="30"/>
      <c r="F21" s="36"/>
    </row>
    <row r="22" spans="1:13" ht="16.5" outlineLevel="1" thickBot="1" x14ac:dyDescent="0.3">
      <c r="A22" s="28" t="s">
        <v>20</v>
      </c>
      <c r="B22" s="29"/>
      <c r="C22" s="29"/>
      <c r="D22" s="29"/>
      <c r="E22" s="30">
        <f>J13</f>
        <v>139327.07</v>
      </c>
      <c r="F22" s="31">
        <f>E22/E23</f>
        <v>0.5203297555070947</v>
      </c>
    </row>
    <row r="23" spans="1:13" ht="16.5" outlineLevel="1" thickBot="1" x14ac:dyDescent="0.3">
      <c r="A23" s="32" t="s">
        <v>54</v>
      </c>
      <c r="B23" s="33"/>
      <c r="C23" s="33"/>
      <c r="D23" s="33"/>
      <c r="E23" s="34">
        <f>J14</f>
        <v>267766.87</v>
      </c>
      <c r="F23" s="35">
        <f>E23/E23</f>
        <v>1</v>
      </c>
    </row>
    <row r="24" spans="1:13" ht="16.5" outlineLevel="1" thickTop="1" x14ac:dyDescent="0.25"/>
    <row r="25" spans="1:13" outlineLevel="1" x14ac:dyDescent="0.25">
      <c r="A25" s="1" t="s">
        <v>105</v>
      </c>
      <c r="B25" s="5"/>
      <c r="C25" s="5"/>
      <c r="D25" s="5"/>
      <c r="E25" s="5"/>
      <c r="F25" s="5"/>
    </row>
    <row r="26" spans="1:13" outlineLevel="1" x14ac:dyDescent="0.25">
      <c r="A26" s="72" t="s">
        <v>106</v>
      </c>
      <c r="B26" s="73" t="s">
        <v>107</v>
      </c>
    </row>
    <row r="27" spans="1:13" outlineLevel="1" x14ac:dyDescent="0.25"/>
    <row r="28" spans="1:13" outlineLevel="1" x14ac:dyDescent="0.25">
      <c r="A28" s="74" t="s">
        <v>108</v>
      </c>
    </row>
    <row r="29" spans="1:13" outlineLevel="1" x14ac:dyDescent="0.25">
      <c r="A29" s="75" t="s">
        <v>130</v>
      </c>
      <c r="B29" s="76" t="s">
        <v>109</v>
      </c>
    </row>
    <row r="30" spans="1:13" outlineLevel="1" x14ac:dyDescent="0.25">
      <c r="A30" s="75" t="s">
        <v>131</v>
      </c>
      <c r="B30" s="76" t="s">
        <v>110</v>
      </c>
    </row>
    <row r="31" spans="1:13" outlineLevel="1" x14ac:dyDescent="0.25">
      <c r="A31" s="75" t="s">
        <v>111</v>
      </c>
      <c r="B31" s="76" t="s">
        <v>112</v>
      </c>
    </row>
    <row r="32" spans="1:13" x14ac:dyDescent="0.25">
      <c r="A32" s="75" t="s">
        <v>132</v>
      </c>
      <c r="B32" s="76" t="s">
        <v>114</v>
      </c>
    </row>
    <row r="33" spans="1:2" x14ac:dyDescent="0.25">
      <c r="A33" s="75" t="s">
        <v>133</v>
      </c>
      <c r="B33" s="76" t="s">
        <v>113</v>
      </c>
    </row>
    <row r="34" spans="1:2" x14ac:dyDescent="0.25">
      <c r="A34" s="75" t="s">
        <v>125</v>
      </c>
      <c r="B34" s="76" t="s">
        <v>134</v>
      </c>
    </row>
    <row r="35" spans="1:2" x14ac:dyDescent="0.25">
      <c r="A35" s="75" t="s">
        <v>135</v>
      </c>
      <c r="B35" s="76" t="s">
        <v>126</v>
      </c>
    </row>
    <row r="36" spans="1:2" x14ac:dyDescent="0.25">
      <c r="A36" s="75" t="s">
        <v>136</v>
      </c>
      <c r="B36" s="76" t="s">
        <v>115</v>
      </c>
    </row>
    <row r="37" spans="1:2" x14ac:dyDescent="0.25">
      <c r="B37" s="76" t="s">
        <v>128</v>
      </c>
    </row>
    <row r="39" spans="1:2" x14ac:dyDescent="0.25">
      <c r="A39" s="77" t="s">
        <v>137</v>
      </c>
    </row>
    <row r="40" spans="1:2" x14ac:dyDescent="0.25">
      <c r="A40" s="75" t="s">
        <v>13</v>
      </c>
      <c r="B40" s="76" t="s">
        <v>138</v>
      </c>
    </row>
    <row r="41" spans="1:2" x14ac:dyDescent="0.25">
      <c r="A41" s="75" t="s">
        <v>15</v>
      </c>
      <c r="B41" s="76" t="s">
        <v>116</v>
      </c>
    </row>
    <row r="42" spans="1:2" x14ac:dyDescent="0.25">
      <c r="A42" s="75" t="s">
        <v>129</v>
      </c>
      <c r="B42" s="76" t="s">
        <v>139</v>
      </c>
    </row>
    <row r="43" spans="1:2" x14ac:dyDescent="0.25">
      <c r="A43" s="75" t="s">
        <v>10</v>
      </c>
      <c r="B43" s="76" t="s">
        <v>140</v>
      </c>
    </row>
    <row r="44" spans="1:2" x14ac:dyDescent="0.25">
      <c r="A44" s="75" t="s">
        <v>15</v>
      </c>
      <c r="B44" s="76" t="s">
        <v>116</v>
      </c>
    </row>
    <row r="46" spans="1:2" x14ac:dyDescent="0.25">
      <c r="A46" s="72" t="s">
        <v>117</v>
      </c>
      <c r="B46" s="78" t="s">
        <v>118</v>
      </c>
    </row>
    <row r="47" spans="1:2" x14ac:dyDescent="0.25">
      <c r="B47" s="78" t="s">
        <v>119</v>
      </c>
    </row>
    <row r="48" spans="1:2" x14ac:dyDescent="0.25">
      <c r="B48" s="78" t="s">
        <v>120</v>
      </c>
    </row>
  </sheetData>
  <conditionalFormatting sqref="J2:L9 M4 M8"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0F9E2-C622-4FB6-83EA-61FA3B10A266}">
  <dimension ref="A1:N43"/>
  <sheetViews>
    <sheetView workbookViewId="0">
      <selection activeCell="B9" sqref="B9"/>
    </sheetView>
  </sheetViews>
  <sheetFormatPr defaultRowHeight="15.75" outlineLevelRow="1" x14ac:dyDescent="0.25"/>
  <cols>
    <col min="1" max="1" width="14.5" bestFit="1" customWidth="1"/>
    <col min="2" max="2" width="17.5" bestFit="1" customWidth="1"/>
    <col min="3" max="3" width="10.5" bestFit="1" customWidth="1"/>
    <col min="4" max="4" width="8.625" bestFit="1" customWidth="1"/>
    <col min="5" max="5" width="10.875" bestFit="1" customWidth="1"/>
    <col min="6" max="6" width="9.5" bestFit="1" customWidth="1"/>
    <col min="7" max="7" width="10.875" bestFit="1" customWidth="1"/>
    <col min="8" max="8" width="11.25" bestFit="1" customWidth="1"/>
    <col min="9" max="9" width="11.125" bestFit="1" customWidth="1"/>
    <col min="10" max="10" width="10.875" bestFit="1" customWidth="1"/>
    <col min="11" max="11" width="11.625" bestFit="1" customWidth="1"/>
    <col min="12" max="12" width="12.75" bestFit="1" customWidth="1"/>
    <col min="13" max="14" width="18.375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22</v>
      </c>
      <c r="L1" s="2" t="s">
        <v>23</v>
      </c>
      <c r="M1" s="2" t="s">
        <v>102</v>
      </c>
      <c r="N1" s="2" t="s">
        <v>103</v>
      </c>
    </row>
    <row r="2" spans="1:14" x14ac:dyDescent="0.25">
      <c r="A2" s="8" t="s">
        <v>11</v>
      </c>
      <c r="B2" s="8" t="s">
        <v>12</v>
      </c>
      <c r="C2" s="9">
        <v>374.69</v>
      </c>
      <c r="D2" s="9">
        <v>-2.12</v>
      </c>
      <c r="E2" s="10">
        <v>-5.5999999999999999E-3</v>
      </c>
      <c r="F2" s="8">
        <v>115</v>
      </c>
      <c r="G2" s="9">
        <v>345.50139999999999</v>
      </c>
      <c r="H2" s="9">
        <v>-243.8</v>
      </c>
      <c r="I2" s="9">
        <v>3356.69</v>
      </c>
      <c r="J2" s="9">
        <v>43089.35</v>
      </c>
      <c r="K2" s="10">
        <f>IF(ABS(G2*F2)=0,"",I2/(ABS(G2*F2)*100))</f>
        <v>8.4481882549975699E-4</v>
      </c>
      <c r="L2" s="10">
        <f>IF($J$13=0,"",J2/$J$13)</f>
        <v>0.40701487350563353</v>
      </c>
      <c r="M2" s="64"/>
      <c r="N2" s="66"/>
    </row>
    <row r="3" spans="1:14" x14ac:dyDescent="0.25">
      <c r="A3" t="s">
        <v>14</v>
      </c>
      <c r="B3" t="s">
        <v>12</v>
      </c>
      <c r="C3" s="6">
        <v>412.37</v>
      </c>
      <c r="D3" s="6">
        <v>-3.19</v>
      </c>
      <c r="E3" s="7">
        <v>-7.7000000000000002E-3</v>
      </c>
      <c r="F3">
        <v>90</v>
      </c>
      <c r="G3" s="6">
        <v>415.86180000000002</v>
      </c>
      <c r="H3" s="6">
        <v>-287.10000000000002</v>
      </c>
      <c r="I3" s="6">
        <v>-314.26</v>
      </c>
      <c r="J3" s="6">
        <v>37113.300000000003</v>
      </c>
      <c r="K3" s="7">
        <f>IF(ABS(G3*F3)=0,"",I3/(ABS(G3*F3)*100))</f>
        <v>-8.3964859907252308E-5</v>
      </c>
      <c r="L3" s="7">
        <f>IF($J$13=0,"",J3/$J$13)</f>
        <v>0.35056609359102958</v>
      </c>
    </row>
    <row r="4" spans="1:14" x14ac:dyDescent="0.25">
      <c r="A4" s="8" t="s">
        <v>24</v>
      </c>
      <c r="B4" s="8" t="s">
        <v>12</v>
      </c>
      <c r="C4" s="9">
        <v>151.32</v>
      </c>
      <c r="D4" s="9">
        <v>0.91</v>
      </c>
      <c r="E4" s="10">
        <v>6.1000000000000004E-3</v>
      </c>
      <c r="F4" s="8">
        <v>105</v>
      </c>
      <c r="G4" s="9">
        <v>141.10659999999999</v>
      </c>
      <c r="H4" s="9">
        <v>95.07</v>
      </c>
      <c r="I4" s="9">
        <v>1072.4100000000001</v>
      </c>
      <c r="J4" s="9">
        <v>15888.6</v>
      </c>
      <c r="K4" s="10">
        <f>IF(ABS(G4*F4)=0,"",I4/(ABS(G4*F4)*100))</f>
        <v>7.2380941581957003E-4</v>
      </c>
      <c r="L4" s="10">
        <f>IF($J$13=0,"",J4/$J$13)</f>
        <v>0.15008108776720022</v>
      </c>
      <c r="M4" s="64"/>
      <c r="N4" s="66"/>
    </row>
    <row r="5" spans="1:14" x14ac:dyDescent="0.25">
      <c r="C5" s="6"/>
      <c r="D5" s="6"/>
      <c r="E5" s="7"/>
      <c r="G5" s="6"/>
      <c r="H5" s="6"/>
      <c r="I5" s="6"/>
      <c r="J5" s="6"/>
      <c r="K5" s="7"/>
      <c r="L5" s="7"/>
      <c r="M5" s="65"/>
      <c r="N5" s="66"/>
    </row>
    <row r="6" spans="1:14" x14ac:dyDescent="0.25">
      <c r="A6" s="8"/>
      <c r="B6" s="8"/>
      <c r="C6" s="9"/>
      <c r="D6" s="9"/>
      <c r="E6" s="10"/>
      <c r="F6" s="8"/>
      <c r="G6" s="9"/>
      <c r="H6" s="9"/>
      <c r="I6" s="9"/>
      <c r="J6" s="9"/>
      <c r="K6" s="10"/>
      <c r="L6" s="10"/>
      <c r="M6" s="64"/>
      <c r="N6" s="66"/>
    </row>
    <row r="7" spans="1:14" x14ac:dyDescent="0.25">
      <c r="C7" s="6"/>
      <c r="D7" s="6"/>
      <c r="E7" s="7"/>
      <c r="G7" s="6"/>
      <c r="H7" s="6"/>
      <c r="I7" s="6"/>
      <c r="J7" s="9"/>
      <c r="K7" s="7"/>
      <c r="L7" s="7"/>
      <c r="M7" s="64"/>
      <c r="N7" s="66"/>
    </row>
    <row r="8" spans="1:14" x14ac:dyDescent="0.25">
      <c r="A8" s="68"/>
      <c r="B8" s="68"/>
      <c r="C8" s="6"/>
      <c r="D8" s="6"/>
      <c r="E8" s="7"/>
      <c r="F8" s="8"/>
      <c r="G8" s="6"/>
      <c r="H8" s="6"/>
      <c r="I8" s="6"/>
      <c r="J8" s="9"/>
      <c r="K8" s="7"/>
      <c r="L8" s="7"/>
      <c r="M8" s="70"/>
      <c r="N8" s="71"/>
    </row>
    <row r="9" spans="1:14" x14ac:dyDescent="0.25">
      <c r="A9" s="8"/>
      <c r="B9" s="8"/>
      <c r="C9" s="9"/>
      <c r="D9" s="9"/>
      <c r="E9" s="10"/>
      <c r="F9" s="8"/>
      <c r="G9" s="9"/>
      <c r="H9" s="9"/>
      <c r="I9" s="9"/>
      <c r="J9" s="9"/>
      <c r="K9" s="10"/>
      <c r="L9" s="10"/>
    </row>
    <row r="10" spans="1:14" x14ac:dyDescent="0.25">
      <c r="C10" s="6"/>
      <c r="D10" s="6"/>
      <c r="E10" s="7"/>
      <c r="G10" s="6"/>
      <c r="H10" s="6"/>
      <c r="I10" s="6"/>
      <c r="J10" s="9"/>
      <c r="K10" s="7"/>
      <c r="L10" s="7"/>
      <c r="M10" s="64"/>
      <c r="N10" s="66"/>
    </row>
    <row r="12" spans="1:14" ht="16.5" thickBot="1" x14ac:dyDescent="0.3">
      <c r="A12" s="3" t="s">
        <v>20</v>
      </c>
      <c r="J12" s="4">
        <v>9775.52</v>
      </c>
      <c r="L12" s="11">
        <f>IF($J$13=0,"",J12/$J$13)</f>
        <v>9.2337945136136676E-2</v>
      </c>
      <c r="M12" s="64"/>
      <c r="N12" s="66"/>
    </row>
    <row r="13" spans="1:14" ht="16.5" thickBot="1" x14ac:dyDescent="0.3">
      <c r="A13" s="12" t="s">
        <v>21</v>
      </c>
      <c r="B13" s="14"/>
      <c r="C13" s="14"/>
      <c r="D13" s="14"/>
      <c r="E13" s="14"/>
      <c r="F13" s="14"/>
      <c r="G13" s="14"/>
      <c r="H13" s="15">
        <f>SUM(H2:H6)</f>
        <v>-435.8300000000001</v>
      </c>
      <c r="I13" s="15">
        <f>SUM(I2:I6)</f>
        <v>4114.84</v>
      </c>
      <c r="J13" s="15">
        <f>SUM(J2:J6)+J12</f>
        <v>105866.77</v>
      </c>
      <c r="K13" s="13" cm="1">
        <f t="array" ref="K13">IF(SUMPRODUCT(ABS(G2:G6),ABS(F2:F6))=0,"",I13/SUMPRODUCT(ABS(G2:G6),ABS(F2:F6)))</f>
        <v>4.4737990225668288E-2</v>
      </c>
      <c r="L13" s="13">
        <f>SUM(L2:L6)+L12</f>
        <v>1</v>
      </c>
      <c r="M13" s="67">
        <f>SUM(M2:M12)</f>
        <v>0</v>
      </c>
      <c r="N13" s="15">
        <f t="shared" ref="N13" si="0">SUM(N2:N10)</f>
        <v>0</v>
      </c>
    </row>
    <row r="14" spans="1:14" ht="16.5" thickTop="1" x14ac:dyDescent="0.25"/>
    <row r="15" spans="1:14" x14ac:dyDescent="0.25">
      <c r="A15" s="1" t="s">
        <v>49</v>
      </c>
      <c r="B15" s="5"/>
      <c r="C15" s="5"/>
      <c r="D15" s="5"/>
      <c r="E15" s="2" t="s">
        <v>29</v>
      </c>
      <c r="F15" s="2" t="s">
        <v>27</v>
      </c>
    </row>
    <row r="16" spans="1:14" outlineLevel="1" x14ac:dyDescent="0.25">
      <c r="A16" s="28" t="s">
        <v>51</v>
      </c>
      <c r="B16" s="29"/>
      <c r="C16" s="29"/>
      <c r="D16" s="29"/>
      <c r="E16" s="30">
        <f>J2+J3+J4+J6</f>
        <v>96091.25</v>
      </c>
      <c r="F16" s="31">
        <f>E16/E20</f>
        <v>0.90766205486386331</v>
      </c>
    </row>
    <row r="17" spans="1:6" outlineLevel="1" x14ac:dyDescent="0.25">
      <c r="A17" s="28" t="s">
        <v>52</v>
      </c>
      <c r="B17" s="29"/>
      <c r="C17" s="29"/>
      <c r="D17" s="29"/>
      <c r="E17" s="30">
        <f>J5</f>
        <v>0</v>
      </c>
      <c r="F17" s="31">
        <f>E17/E20</f>
        <v>0</v>
      </c>
    </row>
    <row r="18" spans="1:6" outlineLevel="1" x14ac:dyDescent="0.25">
      <c r="A18" s="28" t="s">
        <v>53</v>
      </c>
      <c r="B18" s="29"/>
      <c r="C18" s="29"/>
      <c r="D18" s="29"/>
      <c r="E18" s="37">
        <v>0</v>
      </c>
      <c r="F18" s="36">
        <f>E18/E20</f>
        <v>0</v>
      </c>
    </row>
    <row r="19" spans="1:6" ht="16.5" outlineLevel="1" thickBot="1" x14ac:dyDescent="0.3">
      <c r="A19" s="28" t="s">
        <v>20</v>
      </c>
      <c r="B19" s="29"/>
      <c r="C19" s="29"/>
      <c r="D19" s="29"/>
      <c r="E19" s="30">
        <f>J12</f>
        <v>9775.52</v>
      </c>
      <c r="F19" s="31">
        <f>E19/E20</f>
        <v>9.2337945136136676E-2</v>
      </c>
    </row>
    <row r="20" spans="1:6" ht="16.5" outlineLevel="1" thickBot="1" x14ac:dyDescent="0.3">
      <c r="A20" s="32" t="s">
        <v>54</v>
      </c>
      <c r="B20" s="33"/>
      <c r="C20" s="33"/>
      <c r="D20" s="33"/>
      <c r="E20" s="34">
        <f>J13</f>
        <v>105866.77</v>
      </c>
      <c r="F20" s="35">
        <f>E20/E20</f>
        <v>1</v>
      </c>
    </row>
    <row r="21" spans="1:6" ht="16.5" outlineLevel="1" thickTop="1" x14ac:dyDescent="0.25"/>
    <row r="22" spans="1:6" outlineLevel="1" x14ac:dyDescent="0.25">
      <c r="A22" s="1" t="s">
        <v>105</v>
      </c>
      <c r="B22" s="5"/>
      <c r="C22" s="5"/>
      <c r="D22" s="5"/>
      <c r="E22" s="5"/>
      <c r="F22" s="5"/>
    </row>
    <row r="23" spans="1:6" outlineLevel="1" x14ac:dyDescent="0.25">
      <c r="A23" s="72" t="s">
        <v>106</v>
      </c>
      <c r="B23" s="73" t="s">
        <v>121</v>
      </c>
    </row>
    <row r="25" spans="1:6" x14ac:dyDescent="0.25">
      <c r="A25" s="74" t="s">
        <v>141</v>
      </c>
    </row>
    <row r="26" spans="1:6" x14ac:dyDescent="0.25">
      <c r="A26" s="75" t="s">
        <v>122</v>
      </c>
      <c r="B26" s="76" t="s">
        <v>123</v>
      </c>
    </row>
    <row r="27" spans="1:6" x14ac:dyDescent="0.25">
      <c r="A27" s="75" t="s">
        <v>142</v>
      </c>
      <c r="B27" s="76" t="s">
        <v>124</v>
      </c>
    </row>
    <row r="29" spans="1:6" x14ac:dyDescent="0.25">
      <c r="A29" s="74" t="s">
        <v>143</v>
      </c>
    </row>
    <row r="30" spans="1:6" x14ac:dyDescent="0.25">
      <c r="A30" s="75" t="s">
        <v>144</v>
      </c>
      <c r="B30" s="76" t="s">
        <v>145</v>
      </c>
    </row>
    <row r="31" spans="1:6" x14ac:dyDescent="0.25">
      <c r="A31" s="75"/>
      <c r="B31" s="76"/>
    </row>
    <row r="32" spans="1:6" x14ac:dyDescent="0.25">
      <c r="A32" s="75" t="s">
        <v>146</v>
      </c>
      <c r="B32" s="76"/>
    </row>
    <row r="33" spans="1:2" x14ac:dyDescent="0.25">
      <c r="A33" s="75" t="s">
        <v>147</v>
      </c>
      <c r="B33" t="s">
        <v>126</v>
      </c>
    </row>
    <row r="34" spans="1:2" x14ac:dyDescent="0.25">
      <c r="A34" s="74"/>
      <c r="B34" t="s">
        <v>127</v>
      </c>
    </row>
    <row r="35" spans="1:2" x14ac:dyDescent="0.25">
      <c r="A35" s="75"/>
      <c r="B35" s="76" t="s">
        <v>128</v>
      </c>
    </row>
    <row r="36" spans="1:2" x14ac:dyDescent="0.25">
      <c r="B36" s="76"/>
    </row>
    <row r="37" spans="1:2" x14ac:dyDescent="0.25">
      <c r="A37" t="s">
        <v>117</v>
      </c>
      <c r="B37" s="76" t="s">
        <v>148</v>
      </c>
    </row>
    <row r="38" spans="1:2" x14ac:dyDescent="0.25">
      <c r="A38" s="77"/>
    </row>
    <row r="39" spans="1:2" x14ac:dyDescent="0.25">
      <c r="A39" s="75"/>
      <c r="B39" s="76"/>
    </row>
    <row r="41" spans="1:2" x14ac:dyDescent="0.25">
      <c r="A41" s="72"/>
      <c r="B41" s="78"/>
    </row>
    <row r="42" spans="1:2" x14ac:dyDescent="0.25">
      <c r="B42" s="78"/>
    </row>
    <row r="43" spans="1:2" x14ac:dyDescent="0.25">
      <c r="B43" s="7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6C219-75BE-4754-AF61-4229BEA2147E}">
  <dimension ref="A1:F10"/>
  <sheetViews>
    <sheetView workbookViewId="0">
      <selection activeCell="D28" sqref="D28"/>
    </sheetView>
  </sheetViews>
  <sheetFormatPr defaultRowHeight="15.75" x14ac:dyDescent="0.25"/>
  <cols>
    <col min="1" max="1" width="9.125" customWidth="1"/>
    <col min="2" max="2" width="28.375" customWidth="1"/>
    <col min="3" max="4" width="21.625" customWidth="1"/>
    <col min="5" max="5" width="15" customWidth="1"/>
    <col min="6" max="6" width="28.375" customWidth="1"/>
  </cols>
  <sheetData>
    <row r="1" spans="1:6" ht="18" x14ac:dyDescent="0.25">
      <c r="A1" s="122" t="s">
        <v>101</v>
      </c>
      <c r="B1" s="122"/>
      <c r="C1" s="122"/>
      <c r="D1" s="122"/>
      <c r="E1" s="122"/>
      <c r="F1" s="122"/>
    </row>
    <row r="2" spans="1:6" ht="16.5" thickBot="1" x14ac:dyDescent="0.3">
      <c r="A2" s="42" t="s">
        <v>55</v>
      </c>
      <c r="B2" s="42" t="s">
        <v>56</v>
      </c>
      <c r="C2" s="42" t="s">
        <v>57</v>
      </c>
      <c r="D2" s="42" t="s">
        <v>58</v>
      </c>
      <c r="E2" s="42" t="s">
        <v>59</v>
      </c>
      <c r="F2" s="43" t="s">
        <v>60</v>
      </c>
    </row>
    <row r="3" spans="1:6" ht="16.5" thickTop="1" x14ac:dyDescent="0.25">
      <c r="A3" s="44" t="s">
        <v>61</v>
      </c>
      <c r="B3" s="45" t="s">
        <v>41</v>
      </c>
      <c r="C3" s="46" t="s">
        <v>62</v>
      </c>
      <c r="D3" s="46" t="s">
        <v>63</v>
      </c>
      <c r="E3" s="44" t="s">
        <v>64</v>
      </c>
      <c r="F3" s="47" t="s">
        <v>65</v>
      </c>
    </row>
    <row r="4" spans="1:6" x14ac:dyDescent="0.25">
      <c r="A4" s="48" t="s">
        <v>66</v>
      </c>
      <c r="B4" s="49" t="s">
        <v>43</v>
      </c>
      <c r="C4" s="50" t="s">
        <v>67</v>
      </c>
      <c r="D4" s="50" t="s">
        <v>68</v>
      </c>
      <c r="E4" s="48" t="s">
        <v>69</v>
      </c>
      <c r="F4" s="51" t="s">
        <v>65</v>
      </c>
    </row>
    <row r="5" spans="1:6" x14ac:dyDescent="0.25">
      <c r="A5" s="52" t="s">
        <v>70</v>
      </c>
      <c r="B5" s="53" t="s">
        <v>71</v>
      </c>
      <c r="C5" s="54" t="s">
        <v>72</v>
      </c>
      <c r="D5" s="54" t="s">
        <v>73</v>
      </c>
      <c r="E5" s="52" t="s">
        <v>74</v>
      </c>
      <c r="F5" s="55" t="s">
        <v>75</v>
      </c>
    </row>
    <row r="6" spans="1:6" x14ac:dyDescent="0.25">
      <c r="A6" s="52" t="s">
        <v>76</v>
      </c>
      <c r="B6" s="53" t="s">
        <v>42</v>
      </c>
      <c r="C6" s="54" t="s">
        <v>77</v>
      </c>
      <c r="D6" s="54" t="s">
        <v>78</v>
      </c>
      <c r="E6" s="52" t="s">
        <v>74</v>
      </c>
      <c r="F6" s="55" t="s">
        <v>75</v>
      </c>
    </row>
    <row r="7" spans="1:6" x14ac:dyDescent="0.25">
      <c r="A7" s="52" t="s">
        <v>79</v>
      </c>
      <c r="B7" s="53" t="s">
        <v>80</v>
      </c>
      <c r="C7" s="54" t="s">
        <v>81</v>
      </c>
      <c r="D7" s="54" t="s">
        <v>82</v>
      </c>
      <c r="E7" s="52" t="s">
        <v>83</v>
      </c>
      <c r="F7" s="55" t="s">
        <v>75</v>
      </c>
    </row>
    <row r="8" spans="1:6" x14ac:dyDescent="0.25">
      <c r="A8" s="56" t="s">
        <v>84</v>
      </c>
      <c r="B8" s="58" t="s">
        <v>85</v>
      </c>
      <c r="C8" s="60" t="s">
        <v>86</v>
      </c>
      <c r="D8" s="60" t="s">
        <v>87</v>
      </c>
      <c r="E8" s="56" t="s">
        <v>88</v>
      </c>
      <c r="F8" s="62" t="s">
        <v>89</v>
      </c>
    </row>
    <row r="9" spans="1:6" x14ac:dyDescent="0.25">
      <c r="A9" s="57" t="s">
        <v>90</v>
      </c>
      <c r="B9" s="59" t="s">
        <v>91</v>
      </c>
      <c r="C9" s="61" t="s">
        <v>92</v>
      </c>
      <c r="D9" s="61" t="s">
        <v>93</v>
      </c>
      <c r="E9" s="57" t="s">
        <v>94</v>
      </c>
      <c r="F9" s="63" t="s">
        <v>65</v>
      </c>
    </row>
    <row r="10" spans="1:6" x14ac:dyDescent="0.25">
      <c r="A10" s="38" t="s">
        <v>95</v>
      </c>
      <c r="B10" s="39" t="s">
        <v>96</v>
      </c>
      <c r="C10" s="40" t="s">
        <v>97</v>
      </c>
      <c r="D10" s="40" t="s">
        <v>98</v>
      </c>
      <c r="E10" s="38" t="s">
        <v>99</v>
      </c>
      <c r="F10" s="41" t="s">
        <v>100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786F7-C097-4F0F-8E33-78BA569C005F}">
  <dimension ref="A1:I108"/>
  <sheetViews>
    <sheetView workbookViewId="0">
      <selection activeCell="E20" sqref="E20"/>
    </sheetView>
  </sheetViews>
  <sheetFormatPr defaultRowHeight="15.75" x14ac:dyDescent="0.25"/>
  <cols>
    <col min="1" max="1" width="41.625" customWidth="1"/>
    <col min="2" max="2" width="36" customWidth="1"/>
    <col min="3" max="4" width="16.625" customWidth="1"/>
    <col min="5" max="5" width="30.625" customWidth="1"/>
    <col min="6" max="6" width="16.625" customWidth="1"/>
    <col min="7" max="7" width="50" customWidth="1"/>
  </cols>
  <sheetData>
    <row r="1" spans="1:7" ht="17.25" x14ac:dyDescent="0.3">
      <c r="A1" s="123" t="s">
        <v>150</v>
      </c>
      <c r="B1" s="124"/>
      <c r="C1" s="124"/>
      <c r="D1" s="124"/>
      <c r="E1" s="124"/>
      <c r="F1" s="124"/>
      <c r="G1" s="124"/>
    </row>
    <row r="3" spans="1:7" x14ac:dyDescent="0.25">
      <c r="A3" s="82" t="s">
        <v>151</v>
      </c>
      <c r="B3" s="83"/>
      <c r="C3" s="83"/>
      <c r="D3" s="83"/>
      <c r="E3" s="83"/>
      <c r="F3" s="83"/>
      <c r="G3" s="83"/>
    </row>
    <row r="4" spans="1:7" x14ac:dyDescent="0.25">
      <c r="A4" s="84" t="s">
        <v>152</v>
      </c>
      <c r="B4" t="s">
        <v>153</v>
      </c>
    </row>
    <row r="5" spans="1:7" x14ac:dyDescent="0.25">
      <c r="A5" s="84" t="s">
        <v>154</v>
      </c>
      <c r="B5" t="s">
        <v>155</v>
      </c>
    </row>
    <row r="6" spans="1:7" x14ac:dyDescent="0.25">
      <c r="A6" s="84" t="s">
        <v>156</v>
      </c>
      <c r="B6" t="s">
        <v>157</v>
      </c>
    </row>
    <row r="7" spans="1:7" x14ac:dyDescent="0.25">
      <c r="A7" s="84" t="s">
        <v>158</v>
      </c>
      <c r="B7" t="s">
        <v>159</v>
      </c>
    </row>
    <row r="8" spans="1:7" x14ac:dyDescent="0.25">
      <c r="A8" s="84" t="s">
        <v>160</v>
      </c>
      <c r="B8" t="s">
        <v>161</v>
      </c>
    </row>
    <row r="9" spans="1:7" x14ac:dyDescent="0.25">
      <c r="A9" s="84" t="s">
        <v>162</v>
      </c>
      <c r="B9" t="s">
        <v>163</v>
      </c>
    </row>
    <row r="10" spans="1:7" x14ac:dyDescent="0.25">
      <c r="A10" s="84" t="s">
        <v>164</v>
      </c>
      <c r="B10" s="95" t="s">
        <v>165</v>
      </c>
    </row>
    <row r="12" spans="1:7" x14ac:dyDescent="0.25">
      <c r="A12" s="82" t="s">
        <v>166</v>
      </c>
      <c r="B12" s="83"/>
      <c r="C12" s="83"/>
      <c r="D12" s="83"/>
      <c r="E12" s="83"/>
      <c r="F12" s="83"/>
      <c r="G12" s="83"/>
    </row>
    <row r="13" spans="1:7" x14ac:dyDescent="0.25">
      <c r="A13" s="85" t="s">
        <v>167</v>
      </c>
      <c r="B13" s="85" t="s">
        <v>168</v>
      </c>
      <c r="C13" s="85" t="s">
        <v>169</v>
      </c>
      <c r="D13" s="85" t="s">
        <v>170</v>
      </c>
      <c r="E13" s="85" t="s">
        <v>171</v>
      </c>
      <c r="F13" s="85" t="s">
        <v>172</v>
      </c>
      <c r="G13" s="85" t="s">
        <v>1</v>
      </c>
    </row>
    <row r="14" spans="1:7" x14ac:dyDescent="0.25">
      <c r="A14" s="86" t="s">
        <v>173</v>
      </c>
      <c r="B14" s="87">
        <v>0.4</v>
      </c>
      <c r="C14" s="86" t="s">
        <v>174</v>
      </c>
      <c r="D14" s="86" t="s">
        <v>175</v>
      </c>
      <c r="E14" s="86" t="s">
        <v>176</v>
      </c>
      <c r="F14" s="86" t="s">
        <v>177</v>
      </c>
      <c r="G14" s="86" t="s">
        <v>178</v>
      </c>
    </row>
    <row r="15" spans="1:7" x14ac:dyDescent="0.25">
      <c r="A15" s="88" t="s">
        <v>179</v>
      </c>
      <c r="B15" s="89">
        <v>0.35</v>
      </c>
      <c r="C15" s="88" t="s">
        <v>180</v>
      </c>
      <c r="D15" s="88" t="s">
        <v>181</v>
      </c>
      <c r="E15" s="88" t="s">
        <v>182</v>
      </c>
      <c r="F15" s="88" t="s">
        <v>183</v>
      </c>
      <c r="G15" s="88" t="s">
        <v>184</v>
      </c>
    </row>
    <row r="16" spans="1:7" x14ac:dyDescent="0.25">
      <c r="A16" s="90" t="s">
        <v>185</v>
      </c>
      <c r="B16" s="91">
        <v>0.15</v>
      </c>
      <c r="C16" s="90" t="s">
        <v>186</v>
      </c>
      <c r="D16" s="90" t="s">
        <v>187</v>
      </c>
      <c r="E16" s="90" t="s">
        <v>188</v>
      </c>
      <c r="F16" s="90" t="s">
        <v>189</v>
      </c>
      <c r="G16" s="90" t="s">
        <v>190</v>
      </c>
    </row>
    <row r="17" spans="1:7" x14ac:dyDescent="0.25">
      <c r="A17" s="92" t="s">
        <v>191</v>
      </c>
      <c r="B17" s="93">
        <v>0.1</v>
      </c>
      <c r="C17" s="92" t="s">
        <v>192</v>
      </c>
      <c r="D17" s="92" t="s">
        <v>193</v>
      </c>
      <c r="E17" s="92" t="s">
        <v>194</v>
      </c>
      <c r="F17" s="92" t="s">
        <v>195</v>
      </c>
      <c r="G17" s="92" t="s">
        <v>196</v>
      </c>
    </row>
    <row r="19" spans="1:7" x14ac:dyDescent="0.25">
      <c r="A19" s="82" t="s">
        <v>197</v>
      </c>
      <c r="B19" s="83"/>
      <c r="C19" s="83"/>
      <c r="D19" s="83"/>
      <c r="E19" s="83"/>
      <c r="F19" s="83"/>
      <c r="G19" s="83"/>
    </row>
    <row r="20" spans="1:7" x14ac:dyDescent="0.25">
      <c r="A20" s="100" t="s">
        <v>198</v>
      </c>
    </row>
    <row r="22" spans="1:7" x14ac:dyDescent="0.25">
      <c r="A22" s="85" t="s">
        <v>199</v>
      </c>
      <c r="B22" s="85" t="s">
        <v>200</v>
      </c>
      <c r="C22" s="85" t="s">
        <v>33</v>
      </c>
      <c r="D22" s="85" t="s">
        <v>201</v>
      </c>
      <c r="E22" s="85" t="s">
        <v>202</v>
      </c>
      <c r="F22" s="85" t="s">
        <v>203</v>
      </c>
      <c r="G22" s="85" t="s">
        <v>204</v>
      </c>
    </row>
    <row r="23" spans="1:7" x14ac:dyDescent="0.25">
      <c r="A23" t="s">
        <v>205</v>
      </c>
      <c r="B23" s="7">
        <v>0.314</v>
      </c>
      <c r="C23" s="96">
        <v>106787</v>
      </c>
      <c r="D23" s="95" t="s">
        <v>206</v>
      </c>
      <c r="E23" t="s">
        <v>207</v>
      </c>
      <c r="F23" t="s">
        <v>181</v>
      </c>
      <c r="G23" t="s">
        <v>208</v>
      </c>
    </row>
    <row r="24" spans="1:7" x14ac:dyDescent="0.25">
      <c r="A24" t="s">
        <v>17</v>
      </c>
      <c r="B24" s="7">
        <v>0.128</v>
      </c>
      <c r="C24" s="96">
        <v>43517</v>
      </c>
      <c r="D24" s="94" t="s">
        <v>209</v>
      </c>
      <c r="E24" t="s">
        <v>210</v>
      </c>
      <c r="F24" t="s">
        <v>180</v>
      </c>
      <c r="G24" t="s">
        <v>211</v>
      </c>
    </row>
    <row r="25" spans="1:7" x14ac:dyDescent="0.25">
      <c r="A25" t="s">
        <v>212</v>
      </c>
      <c r="B25" s="7">
        <v>0.24299999999999999</v>
      </c>
      <c r="C25" s="96">
        <v>82474</v>
      </c>
      <c r="D25" t="s">
        <v>213</v>
      </c>
      <c r="E25" t="s">
        <v>214</v>
      </c>
      <c r="F25" t="s">
        <v>180</v>
      </c>
      <c r="G25" t="s">
        <v>215</v>
      </c>
    </row>
    <row r="26" spans="1:7" x14ac:dyDescent="0.25">
      <c r="A26" t="s">
        <v>18</v>
      </c>
      <c r="B26" s="7">
        <v>0.12</v>
      </c>
      <c r="C26" s="96">
        <v>40916</v>
      </c>
      <c r="D26" t="s">
        <v>216</v>
      </c>
      <c r="E26" t="s">
        <v>217</v>
      </c>
      <c r="F26" t="s">
        <v>218</v>
      </c>
      <c r="G26" t="s">
        <v>219</v>
      </c>
    </row>
    <row r="27" spans="1:7" x14ac:dyDescent="0.25">
      <c r="A27" t="s">
        <v>220</v>
      </c>
      <c r="B27" s="7">
        <v>6.3E-2</v>
      </c>
      <c r="C27" s="96">
        <v>21442</v>
      </c>
      <c r="D27" t="s">
        <v>221</v>
      </c>
      <c r="E27" t="s">
        <v>222</v>
      </c>
      <c r="F27" t="s">
        <v>187</v>
      </c>
      <c r="G27" t="s">
        <v>223</v>
      </c>
    </row>
    <row r="28" spans="1:7" x14ac:dyDescent="0.25">
      <c r="A28" t="s">
        <v>224</v>
      </c>
      <c r="B28" s="7">
        <v>7.2999999999999995E-2</v>
      </c>
      <c r="C28" s="96">
        <v>24968</v>
      </c>
      <c r="D28" s="94" t="s">
        <v>209</v>
      </c>
      <c r="E28" t="s">
        <v>225</v>
      </c>
      <c r="F28" t="s">
        <v>226</v>
      </c>
      <c r="G28" t="s">
        <v>227</v>
      </c>
    </row>
    <row r="29" spans="1:7" x14ac:dyDescent="0.25">
      <c r="A29" t="s">
        <v>19</v>
      </c>
      <c r="B29" s="7">
        <v>4.7E-2</v>
      </c>
      <c r="C29" s="96">
        <v>15851</v>
      </c>
      <c r="D29" t="s">
        <v>216</v>
      </c>
      <c r="E29" t="s">
        <v>228</v>
      </c>
      <c r="F29" t="s">
        <v>218</v>
      </c>
      <c r="G29" t="s">
        <v>229</v>
      </c>
    </row>
    <row r="30" spans="1:7" x14ac:dyDescent="0.25">
      <c r="A30" t="s">
        <v>230</v>
      </c>
      <c r="B30" s="7">
        <v>1.0999999999999999E-2</v>
      </c>
      <c r="C30" s="96">
        <v>3758</v>
      </c>
      <c r="D30" t="s">
        <v>231</v>
      </c>
      <c r="E30" t="s">
        <v>232</v>
      </c>
      <c r="F30" t="s">
        <v>187</v>
      </c>
      <c r="G30" t="s">
        <v>233</v>
      </c>
    </row>
    <row r="32" spans="1:7" x14ac:dyDescent="0.25">
      <c r="A32" s="103" t="s">
        <v>234</v>
      </c>
      <c r="B32" s="101"/>
      <c r="C32" s="101"/>
      <c r="D32" s="101"/>
      <c r="E32" s="101"/>
      <c r="F32" s="101"/>
      <c r="G32" s="101"/>
    </row>
    <row r="33" spans="1:9" x14ac:dyDescent="0.25">
      <c r="A33" s="104" t="s">
        <v>235</v>
      </c>
      <c r="B33" s="104" t="s">
        <v>236</v>
      </c>
      <c r="C33" s="104" t="s">
        <v>237</v>
      </c>
      <c r="D33" s="104" t="s">
        <v>238</v>
      </c>
      <c r="E33" s="104" t="s">
        <v>239</v>
      </c>
      <c r="F33" s="104" t="s">
        <v>240</v>
      </c>
      <c r="G33" s="104" t="s">
        <v>241</v>
      </c>
    </row>
    <row r="34" spans="1:9" x14ac:dyDescent="0.25">
      <c r="A34" t="s">
        <v>242</v>
      </c>
      <c r="B34" s="97">
        <v>46087</v>
      </c>
      <c r="C34" s="98">
        <v>347.5</v>
      </c>
      <c r="D34" s="96">
        <v>388</v>
      </c>
      <c r="E34" t="s">
        <v>243</v>
      </c>
      <c r="F34" t="s">
        <v>244</v>
      </c>
      <c r="G34" t="s">
        <v>245</v>
      </c>
    </row>
    <row r="35" spans="1:9" x14ac:dyDescent="0.25">
      <c r="A35" t="s">
        <v>246</v>
      </c>
      <c r="B35" s="97">
        <v>46087</v>
      </c>
      <c r="C35" s="96">
        <v>340</v>
      </c>
      <c r="D35" s="96">
        <v>161</v>
      </c>
      <c r="E35" t="s">
        <v>247</v>
      </c>
      <c r="F35" t="s">
        <v>248</v>
      </c>
      <c r="G35" t="s">
        <v>245</v>
      </c>
    </row>
    <row r="36" spans="1:9" x14ac:dyDescent="0.25">
      <c r="A36" t="s">
        <v>249</v>
      </c>
      <c r="B36" s="97">
        <v>46087</v>
      </c>
      <c r="C36" s="96">
        <v>330</v>
      </c>
      <c r="D36" s="96">
        <v>126</v>
      </c>
      <c r="E36" t="s">
        <v>250</v>
      </c>
      <c r="F36" t="s">
        <v>251</v>
      </c>
      <c r="G36" t="s">
        <v>245</v>
      </c>
    </row>
    <row r="37" spans="1:9" x14ac:dyDescent="0.25">
      <c r="A37" t="s">
        <v>252</v>
      </c>
      <c r="B37" s="97">
        <v>46129</v>
      </c>
      <c r="C37" s="96">
        <v>1150</v>
      </c>
      <c r="D37" s="96">
        <v>1375</v>
      </c>
      <c r="E37" t="s">
        <v>253</v>
      </c>
      <c r="F37" t="s">
        <v>254</v>
      </c>
      <c r="G37" s="95" t="s">
        <v>255</v>
      </c>
    </row>
    <row r="38" spans="1:9" x14ac:dyDescent="0.25">
      <c r="A38" t="s">
        <v>256</v>
      </c>
      <c r="B38" s="97">
        <v>46087</v>
      </c>
      <c r="C38" s="96">
        <v>1250</v>
      </c>
      <c r="D38" s="96">
        <v>880</v>
      </c>
      <c r="E38" t="s">
        <v>257</v>
      </c>
      <c r="F38" t="s">
        <v>258</v>
      </c>
      <c r="G38" t="s">
        <v>245</v>
      </c>
      <c r="I38">
        <v>1.54</v>
      </c>
    </row>
    <row r="39" spans="1:9" x14ac:dyDescent="0.25">
      <c r="A39" t="s">
        <v>259</v>
      </c>
      <c r="B39" s="97">
        <v>46087</v>
      </c>
      <c r="C39" s="96">
        <v>325</v>
      </c>
      <c r="D39" s="96">
        <v>91</v>
      </c>
      <c r="E39" t="s">
        <v>260</v>
      </c>
      <c r="F39" t="s">
        <v>261</v>
      </c>
      <c r="G39" t="s">
        <v>262</v>
      </c>
      <c r="I39">
        <v>0.54</v>
      </c>
    </row>
    <row r="40" spans="1:9" x14ac:dyDescent="0.25">
      <c r="A40" t="s">
        <v>263</v>
      </c>
      <c r="B40" s="97">
        <v>46087</v>
      </c>
      <c r="C40" t="s">
        <v>264</v>
      </c>
      <c r="D40" t="s">
        <v>265</v>
      </c>
      <c r="E40" t="s">
        <v>266</v>
      </c>
      <c r="F40" t="s">
        <v>267</v>
      </c>
      <c r="G40" t="s">
        <v>268</v>
      </c>
    </row>
    <row r="42" spans="1:9" x14ac:dyDescent="0.25">
      <c r="A42" s="107" t="s">
        <v>269</v>
      </c>
      <c r="B42" s="105"/>
      <c r="C42" s="105"/>
      <c r="D42" s="105"/>
      <c r="E42" s="105"/>
      <c r="F42" s="105"/>
      <c r="G42" s="105"/>
    </row>
    <row r="43" spans="1:9" x14ac:dyDescent="0.25">
      <c r="F43" s="115">
        <f>3500+2000+1500+5000+4000+500+1000</f>
        <v>17500</v>
      </c>
    </row>
    <row r="44" spans="1:9" x14ac:dyDescent="0.25">
      <c r="A44" s="85" t="s">
        <v>270</v>
      </c>
      <c r="B44" s="85" t="s">
        <v>241</v>
      </c>
      <c r="C44" s="85" t="s">
        <v>271</v>
      </c>
      <c r="D44" s="85" t="s">
        <v>272</v>
      </c>
      <c r="E44" s="85" t="s">
        <v>273</v>
      </c>
      <c r="F44" s="85" t="s">
        <v>274</v>
      </c>
      <c r="G44" s="85" t="s">
        <v>275</v>
      </c>
    </row>
    <row r="45" spans="1:9" x14ac:dyDescent="0.25">
      <c r="A45" s="108" t="s">
        <v>276</v>
      </c>
      <c r="B45" s="86" t="s">
        <v>277</v>
      </c>
      <c r="C45" s="86" t="s">
        <v>28</v>
      </c>
      <c r="D45" s="86" t="s">
        <v>278</v>
      </c>
      <c r="E45" s="86" t="s">
        <v>279</v>
      </c>
      <c r="F45" s="86" t="s">
        <v>280</v>
      </c>
      <c r="G45" s="108" t="s">
        <v>281</v>
      </c>
    </row>
    <row r="46" spans="1:9" x14ac:dyDescent="0.25">
      <c r="A46" s="108" t="s">
        <v>282</v>
      </c>
      <c r="B46" s="86" t="s">
        <v>283</v>
      </c>
      <c r="C46" s="86" t="s">
        <v>28</v>
      </c>
      <c r="D46" s="86" t="s">
        <v>284</v>
      </c>
      <c r="E46" s="86" t="s">
        <v>285</v>
      </c>
      <c r="F46" s="86" t="s">
        <v>286</v>
      </c>
      <c r="G46" s="108" t="s">
        <v>281</v>
      </c>
    </row>
    <row r="47" spans="1:9" x14ac:dyDescent="0.25">
      <c r="A47" s="108" t="s">
        <v>287</v>
      </c>
      <c r="B47" s="86" t="s">
        <v>288</v>
      </c>
      <c r="C47" s="86" t="s">
        <v>28</v>
      </c>
      <c r="D47" s="86" t="s">
        <v>289</v>
      </c>
      <c r="E47" s="86" t="s">
        <v>290</v>
      </c>
      <c r="F47" s="86" t="s">
        <v>291</v>
      </c>
      <c r="G47" s="108" t="s">
        <v>281</v>
      </c>
    </row>
    <row r="48" spans="1:9" x14ac:dyDescent="0.25">
      <c r="A48" s="108" t="s">
        <v>292</v>
      </c>
      <c r="B48" s="86" t="s">
        <v>293</v>
      </c>
      <c r="C48" s="86" t="s">
        <v>28</v>
      </c>
      <c r="D48" s="86" t="s">
        <v>294</v>
      </c>
      <c r="E48" s="86" t="s">
        <v>295</v>
      </c>
      <c r="F48" s="86" t="s">
        <v>296</v>
      </c>
      <c r="G48" s="108" t="s">
        <v>281</v>
      </c>
    </row>
    <row r="50" spans="1:7" x14ac:dyDescent="0.25">
      <c r="A50" s="109" t="s">
        <v>297</v>
      </c>
      <c r="B50" s="88" t="s">
        <v>298</v>
      </c>
      <c r="C50" s="88" t="s">
        <v>28</v>
      </c>
      <c r="D50" s="88" t="s">
        <v>299</v>
      </c>
      <c r="E50" s="88" t="s">
        <v>300</v>
      </c>
      <c r="F50" s="88" t="s">
        <v>301</v>
      </c>
      <c r="G50" s="88" t="s">
        <v>302</v>
      </c>
    </row>
    <row r="51" spans="1:7" x14ac:dyDescent="0.25">
      <c r="A51" s="109" t="s">
        <v>303</v>
      </c>
      <c r="B51" s="88" t="s">
        <v>304</v>
      </c>
      <c r="C51" s="88" t="s">
        <v>29</v>
      </c>
      <c r="D51" s="88" t="s">
        <v>305</v>
      </c>
      <c r="E51" s="88" t="s">
        <v>306</v>
      </c>
      <c r="F51" s="88" t="s">
        <v>307</v>
      </c>
      <c r="G51" s="88" t="s">
        <v>302</v>
      </c>
    </row>
    <row r="52" spans="1:7" x14ac:dyDescent="0.25">
      <c r="A52" s="109" t="s">
        <v>308</v>
      </c>
      <c r="B52" s="88" t="s">
        <v>309</v>
      </c>
      <c r="C52" s="88" t="s">
        <v>29</v>
      </c>
      <c r="D52" s="88" t="s">
        <v>310</v>
      </c>
      <c r="E52" s="88" t="s">
        <v>311</v>
      </c>
      <c r="F52" s="88" t="s">
        <v>312</v>
      </c>
      <c r="G52" s="88" t="s">
        <v>302</v>
      </c>
    </row>
    <row r="53" spans="1:7" x14ac:dyDescent="0.25">
      <c r="A53" s="109" t="s">
        <v>313</v>
      </c>
      <c r="B53" s="88" t="s">
        <v>314</v>
      </c>
      <c r="C53" s="88" t="s">
        <v>29</v>
      </c>
      <c r="D53" s="88" t="s">
        <v>315</v>
      </c>
      <c r="E53" s="88" t="s">
        <v>316</v>
      </c>
      <c r="F53" s="88" t="s">
        <v>317</v>
      </c>
      <c r="G53" s="88" t="s">
        <v>302</v>
      </c>
    </row>
    <row r="54" spans="1:7" x14ac:dyDescent="0.25">
      <c r="A54" s="109" t="s">
        <v>318</v>
      </c>
      <c r="B54" s="88" t="s">
        <v>319</v>
      </c>
      <c r="C54" s="88" t="s">
        <v>28</v>
      </c>
      <c r="D54" s="88" t="s">
        <v>320</v>
      </c>
      <c r="E54" s="88" t="s">
        <v>321</v>
      </c>
      <c r="F54" s="88" t="s">
        <v>322</v>
      </c>
      <c r="G54" s="88" t="s">
        <v>302</v>
      </c>
    </row>
    <row r="56" spans="1:7" x14ac:dyDescent="0.25">
      <c r="A56" s="110" t="s">
        <v>323</v>
      </c>
      <c r="B56" s="90" t="s">
        <v>324</v>
      </c>
      <c r="C56" s="90" t="s">
        <v>325</v>
      </c>
      <c r="D56" s="90" t="s">
        <v>326</v>
      </c>
      <c r="E56" s="90" t="s">
        <v>327</v>
      </c>
      <c r="F56" s="90" t="s">
        <v>328</v>
      </c>
      <c r="G56" s="90" t="s">
        <v>329</v>
      </c>
    </row>
    <row r="57" spans="1:7" x14ac:dyDescent="0.25">
      <c r="A57" s="110" t="s">
        <v>330</v>
      </c>
      <c r="B57" s="90" t="s">
        <v>331</v>
      </c>
      <c r="C57" s="90" t="s">
        <v>29</v>
      </c>
      <c r="D57" s="90" t="s">
        <v>332</v>
      </c>
      <c r="E57" s="90" t="s">
        <v>333</v>
      </c>
      <c r="F57" s="90" t="s">
        <v>334</v>
      </c>
      <c r="G57" s="90" t="s">
        <v>329</v>
      </c>
    </row>
    <row r="58" spans="1:7" x14ac:dyDescent="0.25">
      <c r="A58" s="110" t="s">
        <v>335</v>
      </c>
      <c r="B58" s="90" t="s">
        <v>336</v>
      </c>
      <c r="C58" s="90" t="s">
        <v>28</v>
      </c>
      <c r="D58" s="90" t="s">
        <v>337</v>
      </c>
      <c r="E58" s="90" t="s">
        <v>338</v>
      </c>
      <c r="F58" s="90" t="s">
        <v>339</v>
      </c>
      <c r="G58" s="90" t="s">
        <v>329</v>
      </c>
    </row>
    <row r="59" spans="1:7" x14ac:dyDescent="0.25">
      <c r="A59" s="110" t="s">
        <v>340</v>
      </c>
      <c r="B59" s="90" t="s">
        <v>341</v>
      </c>
      <c r="C59" s="90" t="s">
        <v>28</v>
      </c>
      <c r="D59" s="90" t="s">
        <v>342</v>
      </c>
      <c r="E59" s="90" t="s">
        <v>343</v>
      </c>
      <c r="F59" s="90" t="s">
        <v>344</v>
      </c>
      <c r="G59" s="90" t="s">
        <v>329</v>
      </c>
    </row>
    <row r="62" spans="1:7" x14ac:dyDescent="0.25">
      <c r="A62" s="107" t="s">
        <v>345</v>
      </c>
      <c r="B62" s="105"/>
      <c r="C62" s="105"/>
      <c r="D62" s="105"/>
      <c r="E62" s="105"/>
      <c r="F62" s="105"/>
      <c r="G62" s="105"/>
    </row>
    <row r="64" spans="1:7" x14ac:dyDescent="0.25">
      <c r="A64" s="85" t="s">
        <v>346</v>
      </c>
      <c r="B64" s="85" t="s">
        <v>347</v>
      </c>
      <c r="C64" s="85" t="s">
        <v>348</v>
      </c>
      <c r="D64" s="85" t="s">
        <v>349</v>
      </c>
      <c r="E64" s="85" t="s">
        <v>350</v>
      </c>
      <c r="F64" s="85" t="s">
        <v>351</v>
      </c>
      <c r="G64" s="85"/>
    </row>
    <row r="65" spans="1:7" x14ac:dyDescent="0.25">
      <c r="A65" t="s">
        <v>352</v>
      </c>
      <c r="B65" s="96">
        <v>227770</v>
      </c>
      <c r="C65" s="96">
        <v>-6833</v>
      </c>
      <c r="D65" s="96">
        <v>-13666</v>
      </c>
      <c r="E65" s="96">
        <v>-27332</v>
      </c>
      <c r="F65" t="s">
        <v>353</v>
      </c>
      <c r="G65" t="s">
        <v>354</v>
      </c>
    </row>
    <row r="66" spans="1:7" x14ac:dyDescent="0.25">
      <c r="A66" t="s">
        <v>355</v>
      </c>
      <c r="B66" s="96">
        <v>-4064</v>
      </c>
      <c r="C66" t="s">
        <v>356</v>
      </c>
      <c r="D66" t="s">
        <v>357</v>
      </c>
      <c r="E66" t="s">
        <v>358</v>
      </c>
      <c r="F66" t="s">
        <v>359</v>
      </c>
      <c r="G66" t="s">
        <v>360</v>
      </c>
    </row>
    <row r="67" spans="1:7" x14ac:dyDescent="0.25">
      <c r="A67" t="s">
        <v>361</v>
      </c>
      <c r="B67" s="96">
        <v>111942</v>
      </c>
      <c r="C67" s="96">
        <v>-3358</v>
      </c>
      <c r="D67" s="96">
        <v>-6717</v>
      </c>
      <c r="E67" s="96">
        <v>-13433</v>
      </c>
      <c r="F67" t="s">
        <v>362</v>
      </c>
      <c r="G67" t="s">
        <v>363</v>
      </c>
    </row>
    <row r="68" spans="1:7" x14ac:dyDescent="0.25">
      <c r="A68" t="s">
        <v>364</v>
      </c>
      <c r="B68" s="96">
        <v>49414</v>
      </c>
      <c r="C68" s="96">
        <v>49414</v>
      </c>
      <c r="D68" s="96">
        <v>49414</v>
      </c>
      <c r="E68" s="96">
        <v>49414</v>
      </c>
      <c r="F68" t="s">
        <v>365</v>
      </c>
      <c r="G68" t="s">
        <v>366</v>
      </c>
    </row>
    <row r="69" spans="1:7" x14ac:dyDescent="0.25">
      <c r="A69" t="s">
        <v>367</v>
      </c>
      <c r="B69" s="96">
        <v>9776</v>
      </c>
      <c r="C69" s="96">
        <v>9776</v>
      </c>
      <c r="D69" s="96">
        <v>9776</v>
      </c>
      <c r="E69" s="96">
        <v>9776</v>
      </c>
      <c r="F69" t="s">
        <v>368</v>
      </c>
      <c r="G69" t="s">
        <v>369</v>
      </c>
    </row>
    <row r="70" spans="1:7" x14ac:dyDescent="0.25">
      <c r="A70" s="111" t="s">
        <v>370</v>
      </c>
      <c r="B70" s="112">
        <v>408067</v>
      </c>
      <c r="C70" s="111" t="s">
        <v>371</v>
      </c>
      <c r="D70" s="111" t="s">
        <v>372</v>
      </c>
      <c r="E70" s="111" t="s">
        <v>373</v>
      </c>
      <c r="F70" s="111" t="s">
        <v>374</v>
      </c>
      <c r="G70" s="111" t="s">
        <v>375</v>
      </c>
    </row>
    <row r="72" spans="1:7" x14ac:dyDescent="0.25">
      <c r="A72" s="81" t="s">
        <v>376</v>
      </c>
    </row>
    <row r="73" spans="1:7" x14ac:dyDescent="0.25">
      <c r="A73">
        <v>1</v>
      </c>
      <c r="B73" t="s">
        <v>377</v>
      </c>
    </row>
    <row r="74" spans="1:7" x14ac:dyDescent="0.25">
      <c r="A74">
        <v>2</v>
      </c>
      <c r="B74" t="s">
        <v>378</v>
      </c>
    </row>
    <row r="75" spans="1:7" x14ac:dyDescent="0.25">
      <c r="A75">
        <v>3</v>
      </c>
      <c r="B75" t="s">
        <v>379</v>
      </c>
    </row>
    <row r="76" spans="1:7" x14ac:dyDescent="0.25">
      <c r="A76">
        <v>4</v>
      </c>
      <c r="B76" t="s">
        <v>380</v>
      </c>
    </row>
    <row r="77" spans="1:7" x14ac:dyDescent="0.25">
      <c r="A77">
        <v>5</v>
      </c>
      <c r="B77" t="s">
        <v>381</v>
      </c>
    </row>
    <row r="79" spans="1:7" x14ac:dyDescent="0.25">
      <c r="A79" s="114" t="s">
        <v>382</v>
      </c>
      <c r="B79" s="113"/>
      <c r="C79" s="113"/>
      <c r="D79" s="113"/>
      <c r="E79" s="113"/>
      <c r="F79" s="113"/>
      <c r="G79" s="113"/>
    </row>
    <row r="80" spans="1:7" x14ac:dyDescent="0.25">
      <c r="A80" s="100" t="s">
        <v>383</v>
      </c>
      <c r="B80" s="100"/>
      <c r="C80" s="100"/>
      <c r="D80" s="100"/>
      <c r="E80" s="100"/>
      <c r="F80" s="100"/>
      <c r="G80" s="100"/>
    </row>
    <row r="81" spans="1:7" x14ac:dyDescent="0.25">
      <c r="A81" s="100" t="s">
        <v>384</v>
      </c>
      <c r="B81" s="100"/>
      <c r="C81" s="100"/>
      <c r="D81" s="100"/>
      <c r="E81" s="100"/>
      <c r="F81" s="100"/>
      <c r="G81" s="100"/>
    </row>
    <row r="84" spans="1:7" x14ac:dyDescent="0.25">
      <c r="A84" s="106" t="s">
        <v>385</v>
      </c>
      <c r="B84" s="105"/>
      <c r="C84" s="105"/>
      <c r="D84" s="105"/>
      <c r="E84" s="105"/>
      <c r="F84" s="105"/>
      <c r="G84" s="105"/>
    </row>
    <row r="86" spans="1:7" x14ac:dyDescent="0.25">
      <c r="A86" s="85" t="s">
        <v>167</v>
      </c>
      <c r="B86" s="85" t="s">
        <v>386</v>
      </c>
      <c r="C86" s="85" t="s">
        <v>387</v>
      </c>
      <c r="D86" s="85" t="s">
        <v>388</v>
      </c>
      <c r="E86" s="85" t="s">
        <v>389</v>
      </c>
      <c r="F86" s="85" t="s">
        <v>390</v>
      </c>
      <c r="G86" s="85" t="s">
        <v>391</v>
      </c>
    </row>
    <row r="87" spans="1:7" x14ac:dyDescent="0.25">
      <c r="A87" t="s">
        <v>392</v>
      </c>
      <c r="B87" s="79">
        <v>-0.05</v>
      </c>
      <c r="C87">
        <v>-19566</v>
      </c>
      <c r="D87">
        <v>388501</v>
      </c>
      <c r="E87" s="121">
        <v>-14158</v>
      </c>
      <c r="F87">
        <v>393909</v>
      </c>
      <c r="G87" s="116">
        <v>5408</v>
      </c>
    </row>
    <row r="88" spans="1:7" x14ac:dyDescent="0.25">
      <c r="A88" t="s">
        <v>393</v>
      </c>
      <c r="B88" s="79">
        <v>-0.1</v>
      </c>
      <c r="C88">
        <v>-51351</v>
      </c>
      <c r="D88">
        <v>356716</v>
      </c>
      <c r="E88">
        <v>-28316</v>
      </c>
      <c r="F88">
        <v>379751</v>
      </c>
      <c r="G88" s="116">
        <v>23035</v>
      </c>
    </row>
    <row r="89" spans="1:7" x14ac:dyDescent="0.25">
      <c r="A89" s="104" t="s">
        <v>394</v>
      </c>
      <c r="B89" s="93">
        <v>-0.15</v>
      </c>
      <c r="C89" s="92">
        <v>-90196</v>
      </c>
      <c r="D89" s="92">
        <v>317871</v>
      </c>
      <c r="E89" s="92">
        <v>-42474</v>
      </c>
      <c r="F89" s="92">
        <v>365593</v>
      </c>
      <c r="G89" s="116">
        <v>47721</v>
      </c>
    </row>
    <row r="91" spans="1:7" x14ac:dyDescent="0.25">
      <c r="A91" s="99" t="s">
        <v>395</v>
      </c>
      <c r="B91" s="83"/>
      <c r="C91" s="83"/>
      <c r="D91" s="83"/>
      <c r="E91" s="83"/>
      <c r="F91" s="83"/>
      <c r="G91" s="83"/>
    </row>
    <row r="93" spans="1:7" x14ac:dyDescent="0.25">
      <c r="A93" s="84" t="s">
        <v>396</v>
      </c>
      <c r="B93" s="84"/>
      <c r="C93" s="84" t="s">
        <v>397</v>
      </c>
      <c r="D93" s="84" t="s">
        <v>398</v>
      </c>
      <c r="E93" s="84"/>
      <c r="F93" s="84"/>
      <c r="G93" s="84"/>
    </row>
    <row r="94" spans="1:7" x14ac:dyDescent="0.25">
      <c r="A94" t="s">
        <v>399</v>
      </c>
      <c r="C94">
        <v>-34165</v>
      </c>
      <c r="D94" s="7">
        <v>0.379</v>
      </c>
    </row>
    <row r="95" spans="1:7" x14ac:dyDescent="0.25">
      <c r="A95" s="102" t="s">
        <v>400</v>
      </c>
      <c r="B95" s="101"/>
      <c r="C95" s="101">
        <v>-36262</v>
      </c>
      <c r="D95" s="117">
        <v>0.40200000000000002</v>
      </c>
      <c r="E95" s="101"/>
      <c r="F95" s="101" t="s">
        <v>401</v>
      </c>
      <c r="G95" s="101"/>
    </row>
    <row r="96" spans="1:7" x14ac:dyDescent="0.25">
      <c r="A96" t="s">
        <v>402</v>
      </c>
      <c r="C96">
        <v>-2341</v>
      </c>
      <c r="D96" s="7">
        <v>2.5999999999999999E-2</v>
      </c>
    </row>
    <row r="97" spans="1:7" x14ac:dyDescent="0.25">
      <c r="A97" t="s">
        <v>403</v>
      </c>
      <c r="C97">
        <v>-16791</v>
      </c>
      <c r="D97" s="7">
        <v>0.186</v>
      </c>
    </row>
    <row r="98" spans="1:7" x14ac:dyDescent="0.25">
      <c r="A98" t="s">
        <v>404</v>
      </c>
      <c r="C98">
        <v>-636</v>
      </c>
      <c r="D98" s="7">
        <v>7.0000000000000001E-3</v>
      </c>
    </row>
    <row r="99" spans="1:7" x14ac:dyDescent="0.25">
      <c r="A99" s="111" t="s">
        <v>405</v>
      </c>
      <c r="B99" s="111"/>
      <c r="C99" s="111">
        <v>-90196</v>
      </c>
      <c r="D99" s="118">
        <v>1</v>
      </c>
      <c r="E99" s="111"/>
      <c r="F99" s="111"/>
      <c r="G99" s="111"/>
    </row>
    <row r="101" spans="1:7" x14ac:dyDescent="0.25">
      <c r="A101" s="119" t="s">
        <v>406</v>
      </c>
      <c r="B101" t="s">
        <v>407</v>
      </c>
    </row>
    <row r="102" spans="1:7" x14ac:dyDescent="0.25">
      <c r="B102" t="s">
        <v>408</v>
      </c>
    </row>
    <row r="103" spans="1:7" x14ac:dyDescent="0.25">
      <c r="B103" t="s">
        <v>409</v>
      </c>
    </row>
    <row r="105" spans="1:7" x14ac:dyDescent="0.25">
      <c r="A105" s="81" t="s">
        <v>410</v>
      </c>
    </row>
    <row r="106" spans="1:7" x14ac:dyDescent="0.25">
      <c r="B106" s="80" t="s">
        <v>411</v>
      </c>
    </row>
    <row r="107" spans="1:7" x14ac:dyDescent="0.25">
      <c r="B107" s="80" t="s">
        <v>412</v>
      </c>
    </row>
    <row r="108" spans="1:7" x14ac:dyDescent="0.25">
      <c r="B108" s="120" t="s">
        <v>413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Port 1</vt:lpstr>
      <vt:lpstr>Port IRA</vt:lpstr>
      <vt:lpstr>Values</vt:lpstr>
      <vt:lpstr>War Risk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Michael Ye</cp:lastModifiedBy>
  <dcterms:created xsi:type="dcterms:W3CDTF">2018-06-07T17:34:22Z</dcterms:created>
  <dcterms:modified xsi:type="dcterms:W3CDTF">2026-03-16T23:48:10Z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